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Y" sheetId="1" r:id="rId4"/>
    <sheet state="visible" name="IVV" sheetId="2" r:id="rId5"/>
    <sheet state="visible" name="VOO" sheetId="3" r:id="rId6"/>
    <sheet state="visible" name="Agregado" sheetId="4" r:id="rId7"/>
    <sheet state="visible" name="Hoja5" sheetId="5" r:id="rId8"/>
    <sheet state="visible" name="Hoja6" sheetId="6" r:id="rId9"/>
    <sheet state="visible" name="Hoja7" sheetId="7" r:id="rId10"/>
  </sheets>
  <definedNames/>
  <calcPr/>
  <extLst>
    <ext uri="GoogleSheetsCustomDataVersion2">
      <go:sheetsCustomData xmlns:go="http://customooxmlschemas.google.com/" r:id="rId11" roundtripDataChecksum="Swt6W4r4BuR06orO6zXlqOe4RTBSqWrO851R9EXlMMk="/>
    </ext>
  </extLst>
</workbook>
</file>

<file path=xl/sharedStrings.xml><?xml version="1.0" encoding="utf-8"?>
<sst xmlns="http://schemas.openxmlformats.org/spreadsheetml/2006/main" count="12125" uniqueCount="3019">
  <si>
    <t>AUM-cierre 2017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</si>
  <si>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</si>
  <si>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</si>
  <si>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</si>
  <si>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</si>
  <si>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</si>
  <si>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</si>
  <si>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</si>
  <si>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</si>
  <si>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</si>
  <si>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</si>
  <si>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</si>
  <si>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</si>
  <si>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</si>
  <si>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</si>
  <si>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</si>
  <si>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</si>
  <si>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</si>
  <si>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</si>
  <si>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</si>
  <si>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</si>
  <si>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</si>
  <si>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</si>
  <si>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</si>
  <si>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</si>
  <si>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</si>
  <si>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</si>
  <si>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</si>
  <si>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</si>
  <si>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</si>
  <si>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</si>
  <si>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</si>
  <si>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</si>
  <si>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</si>
  <si>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</si>
  <si>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</si>
  <si>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</si>
  <si>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</si>
  <si>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</si>
  <si>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</si>
  <si>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</si>
  <si>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</si>
  <si>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</si>
  <si>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</si>
  <si>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</si>
  <si>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</si>
  <si>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</si>
  <si>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</si>
  <si>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</si>
  <si>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</si>
  <si>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</si>
  <si>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</si>
  <si>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</si>
  <si>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</si>
  <si>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</si>
  <si>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</si>
  <si>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</si>
  <si>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</si>
  <si>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</si>
  <si>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</si>
  <si>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</si>
  <si>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</si>
  <si>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</si>
  <si>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</si>
  <si>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</si>
  <si>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</si>
  <si>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</si>
  <si>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</si>
  <si>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</si>
  <si>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</si>
  <si>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</si>
  <si>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</si>
  <si>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</si>
  <si>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</si>
  <si>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</si>
  <si>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</si>
  <si>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</si>
  <si>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</si>
  <si>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</si>
  <si>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</si>
  <si>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</si>
  <si>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</si>
  <si>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</si>
  <si>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</si>
  <si>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</si>
  <si>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</si>
  <si>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</si>
  <si>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</si>
  <si>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</si>
  <si>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</si>
  <si>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</si>
  <si>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</si>
  <si>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</si>
  <si>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</si>
  <si>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</si>
  <si>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</si>
  <si>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</si>
  <si>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</si>
  <si>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</si>
  <si>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</si>
  <si>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</si>
  <si>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</si>
  <si>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</si>
  <si>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</si>
  <si>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</si>
  <si>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</si>
  <si>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</si>
  <si>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</si>
  <si>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</si>
  <si>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</si>
  <si>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</si>
  <si>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</si>
  <si>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</si>
  <si>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</si>
  <si>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</si>
  <si>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</si>
  <si>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</si>
  <si>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</si>
  <si>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</si>
  <si>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</si>
  <si>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</si>
  <si>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</si>
  <si>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</si>
  <si>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</si>
  <si>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</si>
  <si>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</si>
  <si>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</si>
  <si>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</si>
  <si>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</si>
  <si>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</si>
  <si>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</si>
  <si>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</si>
  <si>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</si>
  <si>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</si>
  <si>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</si>
  <si>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</si>
  <si>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</si>
  <si>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</si>
  <si>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</si>
  <si>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</si>
  <si>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</si>
  <si>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</si>
  <si>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</si>
  <si>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</si>
  <si>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</si>
  <si>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</si>
  <si>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</si>
  <si>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</si>
  <si>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</si>
  <si>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</si>
  <si>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</si>
  <si>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</si>
  <si>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</si>
  <si>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</si>
  <si>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</si>
  <si>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</si>
  <si>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</si>
  <si>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</si>
  <si>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</si>
  <si>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</si>
  <si>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</si>
  <si>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</si>
  <si>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</si>
  <si>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</si>
  <si>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</si>
  <si>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</si>
  <si>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</si>
  <si>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</si>
  <si>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</si>
  <si>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</si>
  <si>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</si>
  <si>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</si>
  <si>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</si>
  <si>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</si>
  <si>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</si>
  <si>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</si>
  <si>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</si>
  <si>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</si>
  <si>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</si>
  <si>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</si>
  <si>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</si>
  <si>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</si>
  <si>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</si>
  <si>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</si>
  <si>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</si>
  <si>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</si>
  <si>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</si>
  <si>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</si>
  <si>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</si>
  <si>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</si>
  <si>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</si>
  <si>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</si>
  <si>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</si>
  <si>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</si>
  <si>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</si>
  <si>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</si>
  <si>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</si>
  <si>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</si>
  <si>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</si>
  <si>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</si>
  <si>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</si>
  <si>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</si>
  <si>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</si>
  <si>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</si>
  <si>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</si>
  <si>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</si>
  <si>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</si>
  <si>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</si>
  <si>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</si>
  <si>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</si>
  <si>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</si>
  <si>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</si>
  <si>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</si>
  <si>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</si>
  <si>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</si>
  <si>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</si>
  <si>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</si>
  <si>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</si>
  <si>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</si>
  <si>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</si>
  <si>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</si>
  <si>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</si>
  <si>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</si>
  <si>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</si>
  <si>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</si>
  <si>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</si>
  <si>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</si>
  <si>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</si>
  <si>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</si>
  <si>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</si>
  <si>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</si>
  <si>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</si>
  <si>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</si>
  <si>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</si>
  <si>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</si>
  <si>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</si>
  <si>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</si>
  <si>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</si>
  <si>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</si>
  <si>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</si>
  <si>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</si>
  <si>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</si>
  <si>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</si>
  <si>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</si>
  <si>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</si>
  <si>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</si>
  <si>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</si>
  <si>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</si>
  <si>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</si>
  <si>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</si>
  <si>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</si>
  <si>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</si>
  <si>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</si>
  <si>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</si>
  <si>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</si>
  <si>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</si>
  <si>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</si>
  <si>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</si>
  <si>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</si>
  <si>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</si>
  <si>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</si>
  <si>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</si>
  <si>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</si>
  <si>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</si>
  <si>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</si>
  <si>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</si>
  <si>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</si>
  <si>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</si>
  <si>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</si>
  <si>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</si>
  <si>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</si>
  <si>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</si>
  <si>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</si>
  <si>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</si>
  <si>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</si>
  <si>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</si>
  <si>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</si>
  <si>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</si>
  <si>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</si>
  <si>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</si>
  <si>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</si>
  <si>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</si>
  <si>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</si>
  <si>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</si>
  <si>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</si>
  <si>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</si>
  <si>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</si>
  <si>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</si>
  <si>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</si>
  <si>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</si>
  <si>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</si>
  <si>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</si>
  <si>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</si>
  <si>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</si>
  <si>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</si>
  <si>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</si>
  <si>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</si>
  <si>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</si>
  <si>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</si>
  <si>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</si>
  <si>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</si>
  <si>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</si>
  <si>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</si>
  <si>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</si>
  <si>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</si>
  <si>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</si>
  <si>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</si>
  <si>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</si>
  <si>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</si>
  <si>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</si>
  <si>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</si>
  <si>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</si>
  <si>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</si>
  <si>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</si>
  <si>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</si>
  <si>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</si>
  <si>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</si>
  <si>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</si>
  <si>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</si>
  <si>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</si>
  <si>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</si>
  <si>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</si>
  <si>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</si>
  <si>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</si>
  <si>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</si>
  <si>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</si>
  <si>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</si>
  <si>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</si>
  <si>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</si>
  <si>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</si>
  <si>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</si>
  <si>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</si>
  <si>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</si>
  <si>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</si>
  <si>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</si>
  <si>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</si>
  <si>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</si>
  <si>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</si>
  <si>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</si>
  <si>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</si>
  <si>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</si>
  <si>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</si>
  <si>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</si>
  <si>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</si>
  <si>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</si>
  <si>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</si>
  <si>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</si>
  <si>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</si>
  <si>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</si>
  <si>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</si>
  <si>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</si>
  <si>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</si>
  <si>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</si>
  <si>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</si>
  <si>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</si>
  <si>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</si>
  <si>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</si>
  <si>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</si>
  <si>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</si>
  <si>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</si>
  <si>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</si>
  <si>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</si>
  <si>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</si>
  <si>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</si>
  <si>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</si>
  <si>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</si>
  <si>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</si>
  <si>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</si>
  <si>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</si>
  <si>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</si>
  <si>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</si>
  <si>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</si>
  <si>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</si>
  <si>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</si>
  <si>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</si>
  <si>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</si>
  <si>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</si>
  <si>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</si>
  <si>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</si>
  <si>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</si>
  <si>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</si>
  <si>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</si>
  <si>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</si>
  <si>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</si>
  <si>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</si>
  <si>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</si>
  <si>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</si>
  <si>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</si>
  <si>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</si>
  <si>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</si>
  <si>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</si>
  <si>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</si>
  <si>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</si>
  <si>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</si>
  <si>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</si>
  <si>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</si>
  <si>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</si>
  <si>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</si>
  <si>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</si>
  <si>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</si>
  <si>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</si>
  <si>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</si>
  <si>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</si>
  <si>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</si>
  <si>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</si>
  <si>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</si>
  <si>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</si>
  <si>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</si>
  <si>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</si>
  <si>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</si>
  <si>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</si>
  <si>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</si>
  <si>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</si>
  <si>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</si>
  <si>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</si>
  <si>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</si>
  <si>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</si>
  <si>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</si>
  <si>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</si>
  <si>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</si>
  <si>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</si>
  <si>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</si>
  <si>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</si>
  <si>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</si>
  <si>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</si>
  <si>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</si>
  <si>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</si>
  <si>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</si>
  <si>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</si>
  <si>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</si>
  <si>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</si>
  <si>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</si>
  <si>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</si>
  <si>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</si>
  <si>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</si>
  <si>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</si>
  <si>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</si>
  <si>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</si>
  <si>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</si>
  <si>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</si>
  <si>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</si>
  <si>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</si>
  <si>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</si>
  <si>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</si>
  <si>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</si>
  <si>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</si>
  <si>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</si>
  <si>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</si>
  <si>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</si>
  <si>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</si>
  <si>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</si>
  <si>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</si>
  <si>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</si>
  <si>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</si>
  <si>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</si>
  <si>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</si>
  <si>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</si>
  <si>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</si>
  <si>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</si>
  <si>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</si>
  <si>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</si>
  <si>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</si>
  <si>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</si>
  <si>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</si>
  <si>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</si>
  <si>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</si>
  <si>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</si>
  <si>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</si>
  <si>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</si>
  <si>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</si>
  <si>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</si>
  <si>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</si>
  <si>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</si>
  <si>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</si>
  <si>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</si>
  <si>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</si>
  <si>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</si>
  <si>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</si>
  <si>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</si>
  <si>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</si>
  <si>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</si>
  <si>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</si>
  <si>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</si>
  <si>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</si>
  <si>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</si>
  <si>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</si>
  <si>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</si>
  <si>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</si>
  <si>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</si>
  <si>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</si>
  <si>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</si>
  <si>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</si>
  <si>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</si>
  <si>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</si>
  <si>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</si>
  <si>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</si>
  <si>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</si>
  <si>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</si>
  <si>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</si>
  <si>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</si>
  <si>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</si>
  <si>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</si>
  <si>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</si>
  <si>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</si>
  <si>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</si>
  <si>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</si>
  <si>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</si>
  <si>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</si>
  <si>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</si>
  <si>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</si>
  <si>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</si>
  <si>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</si>
  <si>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</si>
  <si>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</si>
  <si>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</si>
  <si>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</si>
  <si>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</si>
  <si>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</si>
  <si>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</si>
  <si>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</si>
  <si>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</si>
  <si>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</si>
  <si>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</si>
  <si>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</si>
  <si>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</si>
  <si>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</si>
  <si>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</si>
  <si>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</si>
  <si>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</si>
  <si>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</si>
  <si>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</si>
  <si>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</si>
  <si>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</si>
  <si>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</si>
  <si>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</si>
  <si>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</si>
  <si>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</si>
  <si>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</si>
  <si>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</si>
  <si>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</si>
  <si>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</si>
  <si>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</si>
  <si>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</si>
  <si>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</si>
  <si>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</si>
  <si>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</si>
  <si>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</si>
  <si>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</si>
  <si>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</si>
  <si>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</si>
  <si>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</si>
  <si>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</si>
  <si>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</si>
  <si>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</si>
  <si>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</si>
  <si>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</si>
  <si>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</si>
  <si>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</si>
  <si>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</si>
  <si>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</si>
  <si>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</si>
  <si>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</si>
  <si>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</si>
  <si>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</si>
  <si>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</si>
  <si>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</si>
  <si>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</si>
  <si>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</si>
  <si>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</si>
  <si>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</si>
  <si>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</si>
  <si>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</si>
  <si>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</si>
  <si>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</si>
  <si>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</si>
  <si>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</si>
  <si>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</si>
  <si>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</si>
  <si>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</si>
  <si>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</si>
  <si>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</si>
  <si>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</si>
  <si>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</si>
  <si>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</si>
  <si>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</si>
  <si>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</si>
  <si>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</si>
  <si>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</si>
  <si>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</si>
  <si>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</si>
  <si>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</si>
  <si>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</si>
  <si>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</si>
  <si>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</si>
  <si>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</si>
  <si>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</si>
  <si>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</si>
  <si>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</si>
  <si>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</si>
  <si>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</si>
  <si>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</si>
  <si>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</si>
  <si>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</si>
  <si>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</si>
  <si>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</si>
  <si>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</si>
  <si>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</si>
  <si>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</si>
  <si>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</si>
  <si>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</si>
  <si>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</si>
  <si>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</si>
  <si>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</si>
  <si>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</si>
  <si>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</si>
  <si>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</si>
  <si>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</si>
  <si>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</si>
  <si>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</si>
  <si>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</si>
  <si>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</si>
  <si>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</si>
  <si>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</si>
  <si>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</si>
  <si>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</si>
  <si>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</si>
  <si>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</si>
  <si>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</si>
  <si>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</si>
  <si>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</si>
  <si>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</si>
  <si>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</si>
  <si>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</si>
  <si>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</si>
  <si>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</si>
  <si>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</si>
  <si>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</si>
  <si>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</si>
  <si>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</si>
  <si>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</si>
  <si>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</si>
  <si>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</si>
  <si>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</si>
  <si>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</si>
  <si>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</si>
  <si>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</si>
  <si>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</si>
  <si>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</si>
  <si>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</si>
  <si>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</si>
  <si>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</si>
  <si>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</si>
  <si>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</si>
  <si>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</si>
  <si>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</si>
  <si>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</si>
  <si>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</si>
  <si>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</si>
  <si>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</si>
  <si>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</si>
  <si>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</si>
  <si>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</si>
  <si>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</si>
  <si>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</si>
  <si>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</si>
  <si>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</si>
  <si>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</si>
  <si>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</si>
  <si>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</si>
  <si>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</si>
  <si>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</si>
  <si>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</si>
  <si>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</si>
  <si>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</si>
  <si>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</si>
  <si>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</si>
  <si>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</si>
  <si>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</si>
  <si>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</si>
  <si>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</si>
  <si>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</si>
  <si>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</si>
  <si>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</si>
  <si>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</si>
  <si>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</si>
  <si>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</si>
  <si>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</si>
  <si>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</si>
  <si>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</si>
  <si>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</si>
  <si>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</si>
  <si>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</si>
  <si>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</si>
  <si>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</si>
  <si>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</si>
  <si>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</si>
  <si>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</si>
  <si>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</si>
  <si>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</si>
  <si>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</si>
  <si>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</si>
  <si>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</si>
  <si>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</si>
  <si>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</si>
  <si>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</si>
  <si>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</si>
  <si>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</si>
  <si>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</si>
  <si>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</si>
  <si>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</si>
  <si>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</si>
  <si>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</si>
  <si>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</si>
  <si>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</si>
  <si>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</si>
  <si>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</si>
  <si>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</si>
  <si>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</si>
  <si>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</si>
  <si>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</si>
  <si>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</si>
  <si>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</si>
  <si>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</si>
  <si>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</si>
  <si>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</si>
  <si>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</si>
  <si>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</si>
  <si>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</si>
  <si>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</si>
  <si>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</si>
  <si>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</si>
  <si>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</si>
  <si>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</si>
  <si>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</si>
  <si>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</si>
  <si>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</si>
  <si>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</si>
  <si>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</si>
  <si>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</si>
  <si>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</si>
  <si>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</si>
  <si>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</si>
  <si>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</si>
  <si>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</si>
  <si>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</si>
  <si>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</si>
  <si>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</si>
  <si>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</si>
  <si>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</si>
  <si>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</si>
  <si>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</si>
  <si>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</si>
  <si>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</si>
  <si>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</si>
  <si>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</si>
  <si>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</si>
  <si>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</si>
  <si>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</si>
  <si>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</si>
  <si>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</si>
  <si>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</si>
  <si>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</si>
  <si>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</si>
  <si>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</si>
  <si>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</si>
  <si>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</si>
  <si>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</si>
  <si>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</si>
  <si>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</si>
  <si>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</si>
  <si>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</si>
  <si>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</si>
  <si>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</si>
  <si>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</si>
  <si>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</si>
  <si>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</si>
  <si>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</si>
  <si>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</si>
  <si>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</si>
  <si>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</si>
  <si>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</si>
  <si>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</si>
  <si>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</si>
  <si>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</si>
  <si>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</si>
  <si>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</si>
  <si>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</si>
  <si>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</si>
  <si>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</si>
  <si>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</si>
  <si>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</si>
  <si>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</si>
  <si>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</si>
  <si>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</si>
  <si>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</si>
  <si>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</si>
  <si>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</si>
  <si>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</si>
  <si>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</si>
  <si>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</si>
  <si>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</si>
  <si>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</si>
  <si>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</si>
  <si>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</si>
  <si>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</si>
  <si>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</si>
  <si>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</si>
  <si>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</si>
  <si>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</si>
  <si>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</si>
  <si>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</si>
  <si>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</si>
  <si>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</si>
  <si>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</si>
  <si>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</si>
  <si>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</si>
  <si>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</si>
  <si>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</si>
  <si>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</si>
  <si>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</si>
  <si>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</si>
  <si>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</si>
  <si>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</si>
  <si>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</si>
  <si>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</si>
  <si>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</si>
  <si>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</si>
  <si>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</si>
  <si>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</si>
  <si>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</si>
  <si>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</si>
  <si>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</si>
  <si>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</si>
  <si>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</si>
  <si>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</si>
  <si>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</si>
  <si>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</si>
  <si>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</si>
  <si>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</si>
  <si>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</si>
  <si>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</si>
  <si>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</si>
  <si>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</si>
  <si>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</si>
  <si>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</si>
  <si>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</si>
  <si>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</si>
  <si>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</si>
  <si>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</si>
  <si>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</si>
  <si>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</si>
  <si>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</si>
  <si>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</si>
  <si>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</si>
  <si>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</si>
  <si>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</si>
  <si>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</si>
  <si>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</si>
  <si>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</si>
  <si>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</si>
  <si>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</si>
  <si>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</si>
  <si>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</si>
  <si>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</si>
  <si>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</si>
  <si>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</si>
  <si>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</si>
  <si>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</si>
  <si>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</si>
  <si>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</si>
  <si>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</si>
  <si>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</si>
  <si>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</si>
  <si>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</si>
  <si>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</si>
  <si>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</si>
  <si>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</si>
  <si>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</si>
  <si>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</si>
  <si>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</si>
  <si>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</si>
  <si>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</si>
  <si>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</si>
  <si>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</si>
  <si>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</si>
  <si>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</si>
  <si>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</si>
  <si>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</si>
  <si>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</si>
  <si>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</si>
  <si>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</si>
  <si>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</si>
  <si>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</si>
  <si>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</si>
  <si>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</si>
  <si>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</si>
  <si>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</si>
  <si>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</si>
  <si>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</si>
  <si>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</si>
  <si>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</si>
  <si>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</si>
  <si>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</si>
  <si>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</si>
  <si>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</si>
  <si>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</si>
  <si>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</si>
  <si>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</si>
  <si>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</si>
  <si>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</si>
  <si>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</si>
  <si>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</si>
  <si>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</si>
  <si>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</si>
  <si>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</si>
  <si>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date</t>
  </si>
  <si>
    <t>total_net_flows_SPY</t>
  </si>
  <si>
    <t>total_net_flows_IVV</t>
  </si>
  <si>
    <t>total_net_flows_VOO</t>
  </si>
  <si>
    <t>total</t>
  </si>
  <si>
    <t>variación</t>
  </si>
  <si>
    <t>Inicio Semana</t>
  </si>
  <si>
    <t>2 / 1 / 2018</t>
  </si>
  <si>
    <t>3 / 1 / 2018</t>
  </si>
  <si>
    <t>4 / 1 / 2018</t>
  </si>
  <si>
    <t>5 / 1 / 2018</t>
  </si>
  <si>
    <t>8 / 1 / 2018</t>
  </si>
  <si>
    <t>9 / 1 / 2018</t>
  </si>
  <si>
    <t>10 / 1 / 2018</t>
  </si>
  <si>
    <t>11 / 1 / 2018</t>
  </si>
  <si>
    <t>12 / 1 / 2018</t>
  </si>
  <si>
    <t>16 / 1 / 2018</t>
  </si>
  <si>
    <t>17 / 1 / 2018</t>
  </si>
  <si>
    <t>18 / 1 / 2018</t>
  </si>
  <si>
    <t>19 / 1 / 2018</t>
  </si>
  <si>
    <t>22 / 1 / 2018</t>
  </si>
  <si>
    <t>23 / 1 / 2018</t>
  </si>
  <si>
    <t>24 / 1 / 2018</t>
  </si>
  <si>
    <t>25 / 1 / 2018</t>
  </si>
  <si>
    <t>26 / 1 / 2018</t>
  </si>
  <si>
    <t>29 / 1 / 2018</t>
  </si>
  <si>
    <t>30 / 1 / 2018</t>
  </si>
  <si>
    <t>31 / 1 / 2018</t>
  </si>
  <si>
    <t>1 / 2 / 2018</t>
  </si>
  <si>
    <t>2 / 2 / 2018</t>
  </si>
  <si>
    <t>5 / 2 / 2018</t>
  </si>
  <si>
    <t>6 / 2 / 2018</t>
  </si>
  <si>
    <t>7 / 2 / 2018</t>
  </si>
  <si>
    <t>8 / 2 / 2018</t>
  </si>
  <si>
    <t>9 / 2 / 2018</t>
  </si>
  <si>
    <t>12 / 2 / 2018</t>
  </si>
  <si>
    <t>13 / 2 / 2018</t>
  </si>
  <si>
    <t>14 / 2 / 2018</t>
  </si>
  <si>
    <t>15 / 2 / 2018</t>
  </si>
  <si>
    <t>16 / 2 / 2018</t>
  </si>
  <si>
    <t>20 / 2 / 2018</t>
  </si>
  <si>
    <t>21 / 2 / 2018</t>
  </si>
  <si>
    <t>22 / 2 / 2018</t>
  </si>
  <si>
    <t>23 / 2 / 2018</t>
  </si>
  <si>
    <t>26 / 2 / 2018</t>
  </si>
  <si>
    <t>27 / 2 / 2018</t>
  </si>
  <si>
    <t>28 / 2 / 2018</t>
  </si>
  <si>
    <t>1 / 3 / 2018</t>
  </si>
  <si>
    <t>2 / 3 / 2018</t>
  </si>
  <si>
    <t>5 / 3 / 2018</t>
  </si>
  <si>
    <t>6 / 3 / 2018</t>
  </si>
  <si>
    <t>7 / 3 / 2018</t>
  </si>
  <si>
    <t>8 / 3 / 2018</t>
  </si>
  <si>
    <t>9 / 3 / 2018</t>
  </si>
  <si>
    <t>12 / 3 / 2018</t>
  </si>
  <si>
    <t>13 / 3 / 2018</t>
  </si>
  <si>
    <t>14 / 3 / 2018</t>
  </si>
  <si>
    <t>15 / 3 / 2018</t>
  </si>
  <si>
    <t>16 / 3 / 2018</t>
  </si>
  <si>
    <t>19 / 3 / 2018</t>
  </si>
  <si>
    <t>20 / 3 / 2018</t>
  </si>
  <si>
    <t>21 / 3 / 2018</t>
  </si>
  <si>
    <t>22 / 3 / 2018</t>
  </si>
  <si>
    <t>23 / 3 / 2018</t>
  </si>
  <si>
    <t>26 / 3 / 2018</t>
  </si>
  <si>
    <t>27 / 3 / 2018</t>
  </si>
  <si>
    <t>28 / 3 / 2018</t>
  </si>
  <si>
    <t>29 / 3 / 2018</t>
  </si>
  <si>
    <t>2 / 4 / 2018</t>
  </si>
  <si>
    <t>3 / 4 / 2018</t>
  </si>
  <si>
    <t>4 / 4 / 2018</t>
  </si>
  <si>
    <t>5 / 4 / 2018</t>
  </si>
  <si>
    <t>6 / 4 / 2018</t>
  </si>
  <si>
    <t>9 / 4 / 2018</t>
  </si>
  <si>
    <t>10 / 4 / 2018</t>
  </si>
  <si>
    <t>11 / 4 / 2018</t>
  </si>
  <si>
    <t>12 / 4 / 2018</t>
  </si>
  <si>
    <t>13 / 4 / 2018</t>
  </si>
  <si>
    <t>16 / 4 / 2018</t>
  </si>
  <si>
    <t>17 / 4 / 2018</t>
  </si>
  <si>
    <t>18 / 4 / 2018</t>
  </si>
  <si>
    <t>19 / 4 / 2018</t>
  </si>
  <si>
    <t>20 / 4 / 2018</t>
  </si>
  <si>
    <t>23 / 4 / 2018</t>
  </si>
  <si>
    <t>24 / 4 / 2018</t>
  </si>
  <si>
    <t>25 / 4 / 2018</t>
  </si>
  <si>
    <t>26 / 4 / 2018</t>
  </si>
  <si>
    <t>27 / 4 / 2018</t>
  </si>
  <si>
    <t>30 / 4 / 2018</t>
  </si>
  <si>
    <t>1 / 5 / 2018</t>
  </si>
  <si>
    <t>2 / 5 / 2018</t>
  </si>
  <si>
    <t>3 / 5 / 2018</t>
  </si>
  <si>
    <t>4 / 5 / 2018</t>
  </si>
  <si>
    <t>7 / 5 / 2018</t>
  </si>
  <si>
    <t>8 / 5 / 2018</t>
  </si>
  <si>
    <t>9 / 5 / 2018</t>
  </si>
  <si>
    <t>10 / 5 / 2018</t>
  </si>
  <si>
    <t>11 / 5 / 2018</t>
  </si>
  <si>
    <t>14 / 5 / 2018</t>
  </si>
  <si>
    <t>15 / 5 / 2018</t>
  </si>
  <si>
    <t>16 / 5 / 2018</t>
  </si>
  <si>
    <t>17 / 5 / 2018</t>
  </si>
  <si>
    <t>18 / 5 / 2018</t>
  </si>
  <si>
    <t>21 / 5 / 2018</t>
  </si>
  <si>
    <t>22 / 5 / 2018</t>
  </si>
  <si>
    <t>23 / 5 / 2018</t>
  </si>
  <si>
    <t>24 / 5 / 2018</t>
  </si>
  <si>
    <t>25 / 5 / 2018</t>
  </si>
  <si>
    <t>29 / 5 / 2018</t>
  </si>
  <si>
    <t>30 / 5 / 2018</t>
  </si>
  <si>
    <t>31 / 5 / 2018</t>
  </si>
  <si>
    <t>1 / 6 / 2018</t>
  </si>
  <si>
    <t>4 / 6 / 2018</t>
  </si>
  <si>
    <t>5 / 6 / 2018</t>
  </si>
  <si>
    <t>6 / 6 / 2018</t>
  </si>
  <si>
    <t>7 / 6 / 2018</t>
  </si>
  <si>
    <t>8 / 6 / 2018</t>
  </si>
  <si>
    <t>11 / 6 / 2018</t>
  </si>
  <si>
    <t>12 / 6 / 2018</t>
  </si>
  <si>
    <t>13 / 6 / 2018</t>
  </si>
  <si>
    <t>14 / 6 / 2018</t>
  </si>
  <si>
    <t>15 / 6 / 2018</t>
  </si>
  <si>
    <t>18 / 6 / 2018</t>
  </si>
  <si>
    <t>19 / 6 / 2018</t>
  </si>
  <si>
    <t>20 / 6 / 2018</t>
  </si>
  <si>
    <t>21 / 6 / 2018</t>
  </si>
  <si>
    <t>22 / 6 / 2018</t>
  </si>
  <si>
    <t>25 / 6 / 2018</t>
  </si>
  <si>
    <t>26 / 6 / 2018</t>
  </si>
  <si>
    <t>27 / 6 / 2018</t>
  </si>
  <si>
    <t>28 / 6 / 2018</t>
  </si>
  <si>
    <t>29 / 6 / 2018</t>
  </si>
  <si>
    <t>2 / 7 / 2018</t>
  </si>
  <si>
    <t>3 / 7 / 2018</t>
  </si>
  <si>
    <t>5 / 7 / 2018</t>
  </si>
  <si>
    <t>6 / 7 / 2018</t>
  </si>
  <si>
    <t>9 / 7 / 2018</t>
  </si>
  <si>
    <t>10 / 7 / 2018</t>
  </si>
  <si>
    <t>11 / 7 / 2018</t>
  </si>
  <si>
    <t>12 / 7 / 2018</t>
  </si>
  <si>
    <t>13 / 7 / 2018</t>
  </si>
  <si>
    <t>16 / 7 / 2018</t>
  </si>
  <si>
    <t>17 / 7 / 2018</t>
  </si>
  <si>
    <t>18 / 7 / 2018</t>
  </si>
  <si>
    <t>19 / 7 / 2018</t>
  </si>
  <si>
    <t>20 / 7 / 2018</t>
  </si>
  <si>
    <t>23 / 7 / 2018</t>
  </si>
  <si>
    <t>24 / 7 / 2018</t>
  </si>
  <si>
    <t>25 / 7 / 2018</t>
  </si>
  <si>
    <t>26 / 7 / 2018</t>
  </si>
  <si>
    <t>27 / 7 / 2018</t>
  </si>
  <si>
    <t>30 / 7 / 2018</t>
  </si>
  <si>
    <t>31 / 7 / 2018</t>
  </si>
  <si>
    <t>1 / 8 / 2018</t>
  </si>
  <si>
    <t>2 / 8 / 2018</t>
  </si>
  <si>
    <t>3 / 8 / 2018</t>
  </si>
  <si>
    <t>6 / 8 / 2018</t>
  </si>
  <si>
    <t>7 / 8 / 2018</t>
  </si>
  <si>
    <t>8 / 8 / 2018</t>
  </si>
  <si>
    <t>9 / 8 / 2018</t>
  </si>
  <si>
    <t>10 / 8 / 2018</t>
  </si>
  <si>
    <t>13 / 8 / 2018</t>
  </si>
  <si>
    <t>14 / 8 / 2018</t>
  </si>
  <si>
    <t>15 / 8 / 2018</t>
  </si>
  <si>
    <t>16 / 8 / 2018</t>
  </si>
  <si>
    <t>17 / 8 / 2018</t>
  </si>
  <si>
    <t>20 / 8 / 2018</t>
  </si>
  <si>
    <t>21 / 8 / 2018</t>
  </si>
  <si>
    <t>22 / 8 / 2018</t>
  </si>
  <si>
    <t>23 / 8 / 2018</t>
  </si>
  <si>
    <t>24 / 8 / 2018</t>
  </si>
  <si>
    <t>27 / 8 / 2018</t>
  </si>
  <si>
    <t>28 / 8 / 2018</t>
  </si>
  <si>
    <t>29 / 8 / 2018</t>
  </si>
  <si>
    <t>30 / 8 / 2018</t>
  </si>
  <si>
    <t>31 / 8 / 2018</t>
  </si>
  <si>
    <t>4 / 9 / 2018</t>
  </si>
  <si>
    <t>5 / 9 / 2018</t>
  </si>
  <si>
    <t>6 / 9 / 2018</t>
  </si>
  <si>
    <t>7 / 9 / 2018</t>
  </si>
  <si>
    <t>10 / 9 / 2018</t>
  </si>
  <si>
    <t>11 / 9 / 2018</t>
  </si>
  <si>
    <t>12 / 9 / 2018</t>
  </si>
  <si>
    <t>13 / 9 / 2018</t>
  </si>
  <si>
    <t>14 / 9 / 2018</t>
  </si>
  <si>
    <t>17 / 9 / 2018</t>
  </si>
  <si>
    <t>18 / 9 / 2018</t>
  </si>
  <si>
    <t>19 / 9 / 2018</t>
  </si>
  <si>
    <t>20 / 9 / 2018</t>
  </si>
  <si>
    <t>21 / 9 / 2018</t>
  </si>
  <si>
    <t>24 / 9 / 2018</t>
  </si>
  <si>
    <t>25 / 9 / 2018</t>
  </si>
  <si>
    <t>26 / 9 / 2018</t>
  </si>
  <si>
    <t>27 / 9 / 2018</t>
  </si>
  <si>
    <t>28 / 9 / 2018</t>
  </si>
  <si>
    <t>1 / 10 / 2018</t>
  </si>
  <si>
    <t>2 / 10 / 2018</t>
  </si>
  <si>
    <t>3 / 10 / 2018</t>
  </si>
  <si>
    <t>4 / 10 / 2018</t>
  </si>
  <si>
    <t>5 / 10 / 2018</t>
  </si>
  <si>
    <t>8 / 10 / 2018</t>
  </si>
  <si>
    <t>9 / 10 / 2018</t>
  </si>
  <si>
    <t>10 / 10 / 2018</t>
  </si>
  <si>
    <t>11 / 10 / 2018</t>
  </si>
  <si>
    <t>12 / 10 / 2018</t>
  </si>
  <si>
    <t>15 / 10 / 2018</t>
  </si>
  <si>
    <t>16 / 10 / 2018</t>
  </si>
  <si>
    <t>17 / 10 / 2018</t>
  </si>
  <si>
    <t>18 / 10 / 2018</t>
  </si>
  <si>
    <t>19 / 10 / 2018</t>
  </si>
  <si>
    <t>22 / 10 / 2018</t>
  </si>
  <si>
    <t>23 / 10 / 2018</t>
  </si>
  <si>
    <t>24 / 10 / 2018</t>
  </si>
  <si>
    <t>25 / 10 / 2018</t>
  </si>
  <si>
    <t>26 / 10 / 2018</t>
  </si>
  <si>
    <t>29 / 10 / 2018</t>
  </si>
  <si>
    <t>30 / 10 / 2018</t>
  </si>
  <si>
    <t>31 / 10 / 2018</t>
  </si>
  <si>
    <t>1 / 11 / 2018</t>
  </si>
  <si>
    <t>2 / 11 / 2018</t>
  </si>
  <si>
    <t>5 / 11 / 2018</t>
  </si>
  <si>
    <t>6 / 11 / 2018</t>
  </si>
  <si>
    <t>7 / 11 / 2018</t>
  </si>
  <si>
    <t>8 / 11 / 2018</t>
  </si>
  <si>
    <t>9 / 11 / 2018</t>
  </si>
  <si>
    <t>12 / 11 / 2018</t>
  </si>
  <si>
    <t>13 / 11 / 2018</t>
  </si>
  <si>
    <t>14 / 11 / 2018</t>
  </si>
  <si>
    <t>15 / 11 / 2018</t>
  </si>
  <si>
    <t>16 / 11 / 2018</t>
  </si>
  <si>
    <t>19 / 11 / 2018</t>
  </si>
  <si>
    <t>20 / 11 / 2018</t>
  </si>
  <si>
    <t>21 / 11 / 2018</t>
  </si>
  <si>
    <t>23 / 11 / 2018</t>
  </si>
  <si>
    <t>26 / 11 / 2018</t>
  </si>
  <si>
    <t>27 / 11 / 2018</t>
  </si>
  <si>
    <t>28 / 11 / 2018</t>
  </si>
  <si>
    <t>29 / 11 / 2018</t>
  </si>
  <si>
    <t>30 / 11 / 2018</t>
  </si>
  <si>
    <t>3 / 12 / 2018</t>
  </si>
  <si>
    <t>4 / 12 / 2018</t>
  </si>
  <si>
    <t>6 / 12 / 2018</t>
  </si>
  <si>
    <t>7 / 12 / 2018</t>
  </si>
  <si>
    <t>10 / 12 / 2018</t>
  </si>
  <si>
    <t>11 / 12 / 2018</t>
  </si>
  <si>
    <t>12 / 12 / 2018</t>
  </si>
  <si>
    <t>13 / 12 / 2018</t>
  </si>
  <si>
    <t>14 / 12 / 2018</t>
  </si>
  <si>
    <t>17 / 12 / 2018</t>
  </si>
  <si>
    <t>18 / 12 / 2018</t>
  </si>
  <si>
    <t>19 / 12 / 2018</t>
  </si>
  <si>
    <t>20 / 12 / 2018</t>
  </si>
  <si>
    <t>21 / 12 / 2018</t>
  </si>
  <si>
    <t>24 / 12 / 2018</t>
  </si>
  <si>
    <t>26 / 12 / 2018</t>
  </si>
  <si>
    <t>27 / 12 / 2018</t>
  </si>
  <si>
    <t>28 / 12 / 2018</t>
  </si>
  <si>
    <t>31 / 12 / 2018</t>
  </si>
  <si>
    <t>2 / 1 / 2019</t>
  </si>
  <si>
    <t>3 / 1 / 2019</t>
  </si>
  <si>
    <t>4 / 1 / 2019</t>
  </si>
  <si>
    <t>7 / 1 / 2019</t>
  </si>
  <si>
    <t>8 / 1 / 2019</t>
  </si>
  <si>
    <t>9 / 1 / 2019</t>
  </si>
  <si>
    <t>10 / 1 / 2019</t>
  </si>
  <si>
    <t>11 / 1 / 2019</t>
  </si>
  <si>
    <t>14 / 1 / 2019</t>
  </si>
  <si>
    <t>15 / 1 / 2019</t>
  </si>
  <si>
    <t>16 / 1 / 2019</t>
  </si>
  <si>
    <t>17 / 1 / 2019</t>
  </si>
  <si>
    <t>18 / 1 / 2019</t>
  </si>
  <si>
    <t>22 / 1 / 2019</t>
  </si>
  <si>
    <t>23 / 1 / 2019</t>
  </si>
  <si>
    <t>24 / 1 / 2019</t>
  </si>
  <si>
    <t>25 / 1 / 2019</t>
  </si>
  <si>
    <t>28 / 1 / 2019</t>
  </si>
  <si>
    <t>29 / 1 / 2019</t>
  </si>
  <si>
    <t>30 / 1 / 2019</t>
  </si>
  <si>
    <t>31 / 1 / 2019</t>
  </si>
  <si>
    <t>1 / 2 / 2019</t>
  </si>
  <si>
    <t>4 / 2 / 2019</t>
  </si>
  <si>
    <t>5 / 2 / 2019</t>
  </si>
  <si>
    <t>6 / 2 / 2019</t>
  </si>
  <si>
    <t>7 / 2 / 2019</t>
  </si>
  <si>
    <t>8 / 2 / 2019</t>
  </si>
  <si>
    <t>11 / 2 / 2019</t>
  </si>
  <si>
    <t>12 / 2 / 2019</t>
  </si>
  <si>
    <t>13 / 2 / 2019</t>
  </si>
  <si>
    <t>14 / 2 / 2019</t>
  </si>
  <si>
    <t>15 / 2 / 2019</t>
  </si>
  <si>
    <t>19 / 2 / 2019</t>
  </si>
  <si>
    <t>20 / 2 / 2019</t>
  </si>
  <si>
    <t>21 / 2 / 2019</t>
  </si>
  <si>
    <t>22 / 2 / 2019</t>
  </si>
  <si>
    <t>25 / 2 / 2019</t>
  </si>
  <si>
    <t>26 / 2 / 2019</t>
  </si>
  <si>
    <t>27 / 2 / 2019</t>
  </si>
  <si>
    <t>28 / 2 / 2019</t>
  </si>
  <si>
    <t>1 / 3 / 2019</t>
  </si>
  <si>
    <t>4 / 3 / 2019</t>
  </si>
  <si>
    <t>5 / 3 / 2019</t>
  </si>
  <si>
    <t>6 / 3 / 2019</t>
  </si>
  <si>
    <t>7 / 3 / 2019</t>
  </si>
  <si>
    <t>8 / 3 / 2019</t>
  </si>
  <si>
    <t>11 / 3 / 2019</t>
  </si>
  <si>
    <t>12 / 3 / 2019</t>
  </si>
  <si>
    <t>13 / 3 / 2019</t>
  </si>
  <si>
    <t>14 / 3 / 2019</t>
  </si>
  <si>
    <t>15 / 3 / 2019</t>
  </si>
  <si>
    <t>18 / 3 / 2019</t>
  </si>
  <si>
    <t>19 / 3 / 2019</t>
  </si>
  <si>
    <t>20 / 3 / 2019</t>
  </si>
  <si>
    <t>21 / 3 / 2019</t>
  </si>
  <si>
    <t>22 / 3 / 2019</t>
  </si>
  <si>
    <t>25 / 3 / 2019</t>
  </si>
  <si>
    <t>26 / 3 / 2019</t>
  </si>
  <si>
    <t>27 / 3 / 2019</t>
  </si>
  <si>
    <t>28 / 3 / 2019</t>
  </si>
  <si>
    <t>29 / 3 / 2019</t>
  </si>
  <si>
    <t>1 / 4 / 2019</t>
  </si>
  <si>
    <t>2 / 4 / 2019</t>
  </si>
  <si>
    <t>3 / 4 / 2019</t>
  </si>
  <si>
    <t>4 / 4 / 2019</t>
  </si>
  <si>
    <t>5 / 4 / 2019</t>
  </si>
  <si>
    <t>8 / 4 / 2019</t>
  </si>
  <si>
    <t>9 / 4 / 2019</t>
  </si>
  <si>
    <t>10 / 4 / 2019</t>
  </si>
  <si>
    <t>11 / 4 / 2019</t>
  </si>
  <si>
    <t>12 / 4 / 2019</t>
  </si>
  <si>
    <t>15 / 4 / 2019</t>
  </si>
  <si>
    <t>16 / 4 / 2019</t>
  </si>
  <si>
    <t>17 / 4 / 2019</t>
  </si>
  <si>
    <t>18 / 4 / 2019</t>
  </si>
  <si>
    <t>22 / 4 / 2019</t>
  </si>
  <si>
    <t>23 / 4 / 2019</t>
  </si>
  <si>
    <t>24 / 4 / 2019</t>
  </si>
  <si>
    <t>25 / 4 / 2019</t>
  </si>
  <si>
    <t>26 / 4 / 2019</t>
  </si>
  <si>
    <t>29 / 4 / 2019</t>
  </si>
  <si>
    <t>30 / 4 / 2019</t>
  </si>
  <si>
    <t>1 / 5 / 2019</t>
  </si>
  <si>
    <t>2 / 5 / 2019</t>
  </si>
  <si>
    <t>3 / 5 / 2019</t>
  </si>
  <si>
    <t>6 / 5 / 2019</t>
  </si>
  <si>
    <t>7 / 5 / 2019</t>
  </si>
  <si>
    <t>8 / 5 / 2019</t>
  </si>
  <si>
    <t>9 / 5 / 2019</t>
  </si>
  <si>
    <t>10 / 5 / 2019</t>
  </si>
  <si>
    <t>13 / 5 / 2019</t>
  </si>
  <si>
    <t>14 / 5 / 2019</t>
  </si>
  <si>
    <t>15 / 5 / 2019</t>
  </si>
  <si>
    <t>16 / 5 / 2019</t>
  </si>
  <si>
    <t>17 / 5 / 2019</t>
  </si>
  <si>
    <t>20 / 5 / 2019</t>
  </si>
  <si>
    <t>21 / 5 / 2019</t>
  </si>
  <si>
    <t>22 / 5 / 2019</t>
  </si>
  <si>
    <t>23 / 5 / 2019</t>
  </si>
  <si>
    <t>24 / 5 / 2019</t>
  </si>
  <si>
    <t>28 / 5 / 2019</t>
  </si>
  <si>
    <t>29 / 5 / 2019</t>
  </si>
  <si>
    <t>30 / 5 / 2019</t>
  </si>
  <si>
    <t>31 / 5 / 2019</t>
  </si>
  <si>
    <t>3 / 6 / 2019</t>
  </si>
  <si>
    <t>4 / 6 / 2019</t>
  </si>
  <si>
    <t>5 / 6 / 2019</t>
  </si>
  <si>
    <t>6 / 6 / 2019</t>
  </si>
  <si>
    <t>7 / 6 / 2019</t>
  </si>
  <si>
    <t>10 / 6 / 2019</t>
  </si>
  <si>
    <t>11 / 6 / 2019</t>
  </si>
  <si>
    <t>12 / 6 / 2019</t>
  </si>
  <si>
    <t>13 / 6 / 2019</t>
  </si>
  <si>
    <t>14 / 6 / 2019</t>
  </si>
  <si>
    <t>17 / 6 / 2019</t>
  </si>
  <si>
    <t>18 / 6 / 2019</t>
  </si>
  <si>
    <t>19 / 6 / 2019</t>
  </si>
  <si>
    <t>20 / 6 / 2019</t>
  </si>
  <si>
    <t>21 / 6 / 2019</t>
  </si>
  <si>
    <t>24 / 6 / 2019</t>
  </si>
  <si>
    <t>25 / 6 / 2019</t>
  </si>
  <si>
    <t>26 / 6 / 2019</t>
  </si>
  <si>
    <t>27 / 6 / 2019</t>
  </si>
  <si>
    <t>28 / 6 / 2019</t>
  </si>
  <si>
    <t>1 / 7 / 2019</t>
  </si>
  <si>
    <t>2 / 7 / 2019</t>
  </si>
  <si>
    <t>3 / 7 / 2019</t>
  </si>
  <si>
    <t>5 / 7 / 2019</t>
  </si>
  <si>
    <t>8 / 7 / 2019</t>
  </si>
  <si>
    <t>9 / 7 / 2019</t>
  </si>
  <si>
    <t>10 / 7 / 2019</t>
  </si>
  <si>
    <t>11 / 7 / 2019</t>
  </si>
  <si>
    <t>12 / 7 / 2019</t>
  </si>
  <si>
    <t>15 / 7 / 2019</t>
  </si>
  <si>
    <t>16 / 7 / 2019</t>
  </si>
  <si>
    <t>17 / 7 / 2019</t>
  </si>
  <si>
    <t>18 / 7 / 2019</t>
  </si>
  <si>
    <t>19 / 7 / 2019</t>
  </si>
  <si>
    <t>22 / 7 / 2019</t>
  </si>
  <si>
    <t>23 / 7 / 2019</t>
  </si>
  <si>
    <t>24 / 7 / 2019</t>
  </si>
  <si>
    <t>25 / 7 / 2019</t>
  </si>
  <si>
    <t>26 / 7 / 2019</t>
  </si>
  <si>
    <t>29 / 7 / 2019</t>
  </si>
  <si>
    <t>30 / 7 / 2019</t>
  </si>
  <si>
    <t>31 / 7 / 2019</t>
  </si>
  <si>
    <t>1 / 8 / 2019</t>
  </si>
  <si>
    <t>2 / 8 / 2019</t>
  </si>
  <si>
    <t>5 / 8 / 2019</t>
  </si>
  <si>
    <t>6 / 8 / 2019</t>
  </si>
  <si>
    <t>7 / 8 / 2019</t>
  </si>
  <si>
    <t>8 / 8 / 2019</t>
  </si>
  <si>
    <t>9 / 8 / 2019</t>
  </si>
  <si>
    <t>12 / 8 / 2019</t>
  </si>
  <si>
    <t>13 / 8 / 2019</t>
  </si>
  <si>
    <t>14 / 8 / 2019</t>
  </si>
  <si>
    <t>15 / 8 / 2019</t>
  </si>
  <si>
    <t>16 / 8 / 2019</t>
  </si>
  <si>
    <t>19 / 8 / 2019</t>
  </si>
  <si>
    <t>20 / 8 / 2019</t>
  </si>
  <si>
    <t>21 / 8 / 2019</t>
  </si>
  <si>
    <t>22 / 8 / 2019</t>
  </si>
  <si>
    <t>23 / 8 / 2019</t>
  </si>
  <si>
    <t>26 / 8 / 2019</t>
  </si>
  <si>
    <t>27 / 8 / 2019</t>
  </si>
  <si>
    <t>28 / 8 / 2019</t>
  </si>
  <si>
    <t>29 / 8 / 2019</t>
  </si>
  <si>
    <t>30 / 8 / 2019</t>
  </si>
  <si>
    <t>3 / 9 / 2019</t>
  </si>
  <si>
    <t>4 / 9 / 2019</t>
  </si>
  <si>
    <t>5 / 9 / 2019</t>
  </si>
  <si>
    <t>6 / 9 / 2019</t>
  </si>
  <si>
    <t>9 / 9 / 2019</t>
  </si>
  <si>
    <t>10 / 9 / 2019</t>
  </si>
  <si>
    <t>11 / 9 / 2019</t>
  </si>
  <si>
    <t>12 / 9 / 2019</t>
  </si>
  <si>
    <t>13 / 9 / 2019</t>
  </si>
  <si>
    <t>16 / 9 / 2019</t>
  </si>
  <si>
    <t>17 / 9 / 2019</t>
  </si>
  <si>
    <t>18 / 9 / 2019</t>
  </si>
  <si>
    <t>19 / 9 / 2019</t>
  </si>
  <si>
    <t>20 / 9 / 2019</t>
  </si>
  <si>
    <t>23 / 9 / 2019</t>
  </si>
  <si>
    <t>24 / 9 / 2019</t>
  </si>
  <si>
    <t>25 / 9 / 2019</t>
  </si>
  <si>
    <t>26 / 9 / 2019</t>
  </si>
  <si>
    <t>27 / 9 / 2019</t>
  </si>
  <si>
    <t>30 / 9 / 2019</t>
  </si>
  <si>
    <t>1 / 10 / 2019</t>
  </si>
  <si>
    <t>2 / 10 / 2019</t>
  </si>
  <si>
    <t>3 / 10 / 2019</t>
  </si>
  <si>
    <t>4 / 10 / 2019</t>
  </si>
  <si>
    <t>7 / 10 / 2019</t>
  </si>
  <si>
    <t>8 / 10 / 2019</t>
  </si>
  <si>
    <t>9 / 10 / 2019</t>
  </si>
  <si>
    <t>10 / 10 / 2019</t>
  </si>
  <si>
    <t>11 / 10 / 2019</t>
  </si>
  <si>
    <t>14 / 10 / 2019</t>
  </si>
  <si>
    <t>15 / 10 / 2019</t>
  </si>
  <si>
    <t>16 / 10 / 2019</t>
  </si>
  <si>
    <t>17 / 10 / 2019</t>
  </si>
  <si>
    <t>18 / 10 / 2019</t>
  </si>
  <si>
    <t>21 / 10 / 2019</t>
  </si>
  <si>
    <t>22 / 10 / 2019</t>
  </si>
  <si>
    <t>23 / 10 / 2019</t>
  </si>
  <si>
    <t>24 / 10 / 2019</t>
  </si>
  <si>
    <t>25 / 10 / 2019</t>
  </si>
  <si>
    <t>28 / 10 / 2019</t>
  </si>
  <si>
    <t>29 / 10 / 2019</t>
  </si>
  <si>
    <t>30 / 10 / 2019</t>
  </si>
  <si>
    <t>31 / 10 / 2019</t>
  </si>
  <si>
    <t>1 / 11 / 2019</t>
  </si>
  <si>
    <t>4 / 11 / 2019</t>
  </si>
  <si>
    <t>5 / 11 / 2019</t>
  </si>
  <si>
    <t>6 / 11 / 2019</t>
  </si>
  <si>
    <t>7 / 11 / 2019</t>
  </si>
  <si>
    <t>8 / 11 / 2019</t>
  </si>
  <si>
    <t>11 / 11 / 2019</t>
  </si>
  <si>
    <t>12 / 11 / 2019</t>
  </si>
  <si>
    <t>13 / 11 / 2019</t>
  </si>
  <si>
    <t>14 / 11 / 2019</t>
  </si>
  <si>
    <t>15 / 11 / 2019</t>
  </si>
  <si>
    <t>18 / 11 / 2019</t>
  </si>
  <si>
    <t>19 / 11 / 2019</t>
  </si>
  <si>
    <t>20 / 11 / 2019</t>
  </si>
  <si>
    <t>21 / 11 / 2019</t>
  </si>
  <si>
    <t>22 / 11 / 2019</t>
  </si>
  <si>
    <t>25 / 11 / 2019</t>
  </si>
  <si>
    <t>26 / 11 / 2019</t>
  </si>
  <si>
    <t>27 / 11 / 2019</t>
  </si>
  <si>
    <t>29 / 11 / 2019</t>
  </si>
  <si>
    <t>2 / 12 / 2019</t>
  </si>
  <si>
    <t>3 / 12 / 2019</t>
  </si>
  <si>
    <t>4 / 12 / 2019</t>
  </si>
  <si>
    <t>5 / 12 / 2019</t>
  </si>
  <si>
    <t>6 / 12 / 2019</t>
  </si>
  <si>
    <t>9 / 12 / 2019</t>
  </si>
  <si>
    <t>10 / 12 / 2019</t>
  </si>
  <si>
    <t>11 / 12 / 2019</t>
  </si>
  <si>
    <t>12 / 12 / 2019</t>
  </si>
  <si>
    <t>13 / 12 / 2019</t>
  </si>
  <si>
    <t>16 / 12 / 2019</t>
  </si>
  <si>
    <t>17 / 12 / 2019</t>
  </si>
  <si>
    <t>18 / 12 / 2019</t>
  </si>
  <si>
    <t>19 / 12 / 2019</t>
  </si>
  <si>
    <t>20 / 12 / 2019</t>
  </si>
  <si>
    <t>23 / 12 / 2019</t>
  </si>
  <si>
    <t>24 / 12 / 2019</t>
  </si>
  <si>
    <t>26 / 12 / 2019</t>
  </si>
  <si>
    <t>27 / 12 / 2019</t>
  </si>
  <si>
    <t>30 / 12 / 2019</t>
  </si>
  <si>
    <t>31 / 12 / 2019</t>
  </si>
  <si>
    <t>2 / 1 / 2020</t>
  </si>
  <si>
    <t>3 / 1 / 2020</t>
  </si>
  <si>
    <t>6 / 1 / 2020</t>
  </si>
  <si>
    <t>7 / 1 / 2020</t>
  </si>
  <si>
    <t>8 / 1 / 2020</t>
  </si>
  <si>
    <t>9 / 1 / 2020</t>
  </si>
  <si>
    <t>10 / 1 / 2020</t>
  </si>
  <si>
    <t>13 / 1 / 2020</t>
  </si>
  <si>
    <t>14 / 1 / 2020</t>
  </si>
  <si>
    <t>15 / 1 / 2020</t>
  </si>
  <si>
    <t>16 / 1 / 2020</t>
  </si>
  <si>
    <t>17 / 1 / 2020</t>
  </si>
  <si>
    <t>21 / 1 / 2020</t>
  </si>
  <si>
    <t>22 / 1 / 2020</t>
  </si>
  <si>
    <t>23 / 1 / 2020</t>
  </si>
  <si>
    <t>24 / 1 / 2020</t>
  </si>
  <si>
    <t>27 / 1 / 2020</t>
  </si>
  <si>
    <t>28 / 1 / 2020</t>
  </si>
  <si>
    <t>29 / 1 / 2020</t>
  </si>
  <si>
    <t>30 / 1 / 2020</t>
  </si>
  <si>
    <t>31 / 1 / 2020</t>
  </si>
  <si>
    <t>3 / 2 / 2020</t>
  </si>
  <si>
    <t>4 / 2 / 2020</t>
  </si>
  <si>
    <t>5 / 2 / 2020</t>
  </si>
  <si>
    <t>6 / 2 / 2020</t>
  </si>
  <si>
    <t>7 / 2 / 2020</t>
  </si>
  <si>
    <t>10 / 2 / 2020</t>
  </si>
  <si>
    <t>11 / 2 / 2020</t>
  </si>
  <si>
    <t>12 / 2 / 2020</t>
  </si>
  <si>
    <t>13 / 2 / 2020</t>
  </si>
  <si>
    <t>14 / 2 / 2020</t>
  </si>
  <si>
    <t>18 / 2 / 2020</t>
  </si>
  <si>
    <t>19 / 2 / 2020</t>
  </si>
  <si>
    <t>20 / 2 / 2020</t>
  </si>
  <si>
    <t>21 / 2 / 2020</t>
  </si>
  <si>
    <t>24 / 2 / 2020</t>
  </si>
  <si>
    <t>25 / 2 / 2020</t>
  </si>
  <si>
    <t>26 / 2 / 2020</t>
  </si>
  <si>
    <t>27 / 2 / 2020</t>
  </si>
  <si>
    <t>28 / 2 / 2020</t>
  </si>
  <si>
    <t>2 / 3 / 2020</t>
  </si>
  <si>
    <t>3 / 3 / 2020</t>
  </si>
  <si>
    <t>4 / 3 / 2020</t>
  </si>
  <si>
    <t>5 / 3 / 2020</t>
  </si>
  <si>
    <t>6 / 3 / 2020</t>
  </si>
  <si>
    <t>9 / 3 / 2020</t>
  </si>
  <si>
    <t>10 / 3 / 2020</t>
  </si>
  <si>
    <t>11 / 3 / 2020</t>
  </si>
  <si>
    <t>12 / 3 / 2020</t>
  </si>
  <si>
    <t>13 / 3 / 2020</t>
  </si>
  <si>
    <t>16 / 3 / 2020</t>
  </si>
  <si>
    <t>17 / 3 / 2020</t>
  </si>
  <si>
    <t>18 / 3 / 2020</t>
  </si>
  <si>
    <t>19 / 3 / 2020</t>
  </si>
  <si>
    <t>20 / 3 / 2020</t>
  </si>
  <si>
    <t>23 / 3 / 2020</t>
  </si>
  <si>
    <t>24 / 3 / 2020</t>
  </si>
  <si>
    <t>25 / 3 / 2020</t>
  </si>
  <si>
    <t>26 / 3 / 2020</t>
  </si>
  <si>
    <t>27 / 3 / 2020</t>
  </si>
  <si>
    <t>30 / 3 / 2020</t>
  </si>
  <si>
    <t>31 / 3 / 2020</t>
  </si>
  <si>
    <t>1 / 4 / 2020</t>
  </si>
  <si>
    <t>2 / 4 / 2020</t>
  </si>
  <si>
    <t>3 / 4 / 2020</t>
  </si>
  <si>
    <t>6 / 4 / 2020</t>
  </si>
  <si>
    <t>7 / 4 / 2020</t>
  </si>
  <si>
    <t>8 / 4 / 2020</t>
  </si>
  <si>
    <t>9 / 4 / 2020</t>
  </si>
  <si>
    <t>13 / 4 / 2020</t>
  </si>
  <si>
    <t>14 / 4 / 2020</t>
  </si>
  <si>
    <t>15 / 4 / 2020</t>
  </si>
  <si>
    <t>16 / 4 / 2020</t>
  </si>
  <si>
    <t>17 / 4 / 2020</t>
  </si>
  <si>
    <t>20 / 4 / 2020</t>
  </si>
  <si>
    <t>21 / 4 / 2020</t>
  </si>
  <si>
    <t>22 / 4 / 2020</t>
  </si>
  <si>
    <t>23 / 4 / 2020</t>
  </si>
  <si>
    <t>24 / 4 / 2020</t>
  </si>
  <si>
    <t>27 / 4 / 2020</t>
  </si>
  <si>
    <t>28 / 4 / 2020</t>
  </si>
  <si>
    <t>29 / 4 / 2020</t>
  </si>
  <si>
    <t>30 / 4 / 2020</t>
  </si>
  <si>
    <t>1 / 5 / 2020</t>
  </si>
  <si>
    <t>4 / 5 / 2020</t>
  </si>
  <si>
    <t>5 / 5 / 2020</t>
  </si>
  <si>
    <t>6 / 5 / 2020</t>
  </si>
  <si>
    <t>7 / 5 / 2020</t>
  </si>
  <si>
    <t>8 / 5 / 2020</t>
  </si>
  <si>
    <t>11 / 5 / 2020</t>
  </si>
  <si>
    <t>12 / 5 / 2020</t>
  </si>
  <si>
    <t>13 / 5 / 2020</t>
  </si>
  <si>
    <t>14 / 5 / 2020</t>
  </si>
  <si>
    <t>15 / 5 / 2020</t>
  </si>
  <si>
    <t>18 / 5 / 2020</t>
  </si>
  <si>
    <t>19 / 5 / 2020</t>
  </si>
  <si>
    <t>20 / 5 / 2020</t>
  </si>
  <si>
    <t>21 / 5 / 2020</t>
  </si>
  <si>
    <t>22 / 5 / 2020</t>
  </si>
  <si>
    <t>26 / 5 / 2020</t>
  </si>
  <si>
    <t>27 / 5 / 2020</t>
  </si>
  <si>
    <t>28 / 5 / 2020</t>
  </si>
  <si>
    <t>29 / 5 / 2020</t>
  </si>
  <si>
    <t>1 / 6 / 2020</t>
  </si>
  <si>
    <t>2 / 6 / 2020</t>
  </si>
  <si>
    <t>3 / 6 / 2020</t>
  </si>
  <si>
    <t>4 / 6 / 2020</t>
  </si>
  <si>
    <t>5 / 6 / 2020</t>
  </si>
  <si>
    <t>8 / 6 / 2020</t>
  </si>
  <si>
    <t>9 / 6 / 2020</t>
  </si>
  <si>
    <t>10 / 6 / 2020</t>
  </si>
  <si>
    <t>11 / 6 / 2020</t>
  </si>
  <si>
    <t>12 / 6 / 2020</t>
  </si>
  <si>
    <t>15 / 6 / 2020</t>
  </si>
  <si>
    <t>16 / 6 / 2020</t>
  </si>
  <si>
    <t>17 / 6 / 2020</t>
  </si>
  <si>
    <t>18 / 6 / 2020</t>
  </si>
  <si>
    <t>19 / 6 / 2020</t>
  </si>
  <si>
    <t>22 / 6 / 2020</t>
  </si>
  <si>
    <t>23 / 6 / 2020</t>
  </si>
  <si>
    <t>24 / 6 / 2020</t>
  </si>
  <si>
    <t>25 / 6 / 2020</t>
  </si>
  <si>
    <t>26 / 6 / 2020</t>
  </si>
  <si>
    <t>29 / 6 / 2020</t>
  </si>
  <si>
    <t>30 / 6 / 2020</t>
  </si>
  <si>
    <t>1 / 7 / 2020</t>
  </si>
  <si>
    <t>2 / 7 / 2020</t>
  </si>
  <si>
    <t>6 / 7 / 2020</t>
  </si>
  <si>
    <t>7 / 7 / 2020</t>
  </si>
  <si>
    <t>8 / 7 / 2020</t>
  </si>
  <si>
    <t>9 / 7 / 2020</t>
  </si>
  <si>
    <t>10 / 7 / 2020</t>
  </si>
  <si>
    <t>13 / 7 / 2020</t>
  </si>
  <si>
    <t>14 / 7 / 2020</t>
  </si>
  <si>
    <t>15 / 7 / 2020</t>
  </si>
  <si>
    <t>16 / 7 / 2020</t>
  </si>
  <si>
    <t>17 / 7 / 2020</t>
  </si>
  <si>
    <t>20 / 7 / 2020</t>
  </si>
  <si>
    <t>21 / 7 / 2020</t>
  </si>
  <si>
    <t>22 / 7 / 2020</t>
  </si>
  <si>
    <t>23 / 7 / 2020</t>
  </si>
  <si>
    <t>24 / 7 / 2020</t>
  </si>
  <si>
    <t>27 / 7 / 2020</t>
  </si>
  <si>
    <t>28 / 7 / 2020</t>
  </si>
  <si>
    <t>29 / 7 / 2020</t>
  </si>
  <si>
    <t>30 / 7 / 2020</t>
  </si>
  <si>
    <t>31 / 7 / 2020</t>
  </si>
  <si>
    <t>3 / 8 / 2020</t>
  </si>
  <si>
    <t>4 / 8 / 2020</t>
  </si>
  <si>
    <t>5 / 8 / 2020</t>
  </si>
  <si>
    <t>6 / 8 / 2020</t>
  </si>
  <si>
    <t>7 / 8 / 2020</t>
  </si>
  <si>
    <t>10 / 8 / 2020</t>
  </si>
  <si>
    <t>11 / 8 / 2020</t>
  </si>
  <si>
    <t>12 / 8 / 2020</t>
  </si>
  <si>
    <t>13 / 8 / 2020</t>
  </si>
  <si>
    <t>14 / 8 / 2020</t>
  </si>
  <si>
    <t>17 / 8 / 2020</t>
  </si>
  <si>
    <t>18 / 8 / 2020</t>
  </si>
  <si>
    <t>19 / 8 / 2020</t>
  </si>
  <si>
    <t>20 / 8 / 2020</t>
  </si>
  <si>
    <t>21 / 8 / 2020</t>
  </si>
  <si>
    <t>24 / 8 / 2020</t>
  </si>
  <si>
    <t>25 / 8 / 2020</t>
  </si>
  <si>
    <t>26 / 8 / 2020</t>
  </si>
  <si>
    <t>27 / 8 / 2020</t>
  </si>
  <si>
    <t>28 / 8 / 2020</t>
  </si>
  <si>
    <t>31 / 8 / 2020</t>
  </si>
  <si>
    <t>1 / 9 / 2020</t>
  </si>
  <si>
    <t>2 / 9 / 2020</t>
  </si>
  <si>
    <t>3 / 9 / 2020</t>
  </si>
  <si>
    <t>4 / 9 / 2020</t>
  </si>
  <si>
    <t>8 / 9 / 2020</t>
  </si>
  <si>
    <t>9 / 9 / 2020</t>
  </si>
  <si>
    <t>10 / 9 / 2020</t>
  </si>
  <si>
    <t>11 / 9 / 2020</t>
  </si>
  <si>
    <t>14 / 9 / 2020</t>
  </si>
  <si>
    <t>15 / 9 / 2020</t>
  </si>
  <si>
    <t>16 / 9 / 2020</t>
  </si>
  <si>
    <t>17 / 9 / 2020</t>
  </si>
  <si>
    <t>18 / 9 / 2020</t>
  </si>
  <si>
    <t>21 / 9 / 2020</t>
  </si>
  <si>
    <t>22 / 9 / 2020</t>
  </si>
  <si>
    <t>23 / 9 / 2020</t>
  </si>
  <si>
    <t>24 / 9 / 2020</t>
  </si>
  <si>
    <t>25 / 9 / 2020</t>
  </si>
  <si>
    <t>28 / 9 / 2020</t>
  </si>
  <si>
    <t>29 / 9 / 2020</t>
  </si>
  <si>
    <t>30 / 9 / 2020</t>
  </si>
  <si>
    <t>1 / 10 / 2020</t>
  </si>
  <si>
    <t>2 / 10 / 2020</t>
  </si>
  <si>
    <t>5 / 10 / 2020</t>
  </si>
  <si>
    <t>6 / 10 / 2020</t>
  </si>
  <si>
    <t>7 / 10 / 2020</t>
  </si>
  <si>
    <t>8 / 10 / 2020</t>
  </si>
  <si>
    <t>9 / 10 / 2020</t>
  </si>
  <si>
    <t>12 / 10 / 2020</t>
  </si>
  <si>
    <t>13 / 10 / 2020</t>
  </si>
  <si>
    <t>14 / 10 / 2020</t>
  </si>
  <si>
    <t>15 / 10 / 2020</t>
  </si>
  <si>
    <t>16 / 10 / 2020</t>
  </si>
  <si>
    <t>19 / 10 / 2020</t>
  </si>
  <si>
    <t>20 / 10 / 2020</t>
  </si>
  <si>
    <t>21 / 10 / 2020</t>
  </si>
  <si>
    <t>22 / 10 / 2020</t>
  </si>
  <si>
    <t>23 / 10 / 2020</t>
  </si>
  <si>
    <t>26 / 10 / 2020</t>
  </si>
  <si>
    <t>27 / 10 / 2020</t>
  </si>
  <si>
    <t>28 / 10 / 2020</t>
  </si>
  <si>
    <t>29 / 10 / 2020</t>
  </si>
  <si>
    <t>30 / 10 / 2020</t>
  </si>
  <si>
    <t>2 / 11 / 2020</t>
  </si>
  <si>
    <t>3 / 11 / 2020</t>
  </si>
  <si>
    <t>4 / 11 / 2020</t>
  </si>
  <si>
    <t>5 / 11 / 2020</t>
  </si>
  <si>
    <t>6 / 11 / 2020</t>
  </si>
  <si>
    <t>9 / 11 / 2020</t>
  </si>
  <si>
    <t>10 / 11 / 2020</t>
  </si>
  <si>
    <t>11 / 11 / 2020</t>
  </si>
  <si>
    <t>12 / 11 / 2020</t>
  </si>
  <si>
    <t>13 / 11 / 2020</t>
  </si>
  <si>
    <t>16 / 11 / 2020</t>
  </si>
  <si>
    <t>17 / 11 / 2020</t>
  </si>
  <si>
    <t>18 / 11 / 2020</t>
  </si>
  <si>
    <t>19 / 11 / 2020</t>
  </si>
  <si>
    <t>20 / 11 / 2020</t>
  </si>
  <si>
    <t>23 / 11 / 2020</t>
  </si>
  <si>
    <t>24 / 11 / 2020</t>
  </si>
  <si>
    <t>25 / 11 / 2020</t>
  </si>
  <si>
    <t>27 / 11 / 2020</t>
  </si>
  <si>
    <t>30 / 11 / 2020</t>
  </si>
  <si>
    <t>1 / 12 / 2020</t>
  </si>
  <si>
    <t>2 / 12 / 2020</t>
  </si>
  <si>
    <t>3 / 12 / 2020</t>
  </si>
  <si>
    <t>4 / 12 / 2020</t>
  </si>
  <si>
    <t>7 / 12 / 2020</t>
  </si>
  <si>
    <t>8 / 12 / 2020</t>
  </si>
  <si>
    <t>9 / 12 / 2020</t>
  </si>
  <si>
    <t>10 / 12 / 2020</t>
  </si>
  <si>
    <t>11 / 12 / 2020</t>
  </si>
  <si>
    <t>14 / 12 / 2020</t>
  </si>
  <si>
    <t>15 / 12 / 2020</t>
  </si>
  <si>
    <t>16 / 12 / 2020</t>
  </si>
  <si>
    <t>17 / 12 / 2020</t>
  </si>
  <si>
    <t>18 / 12 / 2020</t>
  </si>
  <si>
    <t>21 / 12 / 2020</t>
  </si>
  <si>
    <t>22 / 12 / 2020</t>
  </si>
  <si>
    <t>23 / 12 / 2020</t>
  </si>
  <si>
    <t>24 / 12 / 2020</t>
  </si>
  <si>
    <t>28 / 12 / 2020</t>
  </si>
  <si>
    <t>29 / 12 / 2020</t>
  </si>
  <si>
    <t>30 / 12 / 2020</t>
  </si>
  <si>
    <t>31 / 12 / 2020</t>
  </si>
  <si>
    <t>4 / 1 / 2021</t>
  </si>
  <si>
    <t>5 / 1 / 2021</t>
  </si>
  <si>
    <t>6 / 1 / 2021</t>
  </si>
  <si>
    <t>7 / 1 / 2021</t>
  </si>
  <si>
    <t>8 / 1 / 2021</t>
  </si>
  <si>
    <t>11 / 1 / 2021</t>
  </si>
  <si>
    <t>12 / 1 / 2021</t>
  </si>
  <si>
    <t>13 / 1 / 2021</t>
  </si>
  <si>
    <t>14 / 1 / 2021</t>
  </si>
  <si>
    <t>15 / 1 / 2021</t>
  </si>
  <si>
    <t>19 / 1 / 2021</t>
  </si>
  <si>
    <t>20 / 1 / 2021</t>
  </si>
  <si>
    <t>21 / 1 / 2021</t>
  </si>
  <si>
    <t>22 / 1 / 2021</t>
  </si>
  <si>
    <t>25 / 1 / 2021</t>
  </si>
  <si>
    <t>26 / 1 / 2021</t>
  </si>
  <si>
    <t>27 / 1 / 2021</t>
  </si>
  <si>
    <t>28 / 1 / 2021</t>
  </si>
  <si>
    <t>29 / 1 / 2021</t>
  </si>
  <si>
    <t>1 / 2 / 2021</t>
  </si>
  <si>
    <t>2 / 2 / 2021</t>
  </si>
  <si>
    <t>3 / 2 / 2021</t>
  </si>
  <si>
    <t>4 / 2 / 2021</t>
  </si>
  <si>
    <t>5 / 2 / 2021</t>
  </si>
  <si>
    <t>8 / 2 / 2021</t>
  </si>
  <si>
    <t>9 / 2 / 2021</t>
  </si>
  <si>
    <t>10 / 2 / 2021</t>
  </si>
  <si>
    <t>11 / 2 / 2021</t>
  </si>
  <si>
    <t>12 / 2 / 2021</t>
  </si>
  <si>
    <t>16 / 2 / 2021</t>
  </si>
  <si>
    <t>17 / 2 / 2021</t>
  </si>
  <si>
    <t>18 / 2 / 2021</t>
  </si>
  <si>
    <t>19 / 2 / 2021</t>
  </si>
  <si>
    <t>22 / 2 / 2021</t>
  </si>
  <si>
    <t>23 / 2 / 2021</t>
  </si>
  <si>
    <t>24 / 2 / 2021</t>
  </si>
  <si>
    <t>25 / 2 / 2021</t>
  </si>
  <si>
    <t>26 / 2 / 2021</t>
  </si>
  <si>
    <t>1 / 3 / 2021</t>
  </si>
  <si>
    <t>2 / 3 / 2021</t>
  </si>
  <si>
    <t>3 / 3 / 2021</t>
  </si>
  <si>
    <t>4 / 3 / 2021</t>
  </si>
  <si>
    <t>5 / 3 / 2021</t>
  </si>
  <si>
    <t>8 / 3 / 2021</t>
  </si>
  <si>
    <t>9 / 3 / 2021</t>
  </si>
  <si>
    <t>10 / 3 / 2021</t>
  </si>
  <si>
    <t>11 / 3 / 2021</t>
  </si>
  <si>
    <t>12 / 3 / 2021</t>
  </si>
  <si>
    <t>15 / 3 / 2021</t>
  </si>
  <si>
    <t>16 / 3 / 2021</t>
  </si>
  <si>
    <t>17 / 3 / 2021</t>
  </si>
  <si>
    <t>18 / 3 / 2021</t>
  </si>
  <si>
    <t>19 / 3 / 2021</t>
  </si>
  <si>
    <t>22 / 3 / 2021</t>
  </si>
  <si>
    <t>23 / 3 / 2021</t>
  </si>
  <si>
    <t>24 / 3 / 2021</t>
  </si>
  <si>
    <t>25 / 3 / 2021</t>
  </si>
  <si>
    <t>26 / 3 / 2021</t>
  </si>
  <si>
    <t>29 / 3 / 2021</t>
  </si>
  <si>
    <t>30 / 3 / 2021</t>
  </si>
  <si>
    <t>31 / 3 / 2021</t>
  </si>
  <si>
    <t>1 / 4 / 2021</t>
  </si>
  <si>
    <t>5 / 4 / 2021</t>
  </si>
  <si>
    <t>6 / 4 / 2021</t>
  </si>
  <si>
    <t>7 / 4 / 2021</t>
  </si>
  <si>
    <t>8 / 4 / 2021</t>
  </si>
  <si>
    <t>9 / 4 / 2021</t>
  </si>
  <si>
    <t>12 / 4 / 2021</t>
  </si>
  <si>
    <t>13 / 4 / 2021</t>
  </si>
  <si>
    <t>14 / 4 / 2021</t>
  </si>
  <si>
    <t>15 / 4 / 2021</t>
  </si>
  <si>
    <t>16 / 4 / 2021</t>
  </si>
  <si>
    <t>19 / 4 / 2021</t>
  </si>
  <si>
    <t>20 / 4 / 2021</t>
  </si>
  <si>
    <t>21 / 4 / 2021</t>
  </si>
  <si>
    <t>22 / 4 / 2021</t>
  </si>
  <si>
    <t>23 / 4 / 2021</t>
  </si>
  <si>
    <t>26 / 4 / 2021</t>
  </si>
  <si>
    <t>27 / 4 / 2021</t>
  </si>
  <si>
    <t>28 / 4 / 2021</t>
  </si>
  <si>
    <t>29 / 4 / 2021</t>
  </si>
  <si>
    <t>30 / 4 / 2021</t>
  </si>
  <si>
    <t>3 / 5 / 2021</t>
  </si>
  <si>
    <t>4 / 5 / 2021</t>
  </si>
  <si>
    <t>5 / 5 / 2021</t>
  </si>
  <si>
    <t>6 / 5 / 2021</t>
  </si>
  <si>
    <t>7 / 5 / 2021</t>
  </si>
  <si>
    <t>10 / 5 / 2021</t>
  </si>
  <si>
    <t>11 / 5 / 2021</t>
  </si>
  <si>
    <t>12 / 5 / 2021</t>
  </si>
  <si>
    <t>13 / 5 / 2021</t>
  </si>
  <si>
    <t>14 / 5 / 2021</t>
  </si>
  <si>
    <t>17 / 5 / 2021</t>
  </si>
  <si>
    <t>18 / 5 / 2021</t>
  </si>
  <si>
    <t>19 / 5 / 2021</t>
  </si>
  <si>
    <t>20 / 5 / 2021</t>
  </si>
  <si>
    <t>21 / 5 / 2021</t>
  </si>
  <si>
    <t>24 / 5 / 2021</t>
  </si>
  <si>
    <t>25 / 5 / 2021</t>
  </si>
  <si>
    <t>26 / 5 / 2021</t>
  </si>
  <si>
    <t>27 / 5 / 2021</t>
  </si>
  <si>
    <t>28 / 5 / 2021</t>
  </si>
  <si>
    <t>1 / 6 / 2021</t>
  </si>
  <si>
    <t>2 / 6 / 2021</t>
  </si>
  <si>
    <t>3 / 6 / 2021</t>
  </si>
  <si>
    <t>4 / 6 / 2021</t>
  </si>
  <si>
    <t>7 / 6 / 2021</t>
  </si>
  <si>
    <t>8 / 6 / 2021</t>
  </si>
  <si>
    <t>9 / 6 / 2021</t>
  </si>
  <si>
    <t>10 / 6 / 2021</t>
  </si>
  <si>
    <t>11 / 6 / 2021</t>
  </si>
  <si>
    <t>14 / 6 / 2021</t>
  </si>
  <si>
    <t>15 / 6 / 2021</t>
  </si>
  <si>
    <t>16 / 6 / 2021</t>
  </si>
  <si>
    <t>17 / 6 / 2021</t>
  </si>
  <si>
    <t>18 / 6 / 2021</t>
  </si>
  <si>
    <t>21 / 6 / 2021</t>
  </si>
  <si>
    <t>22 / 6 / 2021</t>
  </si>
  <si>
    <t>23 / 6 / 2021</t>
  </si>
  <si>
    <t>24 / 6 / 2021</t>
  </si>
  <si>
    <t>25 / 6 / 2021</t>
  </si>
  <si>
    <t>28 / 6 / 2021</t>
  </si>
  <si>
    <t>29 / 6 / 2021</t>
  </si>
  <si>
    <t>30 / 6 / 2021</t>
  </si>
  <si>
    <t>1 / 7 / 2021</t>
  </si>
  <si>
    <t>2 / 7 / 2021</t>
  </si>
  <si>
    <t>6 / 7 / 2021</t>
  </si>
  <si>
    <t>7 / 7 / 2021</t>
  </si>
  <si>
    <t>8 / 7 / 2021</t>
  </si>
  <si>
    <t>9 / 7 / 2021</t>
  </si>
  <si>
    <t>12 / 7 / 2021</t>
  </si>
  <si>
    <t>13 / 7 / 2021</t>
  </si>
  <si>
    <t>14 / 7 / 2021</t>
  </si>
  <si>
    <t>15 / 7 / 2021</t>
  </si>
  <si>
    <t>16 / 7 / 2021</t>
  </si>
  <si>
    <t>19 / 7 / 2021</t>
  </si>
  <si>
    <t>20 / 7 / 2021</t>
  </si>
  <si>
    <t>21 / 7 / 2021</t>
  </si>
  <si>
    <t>22 / 7 / 2021</t>
  </si>
  <si>
    <t>23 / 7 / 2021</t>
  </si>
  <si>
    <t>26 / 7 / 2021</t>
  </si>
  <si>
    <t>27 / 7 / 2021</t>
  </si>
  <si>
    <t>28 / 7 / 2021</t>
  </si>
  <si>
    <t>29 / 7 / 2021</t>
  </si>
  <si>
    <t>30 / 7 / 2021</t>
  </si>
  <si>
    <t>2 / 8 / 2021</t>
  </si>
  <si>
    <t>3 / 8 / 2021</t>
  </si>
  <si>
    <t>4 / 8 / 2021</t>
  </si>
  <si>
    <t>5 / 8 / 2021</t>
  </si>
  <si>
    <t>6 / 8 / 2021</t>
  </si>
  <si>
    <t>9 / 8 / 2021</t>
  </si>
  <si>
    <t>10 / 8 / 2021</t>
  </si>
  <si>
    <t>11 / 8 / 2021</t>
  </si>
  <si>
    <t>12 / 8 / 2021</t>
  </si>
  <si>
    <t>13 / 8 / 2021</t>
  </si>
  <si>
    <t>16 / 8 / 2021</t>
  </si>
  <si>
    <t>17 / 8 / 2021</t>
  </si>
  <si>
    <t>18 / 8 / 2021</t>
  </si>
  <si>
    <t>19 / 8 / 2021</t>
  </si>
  <si>
    <t>20 / 8 / 2021</t>
  </si>
  <si>
    <t>23 / 8 / 2021</t>
  </si>
  <si>
    <t>24 / 8 / 2021</t>
  </si>
  <si>
    <t>25 / 8 / 2021</t>
  </si>
  <si>
    <t>26 / 8 / 2021</t>
  </si>
  <si>
    <t>27 / 8 / 2021</t>
  </si>
  <si>
    <t>30 / 8 / 2021</t>
  </si>
  <si>
    <t>31 / 8 / 2021</t>
  </si>
  <si>
    <t>1 / 9 / 2021</t>
  </si>
  <si>
    <t>2 / 9 / 2021</t>
  </si>
  <si>
    <t>3 / 9 / 2021</t>
  </si>
  <si>
    <t>7 / 9 / 2021</t>
  </si>
  <si>
    <t>8 / 9 / 2021</t>
  </si>
  <si>
    <t>9 / 9 / 2021</t>
  </si>
  <si>
    <t>10 / 9 / 2021</t>
  </si>
  <si>
    <t>13 / 9 / 2021</t>
  </si>
  <si>
    <t>14 / 9 / 2021</t>
  </si>
  <si>
    <t>15 / 9 / 2021</t>
  </si>
  <si>
    <t>16 / 9 / 2021</t>
  </si>
  <si>
    <t>17 / 9 / 2021</t>
  </si>
  <si>
    <t>20 / 9 / 2021</t>
  </si>
  <si>
    <t>21 / 9 / 2021</t>
  </si>
  <si>
    <t>22 / 9 / 2021</t>
  </si>
  <si>
    <t>23 / 9 / 2021</t>
  </si>
  <si>
    <t>24 / 9 / 2021</t>
  </si>
  <si>
    <t>27 / 9 / 2021</t>
  </si>
  <si>
    <t>28 / 9 / 2021</t>
  </si>
  <si>
    <t>29 / 9 / 2021</t>
  </si>
  <si>
    <t>30 / 9 / 2021</t>
  </si>
  <si>
    <t>1 / 10 / 2021</t>
  </si>
  <si>
    <t>4 / 10 / 2021</t>
  </si>
  <si>
    <t>5 / 10 / 2021</t>
  </si>
  <si>
    <t>6 / 10 / 2021</t>
  </si>
  <si>
    <t>7 / 10 / 2021</t>
  </si>
  <si>
    <t>8 / 10 / 2021</t>
  </si>
  <si>
    <t>11 / 10 / 2021</t>
  </si>
  <si>
    <t>12 / 10 / 2021</t>
  </si>
  <si>
    <t>13 / 10 / 2021</t>
  </si>
  <si>
    <t>14 / 10 / 2021</t>
  </si>
  <si>
    <t>15 / 10 / 2021</t>
  </si>
  <si>
    <t>18 / 10 / 2021</t>
  </si>
  <si>
    <t>19 / 10 / 2021</t>
  </si>
  <si>
    <t>20 / 10 / 2021</t>
  </si>
  <si>
    <t>21 / 10 / 2021</t>
  </si>
  <si>
    <t>22 / 10 / 2021</t>
  </si>
  <si>
    <t>25 / 10 / 2021</t>
  </si>
  <si>
    <t>26 / 10 / 2021</t>
  </si>
  <si>
    <t>27 / 10 / 2021</t>
  </si>
  <si>
    <t>28 / 10 / 2021</t>
  </si>
  <si>
    <t>29 / 10 / 2021</t>
  </si>
  <si>
    <t>1 / 11 / 2021</t>
  </si>
  <si>
    <t>2 / 11 / 2021</t>
  </si>
  <si>
    <t>3 / 11 / 2021</t>
  </si>
  <si>
    <t>4 / 11 / 2021</t>
  </si>
  <si>
    <t>5 / 11 / 2021</t>
  </si>
  <si>
    <t>8 / 11 / 2021</t>
  </si>
  <si>
    <t>9 / 11 / 2021</t>
  </si>
  <si>
    <t>10 / 11 / 2021</t>
  </si>
  <si>
    <t>11 / 11 / 2021</t>
  </si>
  <si>
    <t>12 / 11 / 2021</t>
  </si>
  <si>
    <t>15 / 11 / 2021</t>
  </si>
  <si>
    <t>16 / 11 / 2021</t>
  </si>
  <si>
    <t>17 / 11 / 2021</t>
  </si>
  <si>
    <t>18 / 11 / 2021</t>
  </si>
  <si>
    <t>19 / 11 / 2021</t>
  </si>
  <si>
    <t>22 / 11 / 2021</t>
  </si>
  <si>
    <t>23 / 11 / 2021</t>
  </si>
  <si>
    <t>24 / 11 / 2021</t>
  </si>
  <si>
    <t>26 / 11 / 2021</t>
  </si>
  <si>
    <t>29 / 11 / 2021</t>
  </si>
  <si>
    <t>30 / 11 / 2021</t>
  </si>
  <si>
    <t>1 / 12 / 2021</t>
  </si>
  <si>
    <t>2 / 12 / 2021</t>
  </si>
  <si>
    <t>3 / 12 / 2021</t>
  </si>
  <si>
    <t>6 / 12 / 2021</t>
  </si>
  <si>
    <t>7 / 12 / 2021</t>
  </si>
  <si>
    <t>8 / 12 / 2021</t>
  </si>
  <si>
    <t>9 / 12 / 2021</t>
  </si>
  <si>
    <t>10 / 12 / 2021</t>
  </si>
  <si>
    <t>13 / 12 / 2021</t>
  </si>
  <si>
    <t>14 / 12 / 2021</t>
  </si>
  <si>
    <t>15 / 12 / 2021</t>
  </si>
  <si>
    <t>16 / 12 / 2021</t>
  </si>
  <si>
    <t>17 / 12 / 2021</t>
  </si>
  <si>
    <t>20 / 12 / 2021</t>
  </si>
  <si>
    <t>21 / 12 / 2021</t>
  </si>
  <si>
    <t>22 / 12 / 2021</t>
  </si>
  <si>
    <t>23 / 12 / 2021</t>
  </si>
  <si>
    <t>27 / 12 / 2021</t>
  </si>
  <si>
    <t>28 / 12 / 2021</t>
  </si>
  <si>
    <t>29 / 12 / 2021</t>
  </si>
  <si>
    <t>30 / 12 / 2021</t>
  </si>
  <si>
    <t>31 / 12 / 2021</t>
  </si>
  <si>
    <t>3 / 1 / 2022</t>
  </si>
  <si>
    <t>4 / 1 / 2022</t>
  </si>
  <si>
    <t>5 / 1 / 2022</t>
  </si>
  <si>
    <t>6 / 1 / 2022</t>
  </si>
  <si>
    <t>7 / 1 / 2022</t>
  </si>
  <si>
    <t>10 / 1 / 2022</t>
  </si>
  <si>
    <t>11 / 1 / 2022</t>
  </si>
  <si>
    <t>12 / 1 / 2022</t>
  </si>
  <si>
    <t>13 / 1 / 2022</t>
  </si>
  <si>
    <t>14 / 1 / 2022</t>
  </si>
  <si>
    <t>18 / 1 / 2022</t>
  </si>
  <si>
    <t>19 / 1 / 2022</t>
  </si>
  <si>
    <t>20 / 1 / 2022</t>
  </si>
  <si>
    <t>21 / 1 / 2022</t>
  </si>
  <si>
    <t>24 / 1 / 2022</t>
  </si>
  <si>
    <t>25 / 1 / 2022</t>
  </si>
  <si>
    <t>26 / 1 / 2022</t>
  </si>
  <si>
    <t>27 / 1 / 2022</t>
  </si>
  <si>
    <t>28 / 1 / 2022</t>
  </si>
  <si>
    <t>31 / 1 / 2022</t>
  </si>
  <si>
    <t>1 / 2 / 2022</t>
  </si>
  <si>
    <t>2 / 2 / 2022</t>
  </si>
  <si>
    <t>3 / 2 / 2022</t>
  </si>
  <si>
    <t>4 / 2 / 2022</t>
  </si>
  <si>
    <t>7 / 2 / 2022</t>
  </si>
  <si>
    <t>8 / 2 / 2022</t>
  </si>
  <si>
    <t>9 / 2 / 2022</t>
  </si>
  <si>
    <t>10 / 2 / 2022</t>
  </si>
  <si>
    <t>11 / 2 / 2022</t>
  </si>
  <si>
    <t>14 / 2 / 2022</t>
  </si>
  <si>
    <t>15 / 2 / 2022</t>
  </si>
  <si>
    <t>16 / 2 / 2022</t>
  </si>
  <si>
    <t>17 / 2 / 2022</t>
  </si>
  <si>
    <t>18 / 2 / 2022</t>
  </si>
  <si>
    <t>22 / 2 / 2022</t>
  </si>
  <si>
    <t>23 / 2 / 2022</t>
  </si>
  <si>
    <t>24 / 2 / 2022</t>
  </si>
  <si>
    <t>25 / 2 / 2022</t>
  </si>
  <si>
    <t>28 / 2 / 2022</t>
  </si>
  <si>
    <t>1 / 3 / 2022</t>
  </si>
  <si>
    <t>2 / 3 / 2022</t>
  </si>
  <si>
    <t>3 / 3 / 2022</t>
  </si>
  <si>
    <t>4 / 3 / 2022</t>
  </si>
  <si>
    <t>7 / 3 / 2022</t>
  </si>
  <si>
    <t>8 / 3 / 2022</t>
  </si>
  <si>
    <t>9 / 3 / 2022</t>
  </si>
  <si>
    <t>10 / 3 / 2022</t>
  </si>
  <si>
    <t>11 / 3 / 2022</t>
  </si>
  <si>
    <t>14 / 3 / 2022</t>
  </si>
  <si>
    <t>15 / 3 / 2022</t>
  </si>
  <si>
    <t>16 / 3 / 2022</t>
  </si>
  <si>
    <t>17 / 3 / 2022</t>
  </si>
  <si>
    <t>18 / 3 / 2022</t>
  </si>
  <si>
    <t>21 / 3 / 2022</t>
  </si>
  <si>
    <t>22 / 3 / 2022</t>
  </si>
  <si>
    <t>23 / 3 / 2022</t>
  </si>
  <si>
    <t>24 / 3 / 2022</t>
  </si>
  <si>
    <t>25 / 3 / 2022</t>
  </si>
  <si>
    <t>28 / 3 / 2022</t>
  </si>
  <si>
    <t>29 / 3 / 2022</t>
  </si>
  <si>
    <t>30 / 3 / 2022</t>
  </si>
  <si>
    <t>31 / 3 / 2022</t>
  </si>
  <si>
    <t>1 / 4 / 2022</t>
  </si>
  <si>
    <t>4 / 4 / 2022</t>
  </si>
  <si>
    <t>5 / 4 / 2022</t>
  </si>
  <si>
    <t>6 / 4 / 2022</t>
  </si>
  <si>
    <t>7 / 4 / 2022</t>
  </si>
  <si>
    <t>8 / 4 / 2022</t>
  </si>
  <si>
    <t>11 / 4 / 2022</t>
  </si>
  <si>
    <t>12 / 4 / 2022</t>
  </si>
  <si>
    <t>13 / 4 / 2022</t>
  </si>
  <si>
    <t>14 / 4 / 2022</t>
  </si>
  <si>
    <t>18 / 4 / 2022</t>
  </si>
  <si>
    <t>19 / 4 / 2022</t>
  </si>
  <si>
    <t>20 / 4 / 2022</t>
  </si>
  <si>
    <t>21 / 4 / 2022</t>
  </si>
  <si>
    <t>22 / 4 / 2022</t>
  </si>
  <si>
    <t>25 / 4 / 2022</t>
  </si>
  <si>
    <t>26 / 4 / 2022</t>
  </si>
  <si>
    <t>27 / 4 / 2022</t>
  </si>
  <si>
    <t>28 / 4 / 2022</t>
  </si>
  <si>
    <t>29 / 4 / 2022</t>
  </si>
  <si>
    <t>2 / 5 / 2022</t>
  </si>
  <si>
    <t>3 / 5 / 2022</t>
  </si>
  <si>
    <t>4 / 5 / 2022</t>
  </si>
  <si>
    <t>5 / 5 / 2022</t>
  </si>
  <si>
    <t>6 / 5 / 2022</t>
  </si>
  <si>
    <t>9 / 5 / 2022</t>
  </si>
  <si>
    <t>10 / 5 / 2022</t>
  </si>
  <si>
    <t>11 / 5 / 2022</t>
  </si>
  <si>
    <t>12 / 5 / 2022</t>
  </si>
  <si>
    <t>13 / 5 / 2022</t>
  </si>
  <si>
    <t>16 / 5 / 2022</t>
  </si>
  <si>
    <t>17 / 5 / 2022</t>
  </si>
  <si>
    <t>18 / 5 / 2022</t>
  </si>
  <si>
    <t>19 / 5 / 2022</t>
  </si>
  <si>
    <t>20 / 5 / 2022</t>
  </si>
  <si>
    <t>23 / 5 / 2022</t>
  </si>
  <si>
    <t>24 / 5 / 2022</t>
  </si>
  <si>
    <t>25 / 5 / 2022</t>
  </si>
  <si>
    <t>26 / 5 / 2022</t>
  </si>
  <si>
    <t>27 / 5 / 2022</t>
  </si>
  <si>
    <t>31 / 5 / 2022</t>
  </si>
  <si>
    <t>1 / 6 / 2022</t>
  </si>
  <si>
    <t>2 / 6 / 2022</t>
  </si>
  <si>
    <t>3 / 6 / 2022</t>
  </si>
  <si>
    <t>6 / 6 / 2022</t>
  </si>
  <si>
    <t>7 / 6 / 2022</t>
  </si>
  <si>
    <t>8 / 6 / 2022</t>
  </si>
  <si>
    <t>9 / 6 / 2022</t>
  </si>
  <si>
    <t>10 / 6 / 2022</t>
  </si>
  <si>
    <t>13 / 6 / 2022</t>
  </si>
  <si>
    <t>14 / 6 / 2022</t>
  </si>
  <si>
    <t>15 / 6 / 2022</t>
  </si>
  <si>
    <t>16 / 6 / 2022</t>
  </si>
  <si>
    <t>17 / 6 / 2022</t>
  </si>
  <si>
    <t>20 / 6 / 2022</t>
  </si>
  <si>
    <t>21 / 6 / 2022</t>
  </si>
  <si>
    <t>22 / 6 / 2022</t>
  </si>
  <si>
    <t>23 / 6 / 2022</t>
  </si>
  <si>
    <t>24 / 6 / 2022</t>
  </si>
  <si>
    <t>27 / 6 / 2022</t>
  </si>
  <si>
    <t>28 / 6 / 2022</t>
  </si>
  <si>
    <t>29 / 6 / 2022</t>
  </si>
  <si>
    <t>30 / 6 / 2022</t>
  </si>
  <si>
    <t>1 / 7 / 2022</t>
  </si>
  <si>
    <t>5 / 7 / 2022</t>
  </si>
  <si>
    <t>6 / 7 / 2022</t>
  </si>
  <si>
    <t>7 / 7 / 2022</t>
  </si>
  <si>
    <t>8 / 7 / 2022</t>
  </si>
  <si>
    <t>11 / 7 / 2022</t>
  </si>
  <si>
    <t>12 / 7 / 2022</t>
  </si>
  <si>
    <t>13 / 7 / 2022</t>
  </si>
  <si>
    <t>14 / 7 / 2022</t>
  </si>
  <si>
    <t>15 / 7 / 2022</t>
  </si>
  <si>
    <t>18 / 7 / 2022</t>
  </si>
  <si>
    <t>19 / 7 / 2022</t>
  </si>
  <si>
    <t>20 / 7 / 2022</t>
  </si>
  <si>
    <t>21 / 7 / 2022</t>
  </si>
  <si>
    <t>22 / 7 / 2022</t>
  </si>
  <si>
    <t>25 / 7 / 2022</t>
  </si>
  <si>
    <t>26 / 7 / 2022</t>
  </si>
  <si>
    <t>27 / 7 / 2022</t>
  </si>
  <si>
    <t>28 / 7 / 2022</t>
  </si>
  <si>
    <t>29 / 7 / 2022</t>
  </si>
  <si>
    <t>1 / 8 / 2022</t>
  </si>
  <si>
    <t>2 / 8 / 2022</t>
  </si>
  <si>
    <t>3 / 8 / 2022</t>
  </si>
  <si>
    <t>4 / 8 / 2022</t>
  </si>
  <si>
    <t>5 / 8 / 2022</t>
  </si>
  <si>
    <t>8 / 8 / 2022</t>
  </si>
  <si>
    <t>9 / 8 / 2022</t>
  </si>
  <si>
    <t>10 / 8 / 2022</t>
  </si>
  <si>
    <t>11 / 8 / 2022</t>
  </si>
  <si>
    <t>12 / 8 / 2022</t>
  </si>
  <si>
    <t>15 / 8 / 2022</t>
  </si>
  <si>
    <t>16 / 8 / 2022</t>
  </si>
  <si>
    <t>17 / 8 / 2022</t>
  </si>
  <si>
    <t>18 / 8 / 2022</t>
  </si>
  <si>
    <t>19 / 8 / 2022</t>
  </si>
  <si>
    <t>22 / 8 / 2022</t>
  </si>
  <si>
    <t>23 / 8 / 2022</t>
  </si>
  <si>
    <t>24 / 8 / 2022</t>
  </si>
  <si>
    <t>25 / 8 / 2022</t>
  </si>
  <si>
    <t>26 / 8 / 2022</t>
  </si>
  <si>
    <t>29 / 8 / 2022</t>
  </si>
  <si>
    <t>30 / 8 / 2022</t>
  </si>
  <si>
    <t>31 / 8 / 2022</t>
  </si>
  <si>
    <t>1 / 9 / 2022</t>
  </si>
  <si>
    <t>2 / 9 / 2022</t>
  </si>
  <si>
    <t>6 / 9 / 2022</t>
  </si>
  <si>
    <t>7 / 9 / 2022</t>
  </si>
  <si>
    <t>8 / 9 / 2022</t>
  </si>
  <si>
    <t>9 / 9 / 2022</t>
  </si>
  <si>
    <t>12 / 9 / 2022</t>
  </si>
  <si>
    <t>13 / 9 / 2022</t>
  </si>
  <si>
    <t>14 / 9 / 2022</t>
  </si>
  <si>
    <t>15 / 9 / 2022</t>
  </si>
  <si>
    <t>16 / 9 / 2022</t>
  </si>
  <si>
    <t>19 / 9 / 2022</t>
  </si>
  <si>
    <t>20 / 9 / 2022</t>
  </si>
  <si>
    <t>21 / 9 / 2022</t>
  </si>
  <si>
    <t>22 / 9 / 2022</t>
  </si>
  <si>
    <t>23 / 9 / 2022</t>
  </si>
  <si>
    <t>26 / 9 / 2022</t>
  </si>
  <si>
    <t>27 / 9 / 2022</t>
  </si>
  <si>
    <t>28 / 9 / 2022</t>
  </si>
  <si>
    <t>29 / 9 / 2022</t>
  </si>
  <si>
    <t>30 / 9 / 2022</t>
  </si>
  <si>
    <t>3 / 10 / 2022</t>
  </si>
  <si>
    <t>4 / 10 / 2022</t>
  </si>
  <si>
    <t>5 / 10 / 2022</t>
  </si>
  <si>
    <t>6 / 10 / 2022</t>
  </si>
  <si>
    <t>7 / 10 / 2022</t>
  </si>
  <si>
    <t>10 / 10 / 2022</t>
  </si>
  <si>
    <t>11 / 10 / 2022</t>
  </si>
  <si>
    <t>12 / 10 / 2022</t>
  </si>
  <si>
    <t>13 / 10 / 2022</t>
  </si>
  <si>
    <t>14 / 10 / 2022</t>
  </si>
  <si>
    <t>17 / 10 / 2022</t>
  </si>
  <si>
    <t>18 / 10 / 2022</t>
  </si>
  <si>
    <t>19 / 10 / 2022</t>
  </si>
  <si>
    <t>20 / 10 / 2022</t>
  </si>
  <si>
    <t>21 / 10 / 2022</t>
  </si>
  <si>
    <t>24 / 10 / 2022</t>
  </si>
  <si>
    <t>25 / 10 / 2022</t>
  </si>
  <si>
    <t>26 / 10 / 2022</t>
  </si>
  <si>
    <t>27 / 10 / 2022</t>
  </si>
  <si>
    <t>28 / 10 / 2022</t>
  </si>
  <si>
    <t>31 / 10 / 2022</t>
  </si>
  <si>
    <t>1 / 11 / 2022</t>
  </si>
  <si>
    <t>2 / 11 / 2022</t>
  </si>
  <si>
    <t>3 / 11 / 2022</t>
  </si>
  <si>
    <t>4 / 11 / 2022</t>
  </si>
  <si>
    <t>7 / 11 / 2022</t>
  </si>
  <si>
    <t>8 / 11 / 2022</t>
  </si>
  <si>
    <t>9 / 11 / 2022</t>
  </si>
  <si>
    <t>10 / 11 / 2022</t>
  </si>
  <si>
    <t>11 / 11 / 2022</t>
  </si>
  <si>
    <t>14 / 11 / 2022</t>
  </si>
  <si>
    <t>15 / 11 / 2022</t>
  </si>
  <si>
    <t>16 / 11 / 2022</t>
  </si>
  <si>
    <t>17 / 11 / 2022</t>
  </si>
  <si>
    <t>18 / 11 / 2022</t>
  </si>
  <si>
    <t>21 / 11 / 2022</t>
  </si>
  <si>
    <t>22 / 11 / 2022</t>
  </si>
  <si>
    <t>23 / 11 / 2022</t>
  </si>
  <si>
    <t>25 / 11 / 2022</t>
  </si>
  <si>
    <t>28 / 11 / 2022</t>
  </si>
  <si>
    <t>29 / 11 / 2022</t>
  </si>
  <si>
    <t>30 / 11 / 2022</t>
  </si>
  <si>
    <t>1 / 12 / 2022</t>
  </si>
  <si>
    <t>2 / 12 / 2022</t>
  </si>
  <si>
    <t>5 / 12 / 2022</t>
  </si>
  <si>
    <t>6 / 12 / 2022</t>
  </si>
  <si>
    <t>7 / 12 / 2022</t>
  </si>
  <si>
    <t>8 / 12 / 2022</t>
  </si>
  <si>
    <t>9 / 12 / 2022</t>
  </si>
  <si>
    <t>12 / 12 / 2022</t>
  </si>
  <si>
    <t>13 / 12 / 2022</t>
  </si>
  <si>
    <t>14 / 12 / 2022</t>
  </si>
  <si>
    <t>15 / 12 / 2022</t>
  </si>
  <si>
    <t>16 / 12 / 2022</t>
  </si>
  <si>
    <t>19 / 12 / 2022</t>
  </si>
  <si>
    <t>20 / 12 / 2022</t>
  </si>
  <si>
    <t>21 / 12 / 2022</t>
  </si>
  <si>
    <t>22 / 12 / 2022</t>
  </si>
  <si>
    <t>23 / 12 / 2022</t>
  </si>
  <si>
    <t>27 / 12 / 2022</t>
  </si>
  <si>
    <t>28 / 12 / 2022</t>
  </si>
  <si>
    <t>29 / 12 / 2022</t>
  </si>
  <si>
    <t>3 / 1 / 2023</t>
  </si>
  <si>
    <t>4 / 1 / 2023</t>
  </si>
  <si>
    <t>5 / 1 / 2023</t>
  </si>
  <si>
    <t>6 / 1 / 2023</t>
  </si>
  <si>
    <t>9 / 1 / 2023</t>
  </si>
  <si>
    <t>10 / 1 / 2023</t>
  </si>
  <si>
    <t>11 / 1 / 2023</t>
  </si>
  <si>
    <t>12 / 1 / 2023</t>
  </si>
  <si>
    <t>13 / 1 / 2023</t>
  </si>
  <si>
    <t>17 / 1 / 2023</t>
  </si>
  <si>
    <t>18 / 1 / 2023</t>
  </si>
  <si>
    <t>19 / 1 / 2023</t>
  </si>
  <si>
    <t>20 / 1 / 2023</t>
  </si>
  <si>
    <t>23 / 1 / 2023</t>
  </si>
  <si>
    <t>24 / 1 / 2023</t>
  </si>
  <si>
    <t>25 / 1 / 2023</t>
  </si>
  <si>
    <t>26 / 1 / 2023</t>
  </si>
  <si>
    <t>27 / 1 / 2023</t>
  </si>
  <si>
    <t>30 / 1 / 2023</t>
  </si>
  <si>
    <t>31 / 1 / 2023</t>
  </si>
  <si>
    <t>1 / 2 / 2023</t>
  </si>
  <si>
    <t>2 / 2 / 2023</t>
  </si>
  <si>
    <t>3 / 2 / 2023</t>
  </si>
  <si>
    <t>6 / 2 / 2023</t>
  </si>
  <si>
    <t>7 / 2 / 2023</t>
  </si>
  <si>
    <t>8 / 2 / 2023</t>
  </si>
  <si>
    <t>9 / 2 / 2023</t>
  </si>
  <si>
    <t>10 / 2 / 2023</t>
  </si>
  <si>
    <t>13 / 2 / 2023</t>
  </si>
  <si>
    <t>14 / 2 / 2023</t>
  </si>
  <si>
    <t>15 / 2 / 2023</t>
  </si>
  <si>
    <t>16 / 2 / 2023</t>
  </si>
  <si>
    <t>17 / 2 / 2023</t>
  </si>
  <si>
    <t>21 / 2 / 2023</t>
  </si>
  <si>
    <t>22 / 2 / 2023</t>
  </si>
  <si>
    <t>23 / 2 / 2023</t>
  </si>
  <si>
    <t>24 / 2 / 2023</t>
  </si>
  <si>
    <t>27 / 2 / 2023</t>
  </si>
  <si>
    <t>28 / 2 / 2023</t>
  </si>
  <si>
    <t>1 / 3 / 2023</t>
  </si>
  <si>
    <t>2 / 3 / 2023</t>
  </si>
  <si>
    <t>3 / 3 / 2023</t>
  </si>
  <si>
    <t>6 / 3 / 2023</t>
  </si>
  <si>
    <t>7 / 3 / 2023</t>
  </si>
  <si>
    <t>8 / 3 / 2023</t>
  </si>
  <si>
    <t>9 / 3 / 2023</t>
  </si>
  <si>
    <t>10 / 3 / 2023</t>
  </si>
  <si>
    <t>13 / 3 / 2023</t>
  </si>
  <si>
    <t>14 / 3 / 2023</t>
  </si>
  <si>
    <t>15 / 3 / 2023</t>
  </si>
  <si>
    <t>16 / 3 / 2023</t>
  </si>
  <si>
    <t>17 / 3 / 2023</t>
  </si>
  <si>
    <t>20 / 3 / 2023</t>
  </si>
  <si>
    <t>21 / 3 / 2023</t>
  </si>
  <si>
    <t>22 / 3 / 2023</t>
  </si>
  <si>
    <t>23 / 3 / 2023</t>
  </si>
  <si>
    <t>24 / 3 / 2023</t>
  </si>
  <si>
    <t>27 / 3 / 2023</t>
  </si>
  <si>
    <t>28 / 3 / 2023</t>
  </si>
  <si>
    <t>29 / 3 / 2023</t>
  </si>
  <si>
    <t>30 / 3 / 2023</t>
  </si>
  <si>
    <t>31 / 3 / 2023</t>
  </si>
  <si>
    <t>3 / 4 / 2023</t>
  </si>
  <si>
    <t>4 / 4 / 2023</t>
  </si>
  <si>
    <t>5 / 4 / 2023</t>
  </si>
  <si>
    <t>6 / 4 / 2023</t>
  </si>
  <si>
    <t>10 / 4 / 2023</t>
  </si>
  <si>
    <t>11 / 4 / 2023</t>
  </si>
  <si>
    <t>12 / 4 / 2023</t>
  </si>
  <si>
    <t>13 / 4 / 2023</t>
  </si>
  <si>
    <t>14 / 4 / 2023</t>
  </si>
  <si>
    <t>17 / 4 / 2023</t>
  </si>
  <si>
    <t>18 / 4 / 2023</t>
  </si>
  <si>
    <t>19 / 4 / 2023</t>
  </si>
  <si>
    <t>20 / 4 / 2023</t>
  </si>
  <si>
    <t>21 / 4 / 2023</t>
  </si>
  <si>
    <t>24 / 4 / 2023</t>
  </si>
  <si>
    <t>25 / 4 / 2023</t>
  </si>
  <si>
    <t>26 / 4 / 2023</t>
  </si>
  <si>
    <t>27 / 4 / 2023</t>
  </si>
  <si>
    <t>28 / 4 / 2023</t>
  </si>
  <si>
    <t>1 / 5 / 2023</t>
  </si>
  <si>
    <t>2 / 5 / 2023</t>
  </si>
  <si>
    <t>3 / 5 / 2023</t>
  </si>
  <si>
    <t>4 / 5 / 2023</t>
  </si>
  <si>
    <t>5 / 5 / 2023</t>
  </si>
  <si>
    <t>8 / 5 / 2023</t>
  </si>
  <si>
    <t>9 / 5 / 2023</t>
  </si>
  <si>
    <t>10 / 5 / 2023</t>
  </si>
  <si>
    <t>11 / 5 / 2023</t>
  </si>
  <si>
    <t>12 / 5 / 2023</t>
  </si>
  <si>
    <t>15 / 5 / 2023</t>
  </si>
  <si>
    <t>16 / 5 / 2023</t>
  </si>
  <si>
    <t>17 / 5 / 2023</t>
  </si>
  <si>
    <t>18 / 5 / 2023</t>
  </si>
  <si>
    <t>19 / 5 / 2023</t>
  </si>
  <si>
    <t>22 / 5 / 2023</t>
  </si>
  <si>
    <t>23 / 5 / 2023</t>
  </si>
  <si>
    <t>24 / 5 / 2023</t>
  </si>
  <si>
    <t>25 / 5 / 2023</t>
  </si>
  <si>
    <t>26 / 5 / 2023</t>
  </si>
  <si>
    <t>30 / 5 / 2023</t>
  </si>
  <si>
    <t>31 / 5 / 2023</t>
  </si>
  <si>
    <t>1 / 6 / 2023</t>
  </si>
  <si>
    <t>2 / 6 / 2023</t>
  </si>
  <si>
    <t>5 / 6 / 2023</t>
  </si>
  <si>
    <t>6 / 6 / 2023</t>
  </si>
  <si>
    <t>7 / 6 / 2023</t>
  </si>
  <si>
    <t>8 / 6 / 2023</t>
  </si>
  <si>
    <t>9 / 6 / 2023</t>
  </si>
  <si>
    <t>12 / 6 / 2023</t>
  </si>
  <si>
    <t>13 / 6 / 2023</t>
  </si>
  <si>
    <t>14 / 6 / 2023</t>
  </si>
  <si>
    <t>15 / 6 / 2023</t>
  </si>
  <si>
    <t>16 / 6 / 2023</t>
  </si>
  <si>
    <t>19 / 6 / 2023</t>
  </si>
  <si>
    <t>20 / 6 / 2023</t>
  </si>
  <si>
    <t>21 / 6 / 2023</t>
  </si>
  <si>
    <t>22 / 6 / 2023</t>
  </si>
  <si>
    <t>23 / 6 / 2023</t>
  </si>
  <si>
    <t>26 / 6 / 2023</t>
  </si>
  <si>
    <t>27 / 6 / 2023</t>
  </si>
  <si>
    <t>28 / 6 / 2023</t>
  </si>
  <si>
    <t>29 / 6 / 2023</t>
  </si>
  <si>
    <t>30 / 6 / 2023</t>
  </si>
  <si>
    <t>3 / 7 / 2023</t>
  </si>
  <si>
    <t>5 / 7 / 2023</t>
  </si>
  <si>
    <t>6 / 7 / 2023</t>
  </si>
  <si>
    <t>7 / 7 / 2023</t>
  </si>
  <si>
    <t>10 / 7 / 2023</t>
  </si>
  <si>
    <t>11 / 7 / 2023</t>
  </si>
  <si>
    <t>12 / 7 / 2023</t>
  </si>
  <si>
    <t>13 / 7 / 2023</t>
  </si>
  <si>
    <t>14 / 7 / 2023</t>
  </si>
  <si>
    <t>17 / 7 / 2023</t>
  </si>
  <si>
    <t>18 / 7 / 2023</t>
  </si>
  <si>
    <t>19 / 7 / 2023</t>
  </si>
  <si>
    <t>20 / 7 / 2023</t>
  </si>
  <si>
    <t>21 / 7 / 2023</t>
  </si>
  <si>
    <t>24 / 7 / 2023</t>
  </si>
  <si>
    <t>25 / 7 / 2023</t>
  </si>
  <si>
    <t>26 / 7 / 2023</t>
  </si>
  <si>
    <t>27 / 7 / 2023</t>
  </si>
  <si>
    <t>28 / 7 / 2023</t>
  </si>
  <si>
    <t>31 / 7 / 2023</t>
  </si>
  <si>
    <t>1 / 8 / 2023</t>
  </si>
  <si>
    <t>2 / 8 / 2023</t>
  </si>
  <si>
    <t>3 / 8 / 2023</t>
  </si>
  <si>
    <t>4 / 8 / 2023</t>
  </si>
  <si>
    <t>7 / 8 / 2023</t>
  </si>
  <si>
    <t>8 / 8 / 2023</t>
  </si>
  <si>
    <t>9 / 8 / 2023</t>
  </si>
  <si>
    <t>10 / 8 / 2023</t>
  </si>
  <si>
    <t>11 / 8 / 2023</t>
  </si>
  <si>
    <t>14 / 8 / 2023</t>
  </si>
  <si>
    <t>15 / 8 / 2023</t>
  </si>
  <si>
    <t>16 / 8 / 2023</t>
  </si>
  <si>
    <t>17 / 8 / 2023</t>
  </si>
  <si>
    <t>18 / 8 / 2023</t>
  </si>
  <si>
    <t>21 / 8 / 2023</t>
  </si>
  <si>
    <t>22 / 8 / 2023</t>
  </si>
  <si>
    <t>23 / 8 / 2023</t>
  </si>
  <si>
    <t>24 / 8 / 2023</t>
  </si>
  <si>
    <t>25 / 8 / 2023</t>
  </si>
  <si>
    <t>28 / 8 / 2023</t>
  </si>
  <si>
    <t>29 / 8 / 2023</t>
  </si>
  <si>
    <t>30 / 8 / 2023</t>
  </si>
  <si>
    <t>31 / 8 / 2023</t>
  </si>
  <si>
    <t>1 / 9 / 2023</t>
  </si>
  <si>
    <t>5 / 9 / 2023</t>
  </si>
  <si>
    <t>6 / 9 / 2023</t>
  </si>
  <si>
    <t>7 / 9 / 2023</t>
  </si>
  <si>
    <t>8 / 9 / 2023</t>
  </si>
  <si>
    <t>11 / 9 / 2023</t>
  </si>
  <si>
    <t>12 / 9 / 2023</t>
  </si>
  <si>
    <t>13 / 9 / 2023</t>
  </si>
  <si>
    <t>14 / 9 / 2023</t>
  </si>
  <si>
    <t>15 / 9 / 2023</t>
  </si>
  <si>
    <t>18 / 9 / 2023</t>
  </si>
  <si>
    <t>19 / 9 / 2023</t>
  </si>
  <si>
    <t>20 / 9 / 2023</t>
  </si>
  <si>
    <t>21 / 9 / 2023</t>
  </si>
  <si>
    <t>22 / 9 / 2023</t>
  </si>
  <si>
    <t>25 / 9 / 2023</t>
  </si>
  <si>
    <t>26 / 9 / 2023</t>
  </si>
  <si>
    <t>27 / 9 / 2023</t>
  </si>
  <si>
    <t>28 / 9 / 2023</t>
  </si>
  <si>
    <t>29 / 9 / 2023</t>
  </si>
  <si>
    <t>2 / 10 / 2023</t>
  </si>
  <si>
    <t>3 / 10 / 2023</t>
  </si>
  <si>
    <t>4 / 10 / 2023</t>
  </si>
  <si>
    <t>5 / 10 / 2023</t>
  </si>
  <si>
    <t>6 / 10 / 2023</t>
  </si>
  <si>
    <t>9 / 10 / 2023</t>
  </si>
  <si>
    <t>10 / 10 / 2023</t>
  </si>
  <si>
    <t>11 / 10 / 2023</t>
  </si>
  <si>
    <t>12 / 10 / 2023</t>
  </si>
  <si>
    <t>13 / 10 / 2023</t>
  </si>
  <si>
    <t>16 / 10 / 2023</t>
  </si>
  <si>
    <t>17 / 10 / 2023</t>
  </si>
  <si>
    <t>18 / 10 / 2023</t>
  </si>
  <si>
    <t>19 / 10 / 2023</t>
  </si>
  <si>
    <t>20 / 10 / 2023</t>
  </si>
  <si>
    <t>23 / 10 / 2023</t>
  </si>
  <si>
    <t>24 / 10 / 2023</t>
  </si>
  <si>
    <t>25 / 10 / 2023</t>
  </si>
  <si>
    <t>26 / 10 / 2023</t>
  </si>
  <si>
    <t>27 / 10 / 2023</t>
  </si>
  <si>
    <t>30 / 10 / 2023</t>
  </si>
  <si>
    <t>31 / 10 / 2023</t>
  </si>
  <si>
    <t>1 / 11 / 2023</t>
  </si>
  <si>
    <t>2 / 11 / 2023</t>
  </si>
  <si>
    <t>3 / 11 / 2023</t>
  </si>
  <si>
    <t>6 / 11 / 2023</t>
  </si>
  <si>
    <t>7 / 11 / 2023</t>
  </si>
  <si>
    <t>8 / 11 / 2023</t>
  </si>
  <si>
    <t>9 / 11 / 2023</t>
  </si>
  <si>
    <t>10 / 11 / 2023</t>
  </si>
  <si>
    <t>13 / 11 / 2023</t>
  </si>
  <si>
    <t>14 / 11 / 2023</t>
  </si>
  <si>
    <t>15 / 11 / 2023</t>
  </si>
  <si>
    <t>16 / 11 / 2023</t>
  </si>
  <si>
    <t>17 / 11 / 2023</t>
  </si>
  <si>
    <t>20 / 11 / 2023</t>
  </si>
  <si>
    <t>21 / 11 / 2023</t>
  </si>
  <si>
    <t>22 / 11 / 2023</t>
  </si>
  <si>
    <t>24 / 11 / 2023</t>
  </si>
  <si>
    <t>27 / 11 / 2023</t>
  </si>
  <si>
    <t>28 / 11 / 2023</t>
  </si>
  <si>
    <t>29 / 11 / 2023</t>
  </si>
  <si>
    <t>30 / 11 / 2023</t>
  </si>
  <si>
    <t>1 / 12 / 2023</t>
  </si>
  <si>
    <t>4 / 12 / 2023</t>
  </si>
  <si>
    <t>5 / 12 / 2023</t>
  </si>
  <si>
    <t>6 / 12 / 2023</t>
  </si>
  <si>
    <t>7 / 12 / 2023</t>
  </si>
  <si>
    <t>8 / 12 / 2023</t>
  </si>
  <si>
    <t>11 / 12 / 2023</t>
  </si>
  <si>
    <t>12 / 12 / 2023</t>
  </si>
  <si>
    <t>13 / 12 / 2023</t>
  </si>
  <si>
    <t>14 / 12 / 2023</t>
  </si>
  <si>
    <t>15 / 12 / 2023</t>
  </si>
  <si>
    <t>18 / 12 / 2023</t>
  </si>
  <si>
    <t>19 / 12 / 2023</t>
  </si>
  <si>
    <t>20 / 12 / 2023</t>
  </si>
  <si>
    <t>21 / 12 / 2023</t>
  </si>
  <si>
    <t>22 / 12 / 2023</t>
  </si>
  <si>
    <t>26 / 12 / 2023</t>
  </si>
  <si>
    <t>27 / 12 / 2023</t>
  </si>
  <si>
    <t>28 / 12 / 2023</t>
  </si>
  <si>
    <t xml:space="preserve">    0.85</t>
  </si>
  <si>
    <t xml:space="preserve">    0.35</t>
  </si>
  <si>
    <t xml:space="preserve">   -0.22</t>
  </si>
  <si>
    <t xml:space="preserve">   0.006</t>
  </si>
  <si>
    <t xml:space="preserve">    0.59</t>
  </si>
  <si>
    <t xml:space="preserve">   -0.39</t>
  </si>
  <si>
    <t xml:space="preserve">   -0.18</t>
  </si>
  <si>
    <t xml:space="preserve">    0.42</t>
  </si>
  <si>
    <t xml:space="preserve">   -0.26</t>
  </si>
  <si>
    <t xml:space="preserve">    0.24</t>
  </si>
  <si>
    <t xml:space="preserve">    0.66</t>
  </si>
  <si>
    <t xml:space="preserve">   -0.35</t>
  </si>
  <si>
    <t xml:space="preserve">    0.19</t>
  </si>
  <si>
    <t xml:space="preserve">   -0.15</t>
  </si>
  <si>
    <t xml:space="preserve">    0.05</t>
  </si>
  <si>
    <t xml:space="preserve">    0.15</t>
  </si>
  <si>
    <t xml:space="preserve">   -0.04</t>
  </si>
  <si>
    <t xml:space="preserve">   -0.07</t>
  </si>
  <si>
    <t xml:space="preserve">    0.07</t>
  </si>
  <si>
    <t xml:space="preserve">    0.57</t>
  </si>
  <si>
    <t xml:space="preserve">    0.87</t>
  </si>
  <si>
    <t xml:space="preserve">    1.15</t>
  </si>
  <si>
    <t xml:space="preserve">    0.31</t>
  </si>
  <si>
    <t xml:space="preserve">   -0.31</t>
  </si>
  <si>
    <t xml:space="preserve">    0.16</t>
  </si>
  <si>
    <t xml:space="preserve">   -0.49</t>
  </si>
  <si>
    <t xml:space="preserve">   -1.02</t>
  </si>
  <si>
    <t xml:space="preserve">    0.01</t>
  </si>
  <si>
    <t xml:space="preserve">    0.95</t>
  </si>
  <si>
    <t xml:space="preserve">   -0.03</t>
  </si>
  <si>
    <t xml:space="preserve">   -0.10</t>
  </si>
  <si>
    <t xml:space="preserve">   -0.50</t>
  </si>
  <si>
    <t xml:space="preserve">   -0.25</t>
  </si>
  <si>
    <t xml:space="preserve">    0.94</t>
  </si>
  <si>
    <t xml:space="preserve">    0.77</t>
  </si>
  <si>
    <t xml:space="preserve">   -0.34</t>
  </si>
  <si>
    <t xml:space="preserve">   -0.16</t>
  </si>
  <si>
    <t xml:space="preserve">    0.22</t>
  </si>
  <si>
    <t xml:space="preserve">    0.14</t>
  </si>
  <si>
    <t xml:space="preserve">   -0.36</t>
  </si>
  <si>
    <t xml:space="preserve">   -0.13</t>
  </si>
  <si>
    <t xml:space="preserve">   -0.84</t>
  </si>
  <si>
    <t xml:space="preserve">    0.44</t>
  </si>
  <si>
    <t xml:space="preserve">   -0.54</t>
  </si>
  <si>
    <t xml:space="preserve">    1.11</t>
  </si>
  <si>
    <t xml:space="preserve">   -0.61</t>
  </si>
  <si>
    <t xml:space="preserve">   -0.51</t>
  </si>
  <si>
    <t xml:space="preserve">   -0.62</t>
  </si>
  <si>
    <t xml:space="preserve">   -0.02</t>
  </si>
  <si>
    <t xml:space="preserve">   -1.06</t>
  </si>
  <si>
    <t xml:space="preserve">   -0.21</t>
  </si>
  <si>
    <t xml:space="preserve">   -0.74</t>
  </si>
  <si>
    <t xml:space="preserve">    0.11</t>
  </si>
  <si>
    <t xml:space="preserve">    0.03</t>
  </si>
  <si>
    <t xml:space="preserve">    0.08</t>
  </si>
  <si>
    <t xml:space="preserve">    0.54</t>
  </si>
  <si>
    <t xml:space="preserve">   -2.13</t>
  </si>
  <si>
    <t xml:space="preserve">    0.04</t>
  </si>
  <si>
    <t xml:space="preserve">   -0.29</t>
  </si>
  <si>
    <t xml:space="preserve">   -4.03</t>
  </si>
  <si>
    <t xml:space="preserve">    0.78</t>
  </si>
  <si>
    <t xml:space="preserve">   -0.58</t>
  </si>
  <si>
    <t xml:space="preserve">    1.67</t>
  </si>
  <si>
    <t xml:space="preserve">   -0.52</t>
  </si>
  <si>
    <t xml:space="preserve">   -0.38</t>
  </si>
  <si>
    <t xml:space="preserve">    0.53</t>
  </si>
  <si>
    <t xml:space="preserve">    0.21</t>
  </si>
  <si>
    <t xml:space="preserve">   -3.68</t>
  </si>
  <si>
    <t xml:space="preserve">    0.81</t>
  </si>
  <si>
    <t xml:space="preserve">    0.52</t>
  </si>
  <si>
    <t xml:space="preserve">    1.36</t>
  </si>
  <si>
    <t xml:space="preserve">   -0.46</t>
  </si>
  <si>
    <t xml:space="preserve">   -0.24</t>
  </si>
  <si>
    <t xml:space="preserve">    1.52</t>
  </si>
  <si>
    <t xml:space="preserve">    0.26</t>
  </si>
  <si>
    <t xml:space="preserve">    0.49</t>
  </si>
  <si>
    <t xml:space="preserve">    1.21</t>
  </si>
  <si>
    <t xml:space="preserve">   -0.14</t>
  </si>
  <si>
    <t xml:space="preserve">   -0.63</t>
  </si>
  <si>
    <t xml:space="preserve">    0.36</t>
  </si>
  <si>
    <t xml:space="preserve">   -0.43</t>
  </si>
  <si>
    <t xml:space="preserve">    0.79</t>
  </si>
  <si>
    <t xml:space="preserve">    0.23</t>
  </si>
  <si>
    <t xml:space="preserve">   -0.41</t>
  </si>
  <si>
    <t xml:space="preserve">    1.54</t>
  </si>
  <si>
    <t xml:space="preserve">    1.12</t>
  </si>
  <si>
    <t xml:space="preserve">   -1.25</t>
  </si>
  <si>
    <t xml:space="preserve">   -0.19</t>
  </si>
  <si>
    <t xml:space="preserve">   -1.11</t>
  </si>
  <si>
    <t xml:space="preserve">   -0.42</t>
  </si>
  <si>
    <t xml:space="preserve">   -1.19</t>
  </si>
  <si>
    <t xml:space="preserve">    1.01</t>
  </si>
  <si>
    <t xml:space="preserve">   0.005</t>
  </si>
  <si>
    <t xml:space="preserve">    0.70</t>
  </si>
  <si>
    <t xml:space="preserve">    1.17</t>
  </si>
  <si>
    <t xml:space="preserve">    1.06</t>
  </si>
  <si>
    <t xml:space="preserve">    0.69</t>
  </si>
  <si>
    <t xml:space="preserve">    0.12</t>
  </si>
  <si>
    <t xml:space="preserve">   -0.44</t>
  </si>
  <si>
    <t xml:space="preserve">    0.37</t>
  </si>
  <si>
    <t xml:space="preserve">   -0.48</t>
  </si>
  <si>
    <t xml:space="preserve">    1.70</t>
  </si>
  <si>
    <t xml:space="preserve">    0.28</t>
  </si>
  <si>
    <t xml:space="preserve">   -0.09</t>
  </si>
  <si>
    <t xml:space="preserve">    0.47</t>
  </si>
  <si>
    <t xml:space="preserve">   -0.08</t>
  </si>
  <si>
    <t xml:space="preserve">   -0.67</t>
  </si>
  <si>
    <t xml:space="preserve">   -0.53</t>
  </si>
  <si>
    <t xml:space="preserve">   -0.57</t>
  </si>
  <si>
    <t xml:space="preserve">    0.32</t>
  </si>
  <si>
    <t xml:space="preserve">    0.25</t>
  </si>
  <si>
    <t xml:space="preserve">    0.18</t>
  </si>
  <si>
    <t xml:space="preserve">   -1.38</t>
  </si>
  <si>
    <t xml:space="preserve">    0.41</t>
  </si>
  <si>
    <t xml:space="preserve">   -0.06</t>
  </si>
  <si>
    <t xml:space="preserve">    0.75</t>
  </si>
  <si>
    <t xml:space="preserve">    0.45</t>
  </si>
  <si>
    <t xml:space="preserve">   -2.54</t>
  </si>
  <si>
    <t xml:space="preserve">    0.51</t>
  </si>
  <si>
    <t xml:space="preserve">   -2.09</t>
  </si>
  <si>
    <t xml:space="preserve">   -0.23</t>
  </si>
  <si>
    <t xml:space="preserve">    2.67</t>
  </si>
  <si>
    <t xml:space="preserve">   -0.68</t>
  </si>
  <si>
    <t xml:space="preserve">   -1.87</t>
  </si>
  <si>
    <t xml:space="preserve">    0.65</t>
  </si>
  <si>
    <t xml:space="preserve">    1.41</t>
  </si>
  <si>
    <t xml:space="preserve">   -0.32</t>
  </si>
  <si>
    <t xml:space="preserve">   -2.29</t>
  </si>
  <si>
    <t xml:space="preserve">   0.007</t>
  </si>
  <si>
    <t xml:space="preserve">    1.24</t>
  </si>
  <si>
    <t xml:space="preserve">    0.33</t>
  </si>
  <si>
    <t xml:space="preserve">    0.46</t>
  </si>
  <si>
    <t xml:space="preserve">   -2.19</t>
  </si>
  <si>
    <t xml:space="preserve">    0.39</t>
  </si>
  <si>
    <t xml:space="preserve">    0.30</t>
  </si>
  <si>
    <t xml:space="preserve">    1.77</t>
  </si>
  <si>
    <t xml:space="preserve">    0.40</t>
  </si>
  <si>
    <t xml:space="preserve">   -0.12</t>
  </si>
  <si>
    <t xml:space="preserve">    0.92</t>
  </si>
  <si>
    <t xml:space="preserve">    0.84</t>
  </si>
  <si>
    <t xml:space="preserve">   -0.37</t>
  </si>
  <si>
    <t xml:space="preserve">    0.82</t>
  </si>
  <si>
    <t xml:space="preserve">    1.09</t>
  </si>
  <si>
    <t xml:space="preserve">   -1.18</t>
  </si>
  <si>
    <t xml:space="preserve">    0.13</t>
  </si>
  <si>
    <t xml:space="preserve">    0.02</t>
  </si>
  <si>
    <t xml:space="preserve">   -0.47</t>
  </si>
  <si>
    <t xml:space="preserve">    1.08</t>
  </si>
  <si>
    <t xml:space="preserve">   -0.81</t>
  </si>
  <si>
    <t xml:space="preserve">    0.06</t>
  </si>
  <si>
    <t xml:space="preserve">    0.58</t>
  </si>
  <si>
    <t xml:space="preserve">   -0.05</t>
  </si>
  <si>
    <t xml:space="preserve">    0.20</t>
  </si>
  <si>
    <t xml:space="preserve">   -1.30</t>
  </si>
  <si>
    <t xml:space="preserve">    1.02</t>
  </si>
  <si>
    <t xml:space="preserve">    0.10</t>
  </si>
  <si>
    <t xml:space="preserve">   -0.33</t>
  </si>
  <si>
    <t xml:space="preserve">    0.96</t>
  </si>
  <si>
    <t xml:space="preserve">   -0.85</t>
  </si>
  <si>
    <t xml:space="preserve">   -0.80</t>
  </si>
  <si>
    <t xml:space="preserve">    1.28</t>
  </si>
  <si>
    <t xml:space="preserve">    1.30</t>
  </si>
  <si>
    <t xml:space="preserve">   -0.20</t>
  </si>
  <si>
    <t xml:space="preserve">    0.89</t>
  </si>
  <si>
    <t xml:space="preserve">   -0.55</t>
  </si>
  <si>
    <t xml:space="preserve">    0.67</t>
  </si>
  <si>
    <t xml:space="preserve">    0.50</t>
  </si>
  <si>
    <t xml:space="preserve">    0.71</t>
  </si>
  <si>
    <t xml:space="preserve">    0.90</t>
  </si>
  <si>
    <t xml:space="preserve">    0.72</t>
  </si>
  <si>
    <t xml:space="preserve">   -0.76</t>
  </si>
  <si>
    <t xml:space="preserve">    0.61</t>
  </si>
  <si>
    <t xml:space="preserve">    0.29</t>
  </si>
  <si>
    <t xml:space="preserve">   -0.70</t>
  </si>
  <si>
    <t xml:space="preserve">   -0.40</t>
  </si>
  <si>
    <t xml:space="preserve">   -1.04</t>
  </si>
  <si>
    <t xml:space="preserve">    1.33</t>
  </si>
  <si>
    <t xml:space="preserve">    1.31</t>
  </si>
  <si>
    <t xml:space="preserve">   -0.11</t>
  </si>
  <si>
    <t xml:space="preserve">    0.48</t>
  </si>
  <si>
    <t xml:space="preserve">    0.17</t>
  </si>
  <si>
    <t xml:space="preserve">   -0.45</t>
  </si>
  <si>
    <t xml:space="preserve">    0.86</t>
  </si>
  <si>
    <t xml:space="preserve">   -0.30</t>
  </si>
  <si>
    <t xml:space="preserve">    0.93</t>
  </si>
  <si>
    <t xml:space="preserve">   -0.17</t>
  </si>
  <si>
    <t xml:space="preserve">    0.27</t>
  </si>
  <si>
    <t xml:space="preserve">   -1.00</t>
  </si>
  <si>
    <t xml:space="preserve">    0.73</t>
  </si>
  <si>
    <t xml:space="preserve">   -0.73</t>
  </si>
  <si>
    <t xml:space="preserve">    0.00</t>
  </si>
  <si>
    <t xml:space="preserve">   -1.48</t>
  </si>
  <si>
    <t xml:space="preserve">    0.63</t>
  </si>
  <si>
    <t xml:space="preserve">   0.008</t>
  </si>
  <si>
    <t xml:space="preserve">    0.88</t>
  </si>
  <si>
    <t xml:space="preserve">   -0.78</t>
  </si>
  <si>
    <t xml:space="preserve">   -0.69</t>
  </si>
  <si>
    <t xml:space="preserve">   -1.14</t>
  </si>
  <si>
    <t xml:space="preserve">    0.98</t>
  </si>
  <si>
    <t xml:space="preserve">   -0.27</t>
  </si>
  <si>
    <t xml:space="preserve">    0.55</t>
  </si>
  <si>
    <t xml:space="preserve">   -1.36</t>
  </si>
  <si>
    <t xml:space="preserve">    0.83</t>
  </si>
  <si>
    <t xml:space="preserve">    0.64</t>
  </si>
  <si>
    <t xml:space="preserve">   -0.82</t>
  </si>
  <si>
    <t xml:space="preserve">    1.57</t>
  </si>
  <si>
    <t xml:space="preserve">   -1.07</t>
  </si>
  <si>
    <t xml:space="preserve">   -0.60</t>
  </si>
  <si>
    <t xml:space="preserve">   -0.91</t>
  </si>
  <si>
    <t xml:space="preserve">    0.09</t>
  </si>
  <si>
    <t xml:space="preserve">    0.91</t>
  </si>
  <si>
    <t xml:space="preserve">    0.62</t>
  </si>
  <si>
    <t xml:space="preserve">    0.74</t>
  </si>
  <si>
    <t xml:space="preserve">   -0.01</t>
  </si>
  <si>
    <t xml:space="preserve">    0.56</t>
  </si>
  <si>
    <t xml:space="preserve">   -0.71</t>
  </si>
  <si>
    <t xml:space="preserve">   -0.66</t>
  </si>
  <si>
    <t xml:space="preserve">   -0.90</t>
  </si>
  <si>
    <t xml:space="preserve">   -1.62</t>
  </si>
  <si>
    <t xml:space="preserve">    0.34</t>
  </si>
  <si>
    <t xml:space="preserve">   -0.98</t>
  </si>
  <si>
    <t xml:space="preserve">   -0.93</t>
  </si>
  <si>
    <t xml:space="preserve">   -0.64</t>
  </si>
  <si>
    <t xml:space="preserve">    0.38</t>
  </si>
  <si>
    <t xml:space="preserve">    1.22</t>
  </si>
  <si>
    <t xml:space="preserve">   -3.33</t>
  </si>
  <si>
    <t xml:space="preserve">    1.10</t>
  </si>
  <si>
    <t xml:space="preserve">   -1.96</t>
  </si>
  <si>
    <t xml:space="preserve">   -0.92</t>
  </si>
  <si>
    <t xml:space="preserve">    1.38</t>
  </si>
  <si>
    <t xml:space="preserve">   -0.88</t>
  </si>
  <si>
    <t xml:space="preserve">   -1.74</t>
  </si>
  <si>
    <t xml:space="preserve">    2.24</t>
  </si>
  <si>
    <t xml:space="preserve">    0.68</t>
  </si>
  <si>
    <t xml:space="preserve">   -1.43</t>
  </si>
  <si>
    <t xml:space="preserve">   -1.54</t>
  </si>
  <si>
    <t xml:space="preserve">   -1.33</t>
  </si>
  <si>
    <t xml:space="preserve">    1.93</t>
  </si>
  <si>
    <t xml:space="preserve">   -1.65</t>
  </si>
  <si>
    <t xml:space="preserve">   -0.77</t>
  </si>
  <si>
    <t xml:space="preserve">    1.62</t>
  </si>
  <si>
    <t xml:space="preserve">    1.66</t>
  </si>
  <si>
    <t xml:space="preserve">    1.29</t>
  </si>
  <si>
    <t xml:space="preserve">    1.35</t>
  </si>
  <si>
    <t xml:space="preserve">   -1.01</t>
  </si>
  <si>
    <t xml:space="preserve">    1.55</t>
  </si>
  <si>
    <t xml:space="preserve">    2.11</t>
  </si>
  <si>
    <t xml:space="preserve">   -0.28</t>
  </si>
  <si>
    <t xml:space="preserve">   -0.86</t>
  </si>
  <si>
    <t xml:space="preserve">   -2.06</t>
  </si>
  <si>
    <t xml:space="preserve">    1.18</t>
  </si>
  <si>
    <t xml:space="preserve">   -1.88</t>
  </si>
  <si>
    <t xml:space="preserve">    2.30</t>
  </si>
  <si>
    <t xml:space="preserve">   -1.85</t>
  </si>
  <si>
    <t xml:space="preserve">   -0.59</t>
  </si>
  <si>
    <t xml:space="preserve">   -1.09</t>
  </si>
  <si>
    <t xml:space="preserve">    2.42</t>
  </si>
  <si>
    <t xml:space="preserve">   -1.16</t>
  </si>
  <si>
    <t xml:space="preserve">    1.13</t>
  </si>
  <si>
    <t xml:space="preserve">   0.011</t>
  </si>
  <si>
    <t xml:space="preserve">   -3.45</t>
  </si>
  <si>
    <t xml:space="preserve">   -0.97</t>
  </si>
  <si>
    <t xml:space="preserve">   -1.05</t>
  </si>
  <si>
    <t xml:space="preserve">   -2.36</t>
  </si>
  <si>
    <t xml:space="preserve">    1.32</t>
  </si>
  <si>
    <t xml:space="preserve">   -1.51</t>
  </si>
  <si>
    <t xml:space="preserve">   -1.89</t>
  </si>
  <si>
    <t xml:space="preserve">   -1.58</t>
  </si>
  <si>
    <t xml:space="preserve">   -2.17</t>
  </si>
  <si>
    <t xml:space="preserve">   -2.55</t>
  </si>
  <si>
    <t xml:space="preserve">    1.00</t>
  </si>
  <si>
    <t xml:space="preserve">    5.06</t>
  </si>
  <si>
    <t xml:space="preserve">   0.010</t>
  </si>
  <si>
    <t xml:space="preserve">   -2.45</t>
  </si>
  <si>
    <t xml:space="preserve">    1.20</t>
  </si>
  <si>
    <t xml:space="preserve">    3.55</t>
  </si>
  <si>
    <t xml:space="preserve">   -0.75</t>
  </si>
  <si>
    <t xml:space="preserve">   -1.53</t>
  </si>
  <si>
    <t xml:space="preserve">    1.51</t>
  </si>
  <si>
    <t xml:space="preserve">   -0.94</t>
  </si>
  <si>
    <t xml:space="preserve">   -1.08</t>
  </si>
  <si>
    <t xml:space="preserve">    0.43</t>
  </si>
  <si>
    <t xml:space="preserve">   -1.47</t>
  </si>
  <si>
    <t xml:space="preserve">   0.009</t>
  </si>
  <si>
    <t xml:space="preserve">   -1.27</t>
  </si>
  <si>
    <t xml:space="preserve">    1.49</t>
  </si>
  <si>
    <t xml:space="preserve">   -1.23</t>
  </si>
  <si>
    <t xml:space="preserve">   -1.52</t>
  </si>
  <si>
    <t xml:space="preserve">    0.76</t>
  </si>
  <si>
    <t xml:space="preserve">    1.19</t>
  </si>
  <si>
    <t xml:space="preserve">    0.99</t>
  </si>
  <si>
    <t xml:space="preserve">   -0.65</t>
  </si>
  <si>
    <t xml:space="preserve">   -0.56</t>
  </si>
  <si>
    <t xml:space="preserve">    0.97</t>
  </si>
  <si>
    <t xml:space="preserve">   -0.83</t>
  </si>
  <si>
    <t xml:space="preserve">    0.60</t>
  </si>
  <si>
    <t xml:space="preserve">   -1.69</t>
  </si>
  <si>
    <t xml:space="preserve">   -2.67</t>
  </si>
  <si>
    <t xml:space="preserve">   -0.96</t>
  </si>
  <si>
    <t xml:space="preserve">   -1.37</t>
  </si>
  <si>
    <t xml:space="preserve">    2.33</t>
  </si>
  <si>
    <t xml:space="preserve">    1.04</t>
  </si>
  <si>
    <t xml:space="preserve">   -1.20</t>
  </si>
  <si>
    <t xml:space="preserve">   -0.99</t>
  </si>
  <si>
    <t xml:space="preserve">   -0.79</t>
  </si>
  <si>
    <t xml:space="preserve">   -1.12</t>
  </si>
  <si>
    <t xml:space="preserve">    1.42</t>
  </si>
  <si>
    <t xml:space="preserve">    1.37</t>
  </si>
  <si>
    <t xml:space="preserve">   -1.90</t>
  </si>
  <si>
    <t xml:space="preserve">   -0.87</t>
  </si>
  <si>
    <t xml:space="preserve">   -3.07</t>
  </si>
  <si>
    <t xml:space="preserve">    1.97</t>
  </si>
  <si>
    <t xml:space="preserve">   -1.32</t>
  </si>
  <si>
    <t xml:space="preserve">    1.47</t>
  </si>
  <si>
    <t xml:space="preserve">   -2.95</t>
  </si>
  <si>
    <t xml:space="preserve">    1.14</t>
  </si>
  <si>
    <t xml:space="preserve">   -2.66</t>
  </si>
  <si>
    <t xml:space="preserve">   -0.95</t>
  </si>
  <si>
    <t xml:space="preserve">    3.06</t>
  </si>
  <si>
    <t xml:space="preserve">   -1.31</t>
  </si>
  <si>
    <t xml:space="preserve">   -1.73</t>
  </si>
  <si>
    <t xml:space="preserve">    0.80</t>
  </si>
  <si>
    <t xml:space="preserve">   -0.89</t>
  </si>
  <si>
    <t xml:space="preserve">    1.39</t>
  </si>
  <si>
    <t xml:space="preserve">   -1.61</t>
  </si>
  <si>
    <t xml:space="preserve">    1.23</t>
  </si>
  <si>
    <t xml:space="preserve">    1.03</t>
  </si>
  <si>
    <t xml:space="preserve">   -0.72</t>
  </si>
  <si>
    <t xml:space="preserve">   -1.56</t>
  </si>
  <si>
    <t xml:space="preserve">    1.05</t>
  </si>
  <si>
    <t xml:space="preserve">   -3.39</t>
  </si>
  <si>
    <t xml:space="preserve">   -3.09</t>
  </si>
  <si>
    <t xml:space="preserve">   -4.22</t>
  </si>
  <si>
    <t xml:space="preserve">    4.31</t>
  </si>
  <si>
    <t xml:space="preserve">   -2.79</t>
  </si>
  <si>
    <t xml:space="preserve">    4.03</t>
  </si>
  <si>
    <t xml:space="preserve">   -1.17</t>
  </si>
  <si>
    <t xml:space="preserve">   -3.38</t>
  </si>
  <si>
    <t xml:space="preserve">   -1.40</t>
  </si>
  <si>
    <t xml:space="preserve">   -1.78</t>
  </si>
  <si>
    <t xml:space="preserve">   -1.49</t>
  </si>
  <si>
    <t xml:space="preserve">   -7.78</t>
  </si>
  <si>
    <t xml:space="preserve">   -4.75</t>
  </si>
  <si>
    <t xml:space="preserve">    4.74</t>
  </si>
  <si>
    <t xml:space="preserve">   -2.49</t>
  </si>
  <si>
    <t xml:space="preserve">   -5.05</t>
  </si>
  <si>
    <t xml:space="preserve">   -9.63</t>
  </si>
  <si>
    <t xml:space="preserve">    8.96</t>
  </si>
  <si>
    <t xml:space="preserve">   -2.70</t>
  </si>
  <si>
    <t xml:space="preserve">    3.03</t>
  </si>
  <si>
    <t xml:space="preserve">  -12.00</t>
  </si>
  <si>
    <t xml:space="preserve">    5.88</t>
  </si>
  <si>
    <t xml:space="preserve">   -5.56</t>
  </si>
  <si>
    <t xml:space="preserve">   -3.56</t>
  </si>
  <si>
    <t xml:space="preserve">   -4.69</t>
  </si>
  <si>
    <t xml:space="preserve">    5.46</t>
  </si>
  <si>
    <t xml:space="preserve">   -4.15</t>
  </si>
  <si>
    <t xml:space="preserve">   -3.27</t>
  </si>
  <si>
    <t xml:space="preserve">    9.34</t>
  </si>
  <si>
    <t xml:space="preserve">   -1.26</t>
  </si>
  <si>
    <t xml:space="preserve">    2.38</t>
  </si>
  <si>
    <t xml:space="preserve">    1.92</t>
  </si>
  <si>
    <t xml:space="preserve">    6.02</t>
  </si>
  <si>
    <t xml:space="preserve">    1.07</t>
  </si>
  <si>
    <t xml:space="preserve">   -3.48</t>
  </si>
  <si>
    <t xml:space="preserve">    3.16</t>
  </si>
  <si>
    <t xml:space="preserve">   -1.44</t>
  </si>
  <si>
    <t xml:space="preserve">    1.80</t>
  </si>
  <si>
    <t xml:space="preserve">   -4.51</t>
  </si>
  <si>
    <t xml:space="preserve">   0.000</t>
  </si>
  <si>
    <t xml:space="preserve">    2.10</t>
  </si>
  <si>
    <t xml:space="preserve">   -1.64</t>
  </si>
  <si>
    <t xml:space="preserve">    7.06</t>
  </si>
  <si>
    <t xml:space="preserve">    2.08</t>
  </si>
  <si>
    <t xml:space="preserve">    3.40</t>
  </si>
  <si>
    <t xml:space="preserve">    1.59</t>
  </si>
  <si>
    <t xml:space="preserve">   -2.40</t>
  </si>
  <si>
    <t xml:space="preserve">    3.02</t>
  </si>
  <si>
    <t xml:space="preserve">   -3.15</t>
  </si>
  <si>
    <t xml:space="preserve">   -2.15</t>
  </si>
  <si>
    <t xml:space="preserve">   -2.98</t>
  </si>
  <si>
    <t xml:space="preserve">    2.72</t>
  </si>
  <si>
    <t xml:space="preserve">    2.77</t>
  </si>
  <si>
    <t xml:space="preserve">   -3.08</t>
  </si>
  <si>
    <t xml:space="preserve">    2.31</t>
  </si>
  <si>
    <t xml:space="preserve">    1.44</t>
  </si>
  <si>
    <t xml:space="preserve">    1.73</t>
  </si>
  <si>
    <t xml:space="preserve">    1.61</t>
  </si>
  <si>
    <t xml:space="preserve">    2.71</t>
  </si>
  <si>
    <t xml:space="preserve">    2.85</t>
  </si>
  <si>
    <t xml:space="preserve">    2.92</t>
  </si>
  <si>
    <t xml:space="preserve">    1.89</t>
  </si>
  <si>
    <t xml:space="preserve">    2.00</t>
  </si>
  <si>
    <t xml:space="preserve">   -1.70</t>
  </si>
  <si>
    <t xml:space="preserve">   -2.91</t>
  </si>
  <si>
    <t xml:space="preserve">   -2.02</t>
  </si>
  <si>
    <t xml:space="preserve">    1.90</t>
  </si>
  <si>
    <t xml:space="preserve">    2.46</t>
  </si>
  <si>
    <t xml:space="preserve">   -3.78</t>
  </si>
  <si>
    <t xml:space="preserve">   -1.35</t>
  </si>
  <si>
    <t xml:space="preserve">   -2.08</t>
  </si>
  <si>
    <t xml:space="preserve">   -1.15</t>
  </si>
  <si>
    <t xml:space="preserve">    3.24</t>
  </si>
  <si>
    <t xml:space="preserve">    1.56</t>
  </si>
  <si>
    <t xml:space="preserve">    4.60</t>
  </si>
  <si>
    <t xml:space="preserve">   -1.50</t>
  </si>
  <si>
    <t xml:space="preserve">    4.55</t>
  </si>
  <si>
    <t xml:space="preserve">    3.62</t>
  </si>
  <si>
    <t xml:space="preserve">   -2.43</t>
  </si>
  <si>
    <t xml:space="preserve">   -1.98</t>
  </si>
  <si>
    <t xml:space="preserve">    2.62</t>
  </si>
  <si>
    <t xml:space="preserve">    2.89</t>
  </si>
  <si>
    <t xml:space="preserve">    2.50</t>
  </si>
  <si>
    <t xml:space="preserve">    2.76</t>
  </si>
  <si>
    <t xml:space="preserve">    2.09</t>
  </si>
  <si>
    <t xml:space="preserve">   -1.92</t>
  </si>
  <si>
    <t xml:space="preserve">   -4.10</t>
  </si>
  <si>
    <t xml:space="preserve">   -5.91</t>
  </si>
  <si>
    <t xml:space="preserve">   -3.03</t>
  </si>
  <si>
    <t xml:space="preserve">    1.82</t>
  </si>
  <si>
    <t xml:space="preserve">    1.46</t>
  </si>
  <si>
    <t xml:space="preserve">    1.87</t>
  </si>
  <si>
    <t xml:space="preserve">   -2.61</t>
  </si>
  <si>
    <t xml:space="preserve">   -2.44</t>
  </si>
  <si>
    <t xml:space="preserve">   -1.41</t>
  </si>
  <si>
    <t xml:space="preserve">    1.25</t>
  </si>
  <si>
    <t xml:space="preserve">    1.85</t>
  </si>
  <si>
    <t xml:space="preserve">    1.58</t>
  </si>
  <si>
    <t xml:space="preserve">   -1.28</t>
  </si>
  <si>
    <t xml:space="preserve">   -2.58</t>
  </si>
  <si>
    <t xml:space="preserve">   0.001</t>
  </si>
  <si>
    <t xml:space="preserve">    1.65</t>
  </si>
  <si>
    <t xml:space="preserve">   -1.03</t>
  </si>
  <si>
    <t xml:space="preserve">    3.07</t>
  </si>
  <si>
    <t xml:space="preserve">    2.04</t>
  </si>
  <si>
    <t xml:space="preserve">    2.43</t>
  </si>
  <si>
    <t xml:space="preserve">   -2.37</t>
  </si>
  <si>
    <t xml:space="preserve">    3.27</t>
  </si>
  <si>
    <t xml:space="preserve">   -1.99</t>
  </si>
  <si>
    <t xml:space="preserve">   -1.84</t>
  </si>
  <si>
    <t xml:space="preserve">   -1.60</t>
  </si>
  <si>
    <t xml:space="preserve">    2.41</t>
  </si>
  <si>
    <t xml:space="preserve">    1.64</t>
  </si>
  <si>
    <t xml:space="preserve">    1.40</t>
  </si>
  <si>
    <t xml:space="preserve">   -1.34</t>
  </si>
  <si>
    <t xml:space="preserve">   -1.55</t>
  </si>
  <si>
    <t xml:space="preserve">    2.59</t>
  </si>
  <si>
    <t xml:space="preserve">   -1.76</t>
  </si>
  <si>
    <t xml:space="preserve">    1.27</t>
  </si>
  <si>
    <t xml:space="preserve">   -3.70</t>
  </si>
  <si>
    <t xml:space="preserve">    2.61</t>
  </si>
  <si>
    <t xml:space="preserve">    2.06</t>
  </si>
  <si>
    <t xml:space="preserve">    2.07</t>
  </si>
  <si>
    <t xml:space="preserve">   -2.00</t>
  </si>
  <si>
    <t xml:space="preserve">   -2.03</t>
  </si>
  <si>
    <t xml:space="preserve">   -1.63</t>
  </si>
  <si>
    <t xml:space="preserve">   -2.48</t>
  </si>
  <si>
    <t xml:space="preserve">    1.72</t>
  </si>
  <si>
    <t xml:space="preserve">    2.45</t>
  </si>
  <si>
    <t xml:space="preserve">    1.84</t>
  </si>
  <si>
    <t xml:space="preserve">    1.53</t>
  </si>
  <si>
    <t xml:space="preserve">    1.26</t>
  </si>
  <si>
    <t xml:space="preserve">   -2.33</t>
  </si>
  <si>
    <t xml:space="preserve">   -3.41</t>
  </si>
  <si>
    <t xml:space="preserve">   -1.45</t>
  </si>
  <si>
    <t xml:space="preserve">    2.25</t>
  </si>
  <si>
    <t xml:space="preserve">   -5.02</t>
  </si>
  <si>
    <t xml:space="preserve">    2.13</t>
  </si>
  <si>
    <t xml:space="preserve">    6.73</t>
  </si>
  <si>
    <t xml:space="preserve">    2.17</t>
  </si>
  <si>
    <t xml:space="preserve">   -1.75</t>
  </si>
  <si>
    <t xml:space="preserve">    1.99</t>
  </si>
  <si>
    <t xml:space="preserve">   -2.07</t>
  </si>
  <si>
    <t xml:space="preserve">    2.03</t>
  </si>
  <si>
    <t xml:space="preserve">    2.14</t>
  </si>
  <si>
    <t xml:space="preserve">    3.94</t>
  </si>
  <si>
    <t xml:space="preserve">    1.76</t>
  </si>
  <si>
    <t xml:space="preserve">   -2.53</t>
  </si>
  <si>
    <t xml:space="preserve">   -1.93</t>
  </si>
  <si>
    <t xml:space="preserve">    1.48</t>
  </si>
  <si>
    <t xml:space="preserve">    1.79</t>
  </si>
  <si>
    <t xml:space="preserve">   -1.13</t>
  </si>
  <si>
    <t xml:space="preserve">   -2.74</t>
  </si>
  <si>
    <t xml:space="preserve">    2.63</t>
  </si>
  <si>
    <t xml:space="preserve">   -1.57</t>
  </si>
  <si>
    <t xml:space="preserve">    3.56</t>
  </si>
  <si>
    <t xml:space="preserve">    1.71</t>
  </si>
  <si>
    <t xml:space="preserve">    3.71</t>
  </si>
  <si>
    <t xml:space="preserve">   -3.23</t>
  </si>
  <si>
    <t xml:space="preserve">   -1.29</t>
  </si>
  <si>
    <t xml:space="preserve">    2.18</t>
  </si>
  <si>
    <t xml:space="preserve">   -2.21</t>
  </si>
  <si>
    <t xml:space="preserve">   -2.71</t>
  </si>
  <si>
    <t xml:space="preserve">    1.68</t>
  </si>
  <si>
    <t xml:space="preserve">    1.34</t>
  </si>
  <si>
    <t xml:space="preserve">   -1.68</t>
  </si>
  <si>
    <t xml:space="preserve">    1.69</t>
  </si>
  <si>
    <t xml:space="preserve">   -2.34</t>
  </si>
  <si>
    <t xml:space="preserve">    1.81</t>
  </si>
  <si>
    <t xml:space="preserve">   -2.05</t>
  </si>
  <si>
    <t xml:space="preserve">   -3.59</t>
  </si>
  <si>
    <t xml:space="preserve">   -1.22</t>
  </si>
  <si>
    <t xml:space="preserve">   -1.59</t>
  </si>
  <si>
    <t xml:space="preserve">    1.88</t>
  </si>
  <si>
    <t xml:space="preserve">    1.63</t>
  </si>
  <si>
    <t xml:space="preserve">   -2.18</t>
  </si>
  <si>
    <t xml:space="preserve">    1.75</t>
  </si>
  <si>
    <t xml:space="preserve">    2.02</t>
  </si>
  <si>
    <t xml:space="preserve">    1.45</t>
  </si>
  <si>
    <t xml:space="preserve">   -2.22</t>
  </si>
  <si>
    <t xml:space="preserve">   -1.95</t>
  </si>
  <si>
    <t xml:space="preserve">   -1.21</t>
  </si>
  <si>
    <t xml:space="preserve">    2.22</t>
  </si>
  <si>
    <t xml:space="preserve">   -1.79</t>
  </si>
  <si>
    <t xml:space="preserve">   -1.91</t>
  </si>
  <si>
    <t xml:space="preserve">    2.78</t>
  </si>
  <si>
    <t xml:space="preserve">   -2.28</t>
  </si>
  <si>
    <t xml:space="preserve">   -1.46</t>
  </si>
  <si>
    <t xml:space="preserve">    2.60</t>
  </si>
  <si>
    <t xml:space="preserve">   -2.10</t>
  </si>
  <si>
    <t xml:space="preserve">    2.79</t>
  </si>
  <si>
    <t xml:space="preserve">    2.34</t>
  </si>
  <si>
    <t xml:space="preserve">   -2.86</t>
  </si>
  <si>
    <t xml:space="preserve">   -1.42</t>
  </si>
  <si>
    <t xml:space="preserve">   -3.86</t>
  </si>
  <si>
    <t xml:space="preserve">    2.23</t>
  </si>
  <si>
    <t xml:space="preserve">   -1.10</t>
  </si>
  <si>
    <t xml:space="preserve">   -3.12</t>
  </si>
  <si>
    <t xml:space="preserve">    2.80</t>
  </si>
  <si>
    <t xml:space="preserve">    1.16</t>
  </si>
  <si>
    <t xml:space="preserve">    2.15</t>
  </si>
  <si>
    <t xml:space="preserve">   -2.39</t>
  </si>
  <si>
    <t xml:space="preserve">   -1.83</t>
  </si>
  <si>
    <t xml:space="preserve">    1.43</t>
  </si>
  <si>
    <t xml:space="preserve">   -1.24</t>
  </si>
  <si>
    <t xml:space="preserve">   -3.00</t>
  </si>
  <si>
    <t xml:space="preserve">    2.44</t>
  </si>
  <si>
    <t xml:space="preserve">   -3.53</t>
  </si>
  <si>
    <t xml:space="preserve">    3.00</t>
  </si>
  <si>
    <t xml:space="preserve">   -3.80</t>
  </si>
  <si>
    <t xml:space="preserve">    2.37</t>
  </si>
  <si>
    <t xml:space="preserve">   -3.54</t>
  </si>
  <si>
    <t xml:space="preserve">   -2.20</t>
  </si>
  <si>
    <t xml:space="preserve">   -4.04</t>
  </si>
  <si>
    <t xml:space="preserve">    1.74</t>
  </si>
  <si>
    <t xml:space="preserve">    2.58</t>
  </si>
  <si>
    <t xml:space="preserve">   0.003</t>
  </si>
  <si>
    <t xml:space="preserve">   -4.13</t>
  </si>
  <si>
    <t xml:space="preserve">   -3.52</t>
  </si>
  <si>
    <t xml:space="preserve">   -2.63</t>
  </si>
  <si>
    <t xml:space="preserve">   -1.77</t>
  </si>
  <si>
    <t xml:space="preserve">   -3.85</t>
  </si>
  <si>
    <t xml:space="preserve">    3.11</t>
  </si>
  <si>
    <t xml:space="preserve">    2.36</t>
  </si>
  <si>
    <t xml:space="preserve">   0.004</t>
  </si>
  <si>
    <t xml:space="preserve">   -3.34</t>
  </si>
  <si>
    <t xml:space="preserve">   -1.39</t>
  </si>
  <si>
    <t xml:space="preserve">    1.95</t>
  </si>
  <si>
    <t xml:space="preserve">   -1.82</t>
  </si>
  <si>
    <t xml:space="preserve">   -2.14</t>
  </si>
  <si>
    <t xml:space="preserve">   -4.29</t>
  </si>
  <si>
    <t xml:space="preserve">    2.55</t>
  </si>
  <si>
    <t xml:space="preserve">    3.30</t>
  </si>
  <si>
    <t xml:space="preserve">    2.40</t>
  </si>
  <si>
    <t xml:space="preserve">   -2.46</t>
  </si>
  <si>
    <t xml:space="preserve">    2.74</t>
  </si>
  <si>
    <t xml:space="preserve">    1.78</t>
  </si>
  <si>
    <t xml:space="preserve">   0.014</t>
  </si>
  <si>
    <t xml:space="preserve">   -2.25</t>
  </si>
  <si>
    <t xml:space="preserve">    5.68</t>
  </si>
  <si>
    <t xml:space="preserve">   -3.11</t>
  </si>
  <si>
    <t xml:space="preserve">    3.12</t>
  </si>
  <si>
    <t xml:space="preserve">   0.016</t>
  </si>
  <si>
    <t xml:space="preserve">   -2.57</t>
  </si>
  <si>
    <t xml:space="preserve">   0.017</t>
  </si>
  <si>
    <t xml:space="preserve">    2.21</t>
  </si>
  <si>
    <t xml:space="preserve">   -1.67</t>
  </si>
  <si>
    <t xml:space="preserve">   0.018</t>
  </si>
  <si>
    <t xml:space="preserve">   -2.16</t>
  </si>
  <si>
    <t xml:space="preserve">   -1.81</t>
  </si>
  <si>
    <t xml:space="preserve">   0.019</t>
  </si>
  <si>
    <t xml:space="preserve">    2.12</t>
  </si>
  <si>
    <t xml:space="preserve">   0.022</t>
  </si>
  <si>
    <t xml:space="preserve">   0.020</t>
  </si>
  <si>
    <t xml:space="preserve">    1.50</t>
  </si>
  <si>
    <t xml:space="preserve">   0.021</t>
  </si>
  <si>
    <t xml:space="preserve">    2.99</t>
  </si>
  <si>
    <t xml:space="preserve">    2.05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</si>
</sst>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00%"/>
    <numFmt numFmtId="166" formatCode="d/m/yy"/>
    <numFmt numFmtId="167" formatCode="#,##0.0000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64" xfId="0" applyAlignment="1" applyFont="1" applyNumberFormat="1">
      <alignment horizontal="right"/>
    </xf>
    <xf borderId="0" fillId="0" fontId="1" numFmtId="10" xfId="0" applyFont="1" applyNumberFormat="1"/>
    <xf borderId="0" fillId="0" fontId="1" numFmtId="165" xfId="0" applyFont="1" applyNumberFormat="1"/>
    <xf borderId="0" fillId="0" fontId="1" numFmtId="2" xfId="0" applyFont="1" applyNumberFormat="1"/>
    <xf borderId="0" fillId="0" fontId="2" numFmtId="0" xfId="0" applyFont="1"/>
    <xf borderId="0" fillId="0" fontId="1" numFmtId="10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10" xfId="0" applyAlignment="1" applyFont="1" applyNumberFormat="1">
      <alignment horizontal="right"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167" xfId="0" applyFont="1" applyNumberFormat="1"/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/>
    </xf>
    <xf borderId="0" fillId="0" fontId="1" numFmtId="10" xfId="0" applyAlignment="1" applyFont="1" applyNumberFormat="1">
      <alignment horizontal="right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Agregad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604097466776748"/>
          <c:y val="0.12414564787566251"/>
          <c:w val="0.94746630599124"/>
          <c:h val="0.8598470106166389"/>
        </c:manualLayout>
      </c:layout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Agregado!$G$3:$G$1511</c:f>
              <c:numCache/>
            </c:numRef>
          </c:val>
          <c:smooth val="0"/>
        </c:ser>
        <c:axId val="484199907"/>
        <c:axId val="1782122421"/>
      </c:lineChart>
      <c:catAx>
        <c:axId val="484199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2122421"/>
      </c:catAx>
      <c:valAx>
        <c:axId val="1782122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419990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4711215070124946"/>
          <c:y val="0.010330520804008638"/>
          <c:w val="0.9425509068455061"/>
          <c:h val="0.9806075390717003"/>
        </c:manualLayout>
      </c:layout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Hoja6!$C$3:$C$1516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Hoja6!$D$3:$D$1516</c:f>
              <c:numCache/>
            </c:numRef>
          </c:val>
          <c:smooth val="0"/>
        </c:ser>
        <c:axId val="1107544854"/>
        <c:axId val="2061179714"/>
      </c:lineChart>
      <c:catAx>
        <c:axId val="1107544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1179714"/>
      </c:catAx>
      <c:valAx>
        <c:axId val="2061179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754485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666750</xdr:colOff>
      <xdr:row>5</xdr:row>
      <xdr:rowOff>104775</xdr:rowOff>
    </xdr:from>
    <xdr:ext cx="6772275" cy="4533900"/>
    <xdr:graphicFrame>
      <xdr:nvGraphicFramePr>
        <xdr:cNvPr id="15598594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1476</xdr:row>
      <xdr:rowOff>152400</xdr:rowOff>
    </xdr:from>
    <xdr:ext cx="20859750" cy="8096250"/>
    <xdr:graphicFrame>
      <xdr:nvGraphicFramePr>
        <xdr:cNvPr id="124269737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G1511" displayName="Table_1" name="Table_1" id="1">
  <tableColumns count="6">
    <tableColumn name="date" id="1"/>
    <tableColumn name="total_net_flows_SPY" id="2"/>
    <tableColumn name="total_net_flows_IVV" id="3"/>
    <tableColumn name="total_net_flows_VOO" id="4"/>
    <tableColumn name="total" id="5"/>
    <tableColumn name="variación" id="6"/>
  </tableColumns>
  <tableStyleInfo name="Agreg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86"/>
    <col customWidth="1" min="3" max="3" width="16.43"/>
    <col customWidth="1" min="4" max="26" width="10.71"/>
  </cols>
  <sheetData>
    <row r="2">
      <c r="B2" s="1" t="s">
        <v>0</v>
      </c>
      <c r="C2" s="2">
        <v>158789.66</v>
      </c>
      <c r="D2" s="2">
        <f>C2</f>
        <v>158789.66</v>
      </c>
    </row>
    <row r="3">
      <c r="B3" s="3">
        <v>43132.0</v>
      </c>
      <c r="C3" s="2">
        <v>-6144.012</v>
      </c>
      <c r="D3" s="2">
        <f t="shared" ref="D3:D1511" si="1">D2+C3</f>
        <v>152645.648</v>
      </c>
      <c r="E3" s="4">
        <f t="shared" ref="E3:E1511" si="2">LN(D3/D2)</f>
        <v>-0.03946122423</v>
      </c>
    </row>
    <row r="4">
      <c r="B4" s="3">
        <v>43160.0</v>
      </c>
      <c r="C4" s="2">
        <v>-1048.214</v>
      </c>
      <c r="D4" s="2">
        <f t="shared" si="1"/>
        <v>151597.434</v>
      </c>
      <c r="E4" s="4">
        <f t="shared" si="2"/>
        <v>-0.006890662168</v>
      </c>
    </row>
    <row r="5">
      <c r="B5" s="3">
        <v>43191.0</v>
      </c>
      <c r="C5" s="2">
        <v>-1677.034</v>
      </c>
      <c r="D5" s="2">
        <f t="shared" si="1"/>
        <v>149920.4</v>
      </c>
      <c r="E5" s="4">
        <f t="shared" si="2"/>
        <v>-0.01112406037</v>
      </c>
    </row>
    <row r="6">
      <c r="B6" s="3">
        <v>43221.0</v>
      </c>
      <c r="C6" s="2">
        <v>-624.76</v>
      </c>
      <c r="D6" s="2">
        <f t="shared" si="1"/>
        <v>149295.64</v>
      </c>
      <c r="E6" s="4">
        <f t="shared" si="2"/>
        <v>-0.004175985405</v>
      </c>
    </row>
    <row r="7">
      <c r="B7" s="3">
        <v>43313.0</v>
      </c>
      <c r="C7" s="2">
        <v>-1559.184</v>
      </c>
      <c r="D7" s="2">
        <f t="shared" si="1"/>
        <v>147736.456</v>
      </c>
      <c r="E7" s="4">
        <f t="shared" si="2"/>
        <v>-0.01049851745</v>
      </c>
    </row>
    <row r="8">
      <c r="B8" s="3">
        <v>43344.0</v>
      </c>
      <c r="C8" s="2">
        <v>2438.595</v>
      </c>
      <c r="D8" s="2">
        <f t="shared" si="1"/>
        <v>150175.051</v>
      </c>
      <c r="E8" s="4">
        <f t="shared" si="2"/>
        <v>0.01637163661</v>
      </c>
    </row>
    <row r="9">
      <c r="B9" s="3">
        <v>43374.0</v>
      </c>
      <c r="C9" s="2">
        <v>-1152.643</v>
      </c>
      <c r="D9" s="2">
        <f t="shared" si="1"/>
        <v>149022.408</v>
      </c>
      <c r="E9" s="4">
        <f t="shared" si="2"/>
        <v>-0.00770493644</v>
      </c>
    </row>
    <row r="10">
      <c r="B10" s="3">
        <v>43405.0</v>
      </c>
      <c r="C10" s="2">
        <v>3618.606</v>
      </c>
      <c r="D10" s="2">
        <f t="shared" si="1"/>
        <v>152641.014</v>
      </c>
      <c r="E10" s="4">
        <f t="shared" si="2"/>
        <v>0.02399216686</v>
      </c>
    </row>
    <row r="11">
      <c r="B11" s="3">
        <v>43435.0</v>
      </c>
      <c r="C11" s="2">
        <v>2898.89</v>
      </c>
      <c r="D11" s="2">
        <f t="shared" si="1"/>
        <v>155539.904</v>
      </c>
      <c r="E11" s="4">
        <f t="shared" si="2"/>
        <v>0.0188134653</v>
      </c>
    </row>
    <row r="12">
      <c r="B12" s="3" t="s">
        <v>1</v>
      </c>
      <c r="C12" s="2">
        <v>-1598.182</v>
      </c>
      <c r="D12" s="2">
        <f t="shared" si="1"/>
        <v>153941.722</v>
      </c>
      <c r="E12" s="4">
        <f t="shared" si="2"/>
        <v>-0.01032821384</v>
      </c>
    </row>
    <row r="13">
      <c r="B13" s="3" t="s">
        <v>2</v>
      </c>
      <c r="C13" s="2">
        <v>-235.425</v>
      </c>
      <c r="D13" s="2">
        <f t="shared" si="1"/>
        <v>153706.297</v>
      </c>
      <c r="E13" s="4">
        <f t="shared" si="2"/>
        <v>-0.001530483094</v>
      </c>
    </row>
    <row r="14">
      <c r="B14" s="3" t="s">
        <v>3</v>
      </c>
      <c r="C14" s="2">
        <v>6709.774</v>
      </c>
      <c r="D14" s="2">
        <f t="shared" si="1"/>
        <v>160416.071</v>
      </c>
      <c r="E14" s="4">
        <f t="shared" si="2"/>
        <v>0.04272726455</v>
      </c>
    </row>
    <row r="15">
      <c r="B15" s="3" t="s">
        <v>4</v>
      </c>
      <c r="C15" s="2">
        <v>-1116.589</v>
      </c>
      <c r="D15" s="2">
        <f t="shared" si="1"/>
        <v>159299.482</v>
      </c>
      <c r="E15" s="4">
        <f t="shared" si="2"/>
        <v>-0.006984918496</v>
      </c>
    </row>
    <row r="16">
      <c r="B16" s="3" t="s">
        <v>5</v>
      </c>
      <c r="C16" s="2">
        <v>3168.24</v>
      </c>
      <c r="D16" s="2">
        <f t="shared" si="1"/>
        <v>162467.722</v>
      </c>
      <c r="E16" s="4">
        <f t="shared" si="2"/>
        <v>0.01969338301</v>
      </c>
    </row>
    <row r="17">
      <c r="B17" s="3" t="s">
        <v>6</v>
      </c>
      <c r="C17" s="2">
        <v>2458.949</v>
      </c>
      <c r="D17" s="2">
        <f t="shared" si="1"/>
        <v>164926.671</v>
      </c>
      <c r="E17" s="4">
        <f t="shared" si="2"/>
        <v>0.01502160874</v>
      </c>
    </row>
    <row r="18">
      <c r="B18" s="3" t="s">
        <v>7</v>
      </c>
      <c r="C18" s="2">
        <v>2450.212</v>
      </c>
      <c r="D18" s="2">
        <f t="shared" si="1"/>
        <v>167376.883</v>
      </c>
      <c r="E18" s="4">
        <f t="shared" si="2"/>
        <v>0.0147470972</v>
      </c>
    </row>
    <row r="19">
      <c r="B19" s="3" t="s">
        <v>8</v>
      </c>
      <c r="C19" s="2">
        <v>-750.224</v>
      </c>
      <c r="D19" s="2">
        <f t="shared" si="1"/>
        <v>166626.659</v>
      </c>
      <c r="E19" s="4">
        <f t="shared" si="2"/>
        <v>-0.004492319196</v>
      </c>
    </row>
    <row r="20">
      <c r="B20" s="3" t="s">
        <v>9</v>
      </c>
      <c r="C20" s="2">
        <v>382.419</v>
      </c>
      <c r="D20" s="2">
        <f t="shared" si="1"/>
        <v>167009.078</v>
      </c>
      <c r="E20" s="4">
        <f t="shared" si="2"/>
        <v>0.002292435282</v>
      </c>
    </row>
    <row r="21" ht="15.75" customHeight="1">
      <c r="B21" s="3" t="s">
        <v>10</v>
      </c>
      <c r="C21" s="2">
        <v>-3066.908</v>
      </c>
      <c r="D21" s="2">
        <f t="shared" si="1"/>
        <v>163942.17</v>
      </c>
      <c r="E21" s="4">
        <f t="shared" si="2"/>
        <v>-0.01853442653</v>
      </c>
    </row>
    <row r="22" ht="15.75" customHeight="1">
      <c r="B22" s="3" t="s">
        <v>11</v>
      </c>
      <c r="C22" s="2">
        <v>4299.243</v>
      </c>
      <c r="D22" s="2">
        <f t="shared" si="1"/>
        <v>168241.413</v>
      </c>
      <c r="E22" s="4">
        <f t="shared" si="2"/>
        <v>0.02588618639</v>
      </c>
    </row>
    <row r="23" ht="15.75" customHeight="1">
      <c r="B23" s="3" t="s">
        <v>12</v>
      </c>
      <c r="C23" s="2">
        <v>4140.071</v>
      </c>
      <c r="D23" s="2">
        <f t="shared" si="1"/>
        <v>172381.484</v>
      </c>
      <c r="E23" s="4">
        <f t="shared" si="2"/>
        <v>0.02431002099</v>
      </c>
    </row>
    <row r="24" ht="15.75" customHeight="1">
      <c r="B24" s="3">
        <v>43102.0</v>
      </c>
      <c r="C24" s="2">
        <v>84.534</v>
      </c>
      <c r="D24" s="2">
        <f t="shared" si="1"/>
        <v>172466.018</v>
      </c>
      <c r="E24" s="4">
        <f t="shared" si="2"/>
        <v>0.0004902688939</v>
      </c>
    </row>
    <row r="25" ht="15.75" customHeight="1">
      <c r="B25" s="3">
        <v>43133.0</v>
      </c>
      <c r="C25" s="2">
        <v>-2225.065</v>
      </c>
      <c r="D25" s="2">
        <f t="shared" si="1"/>
        <v>170240.953</v>
      </c>
      <c r="E25" s="4">
        <f t="shared" si="2"/>
        <v>-0.01298541585</v>
      </c>
    </row>
    <row r="26" ht="15.75" customHeight="1">
      <c r="B26" s="3">
        <v>43222.0</v>
      </c>
      <c r="C26" s="2">
        <v>-1847.234</v>
      </c>
      <c r="D26" s="2">
        <f t="shared" si="1"/>
        <v>168393.719</v>
      </c>
      <c r="E26" s="4">
        <f t="shared" si="2"/>
        <v>-0.0109100011</v>
      </c>
    </row>
    <row r="27" ht="15.75" customHeight="1">
      <c r="B27" s="3">
        <v>43253.0</v>
      </c>
      <c r="C27" s="2">
        <v>-5328.248</v>
      </c>
      <c r="D27" s="2">
        <f t="shared" si="1"/>
        <v>163065.471</v>
      </c>
      <c r="E27" s="4">
        <f t="shared" si="2"/>
        <v>-0.03215302027</v>
      </c>
    </row>
    <row r="28" ht="15.75" customHeight="1">
      <c r="B28" s="3">
        <v>43283.0</v>
      </c>
      <c r="C28" s="2">
        <v>-7991.108</v>
      </c>
      <c r="D28" s="2">
        <f t="shared" si="1"/>
        <v>155074.363</v>
      </c>
      <c r="E28" s="4">
        <f t="shared" si="2"/>
        <v>-0.05024701958</v>
      </c>
    </row>
    <row r="29" ht="15.75" customHeight="1">
      <c r="B29" s="3">
        <v>43314.0</v>
      </c>
      <c r="C29" s="2">
        <v>-66.932</v>
      </c>
      <c r="D29" s="2">
        <f t="shared" si="1"/>
        <v>155007.431</v>
      </c>
      <c r="E29" s="4">
        <f t="shared" si="2"/>
        <v>-0.0004317054554</v>
      </c>
    </row>
    <row r="30" ht="15.75" customHeight="1">
      <c r="B30" s="3">
        <v>43345.0</v>
      </c>
      <c r="C30" s="2">
        <v>-7886.689</v>
      </c>
      <c r="D30" s="2">
        <f t="shared" si="1"/>
        <v>147120.742</v>
      </c>
      <c r="E30" s="4">
        <f t="shared" si="2"/>
        <v>-0.05221943392</v>
      </c>
    </row>
    <row r="31" ht="15.75" customHeight="1">
      <c r="B31" s="3">
        <v>43436.0</v>
      </c>
      <c r="C31" s="2">
        <v>-2367.989</v>
      </c>
      <c r="D31" s="2">
        <f t="shared" si="1"/>
        <v>144752.753</v>
      </c>
      <c r="E31" s="4">
        <f t="shared" si="2"/>
        <v>-0.01622648851</v>
      </c>
    </row>
    <row r="32" ht="15.75" customHeight="1">
      <c r="B32" s="3" t="s">
        <v>13</v>
      </c>
      <c r="C32" s="2">
        <v>7242.567</v>
      </c>
      <c r="D32" s="2">
        <f t="shared" si="1"/>
        <v>151995.32</v>
      </c>
      <c r="E32" s="4">
        <f t="shared" si="2"/>
        <v>0.04882259563</v>
      </c>
    </row>
    <row r="33" ht="15.75" customHeight="1">
      <c r="B33" s="3" t="s">
        <v>14</v>
      </c>
      <c r="C33" s="2">
        <v>-997.505</v>
      </c>
      <c r="D33" s="2">
        <f t="shared" si="1"/>
        <v>150997.815</v>
      </c>
      <c r="E33" s="4">
        <f t="shared" si="2"/>
        <v>-0.006584364387</v>
      </c>
    </row>
    <row r="34" ht="15.75" customHeight="1">
      <c r="B34" s="3" t="s">
        <v>15</v>
      </c>
      <c r="C34" s="2">
        <v>-808.903</v>
      </c>
      <c r="D34" s="2">
        <f t="shared" si="1"/>
        <v>150188.912</v>
      </c>
      <c r="E34" s="4">
        <f t="shared" si="2"/>
        <v>-0.005371451478</v>
      </c>
    </row>
    <row r="35" ht="15.75" customHeight="1">
      <c r="B35" s="3" t="s">
        <v>16</v>
      </c>
      <c r="C35" s="2">
        <v>518.592</v>
      </c>
      <c r="D35" s="2">
        <f t="shared" si="1"/>
        <v>150707.504</v>
      </c>
      <c r="E35" s="4">
        <f t="shared" si="2"/>
        <v>0.003446983652</v>
      </c>
    </row>
    <row r="36" ht="15.75" customHeight="1">
      <c r="B36" s="3" t="s">
        <v>17</v>
      </c>
      <c r="C36" s="2">
        <v>-3235.845</v>
      </c>
      <c r="D36" s="2">
        <f t="shared" si="1"/>
        <v>147471.659</v>
      </c>
      <c r="E36" s="4">
        <f t="shared" si="2"/>
        <v>-0.02170488374</v>
      </c>
    </row>
    <row r="37" ht="15.75" customHeight="1">
      <c r="B37" s="3" t="s">
        <v>18</v>
      </c>
      <c r="C37" s="2">
        <v>-665.163</v>
      </c>
      <c r="D37" s="2">
        <f t="shared" si="1"/>
        <v>146806.496</v>
      </c>
      <c r="E37" s="4">
        <f t="shared" si="2"/>
        <v>-0.004520649063</v>
      </c>
    </row>
    <row r="38" ht="15.75" customHeight="1">
      <c r="B38" s="3" t="s">
        <v>19</v>
      </c>
      <c r="C38" s="2">
        <v>2119.605</v>
      </c>
      <c r="D38" s="2">
        <f t="shared" si="1"/>
        <v>148926.101</v>
      </c>
      <c r="E38" s="4">
        <f t="shared" si="2"/>
        <v>0.01433485059</v>
      </c>
    </row>
    <row r="39" ht="15.75" customHeight="1">
      <c r="B39" s="3" t="s">
        <v>20</v>
      </c>
      <c r="C39" s="2">
        <v>-108.119</v>
      </c>
      <c r="D39" s="2">
        <f t="shared" si="1"/>
        <v>148817.982</v>
      </c>
      <c r="E39" s="4">
        <f t="shared" si="2"/>
        <v>-0.0007262545987</v>
      </c>
    </row>
    <row r="40" ht="15.75" customHeight="1">
      <c r="B40" s="3" t="s">
        <v>21</v>
      </c>
      <c r="C40" s="2">
        <v>-2979.72</v>
      </c>
      <c r="D40" s="2">
        <f t="shared" si="1"/>
        <v>145838.262</v>
      </c>
      <c r="E40" s="4">
        <f t="shared" si="2"/>
        <v>-0.02022574874</v>
      </c>
    </row>
    <row r="41" ht="15.75" customHeight="1">
      <c r="B41" s="3" t="s">
        <v>22</v>
      </c>
      <c r="C41" s="2">
        <v>5029.629</v>
      </c>
      <c r="D41" s="2">
        <f t="shared" si="1"/>
        <v>150867.891</v>
      </c>
      <c r="E41" s="4">
        <f t="shared" si="2"/>
        <v>0.0339063467</v>
      </c>
    </row>
    <row r="42" ht="15.75" customHeight="1">
      <c r="B42" s="3" t="s">
        <v>23</v>
      </c>
      <c r="C42" s="2">
        <v>2112.882</v>
      </c>
      <c r="D42" s="2">
        <f t="shared" si="1"/>
        <v>152980.773</v>
      </c>
      <c r="E42" s="4">
        <f t="shared" si="2"/>
        <v>0.013907687</v>
      </c>
    </row>
    <row r="43" ht="15.75" customHeight="1">
      <c r="B43" s="3">
        <v>43103.0</v>
      </c>
      <c r="C43" s="2">
        <v>27.139</v>
      </c>
      <c r="D43" s="2">
        <f t="shared" si="1"/>
        <v>153007.912</v>
      </c>
      <c r="E43" s="4">
        <f t="shared" si="2"/>
        <v>0.0001773856446</v>
      </c>
    </row>
    <row r="44" ht="15.75" customHeight="1">
      <c r="B44" s="3">
        <v>43134.0</v>
      </c>
      <c r="C44" s="2">
        <v>-3173.799</v>
      </c>
      <c r="D44" s="2">
        <f t="shared" si="1"/>
        <v>149834.113</v>
      </c>
      <c r="E44" s="4">
        <f t="shared" si="2"/>
        <v>-0.02096086368</v>
      </c>
    </row>
    <row r="45" ht="15.75" customHeight="1">
      <c r="B45" s="3">
        <v>43223.0</v>
      </c>
      <c r="C45" s="2">
        <v>-2705.54</v>
      </c>
      <c r="D45" s="2">
        <f t="shared" si="1"/>
        <v>147128.573</v>
      </c>
      <c r="E45" s="4">
        <f t="shared" si="2"/>
        <v>-0.01822191803</v>
      </c>
    </row>
    <row r="46" ht="15.75" customHeight="1">
      <c r="B46" s="3">
        <v>43254.0</v>
      </c>
      <c r="C46" s="2">
        <v>-2082.091</v>
      </c>
      <c r="D46" s="2">
        <f t="shared" si="1"/>
        <v>145046.482</v>
      </c>
      <c r="E46" s="4">
        <f t="shared" si="2"/>
        <v>-0.01425259419</v>
      </c>
    </row>
    <row r="47" ht="15.75" customHeight="1">
      <c r="B47" s="3">
        <v>43284.0</v>
      </c>
      <c r="C47" s="2">
        <v>-2510.671</v>
      </c>
      <c r="D47" s="2">
        <f t="shared" si="1"/>
        <v>142535.811</v>
      </c>
      <c r="E47" s="4">
        <f t="shared" si="2"/>
        <v>-0.01746098317</v>
      </c>
    </row>
    <row r="48" ht="15.75" customHeight="1">
      <c r="B48" s="3">
        <v>43315.0</v>
      </c>
      <c r="C48" s="2">
        <v>-2277.761</v>
      </c>
      <c r="D48" s="2">
        <f t="shared" si="1"/>
        <v>140258.05</v>
      </c>
      <c r="E48" s="4">
        <f t="shared" si="2"/>
        <v>-0.01610933314</v>
      </c>
    </row>
    <row r="49" ht="15.75" customHeight="1">
      <c r="B49" s="3">
        <v>43346.0</v>
      </c>
      <c r="C49" s="2">
        <v>3110.714</v>
      </c>
      <c r="D49" s="2">
        <f t="shared" si="1"/>
        <v>143368.764</v>
      </c>
      <c r="E49" s="4">
        <f t="shared" si="2"/>
        <v>0.02193613991</v>
      </c>
    </row>
    <row r="50" ht="15.75" customHeight="1">
      <c r="B50" s="3">
        <v>43437.0</v>
      </c>
      <c r="C50" s="2">
        <v>2857.92</v>
      </c>
      <c r="D50" s="2">
        <f t="shared" si="1"/>
        <v>146226.684</v>
      </c>
      <c r="E50" s="4">
        <f t="shared" si="2"/>
        <v>0.01973796759</v>
      </c>
    </row>
    <row r="51" ht="15.75" customHeight="1">
      <c r="B51" s="3" t="s">
        <v>24</v>
      </c>
      <c r="C51" s="2">
        <v>2659.366</v>
      </c>
      <c r="D51" s="2">
        <f t="shared" si="1"/>
        <v>148886.05</v>
      </c>
      <c r="E51" s="4">
        <f t="shared" si="2"/>
        <v>0.0180232005</v>
      </c>
    </row>
    <row r="52" ht="15.75" customHeight="1">
      <c r="B52" s="3" t="s">
        <v>25</v>
      </c>
      <c r="C52" s="2">
        <v>1978.536</v>
      </c>
      <c r="D52" s="2">
        <f t="shared" si="1"/>
        <v>150864.586</v>
      </c>
      <c r="E52" s="4">
        <f t="shared" si="2"/>
        <v>0.01320140475</v>
      </c>
    </row>
    <row r="53" ht="15.75" customHeight="1">
      <c r="B53" s="3" t="s">
        <v>26</v>
      </c>
      <c r="C53" s="2">
        <v>165.129</v>
      </c>
      <c r="D53" s="2">
        <f t="shared" si="1"/>
        <v>151029.715</v>
      </c>
      <c r="E53" s="4">
        <f t="shared" si="2"/>
        <v>0.001093952525</v>
      </c>
    </row>
    <row r="54" ht="15.75" customHeight="1">
      <c r="B54" s="3" t="s">
        <v>27</v>
      </c>
      <c r="C54" s="2">
        <v>-5500.352</v>
      </c>
      <c r="D54" s="2">
        <f t="shared" si="1"/>
        <v>145529.363</v>
      </c>
      <c r="E54" s="4">
        <f t="shared" si="2"/>
        <v>-0.03709873172</v>
      </c>
    </row>
    <row r="55" ht="15.75" customHeight="1">
      <c r="B55" s="3" t="s">
        <v>28</v>
      </c>
      <c r="C55" s="2">
        <v>1769.841</v>
      </c>
      <c r="D55" s="2">
        <f t="shared" si="1"/>
        <v>147299.204</v>
      </c>
      <c r="E55" s="4">
        <f t="shared" si="2"/>
        <v>0.01208804571</v>
      </c>
    </row>
    <row r="56" ht="15.75" customHeight="1">
      <c r="B56" s="3" t="s">
        <v>29</v>
      </c>
      <c r="C56" s="2">
        <v>-1176.676</v>
      </c>
      <c r="D56" s="2">
        <f t="shared" si="1"/>
        <v>146122.528</v>
      </c>
      <c r="E56" s="4">
        <f t="shared" si="2"/>
        <v>-0.00802041689</v>
      </c>
    </row>
    <row r="57" ht="15.75" customHeight="1">
      <c r="B57" s="3" t="s">
        <v>30</v>
      </c>
      <c r="C57" s="2">
        <v>1408.708</v>
      </c>
      <c r="D57" s="2">
        <f t="shared" si="1"/>
        <v>147531.236</v>
      </c>
      <c r="E57" s="4">
        <f t="shared" si="2"/>
        <v>0.009594420225</v>
      </c>
    </row>
    <row r="58" ht="15.75" customHeight="1">
      <c r="B58" s="3" t="s">
        <v>31</v>
      </c>
      <c r="C58" s="2">
        <v>1108.777</v>
      </c>
      <c r="D58" s="2">
        <f t="shared" si="1"/>
        <v>148640.013</v>
      </c>
      <c r="E58" s="4">
        <f t="shared" si="2"/>
        <v>0.007487439674</v>
      </c>
    </row>
    <row r="59" ht="15.75" customHeight="1">
      <c r="B59" s="3" t="s">
        <v>32</v>
      </c>
      <c r="C59" s="2">
        <v>-3242.773</v>
      </c>
      <c r="D59" s="2">
        <f t="shared" si="1"/>
        <v>145397.24</v>
      </c>
      <c r="E59" s="4">
        <f t="shared" si="2"/>
        <v>-0.02205777972</v>
      </c>
    </row>
    <row r="60" ht="15.75" customHeight="1">
      <c r="B60" s="3" t="s">
        <v>33</v>
      </c>
      <c r="C60" s="2">
        <v>-7924.137</v>
      </c>
      <c r="D60" s="2">
        <f t="shared" si="1"/>
        <v>137473.103</v>
      </c>
      <c r="E60" s="4">
        <f t="shared" si="2"/>
        <v>-0.05604129937</v>
      </c>
    </row>
    <row r="61" ht="15.75" customHeight="1">
      <c r="B61" s="3" t="s">
        <v>34</v>
      </c>
      <c r="C61" s="2">
        <v>1776.344</v>
      </c>
      <c r="D61" s="2">
        <f t="shared" si="1"/>
        <v>139249.447</v>
      </c>
      <c r="E61" s="4">
        <f t="shared" si="2"/>
        <v>0.0128386241</v>
      </c>
    </row>
    <row r="62" ht="15.75" customHeight="1">
      <c r="B62" s="3" t="s">
        <v>35</v>
      </c>
      <c r="C62" s="2">
        <v>2970.211</v>
      </c>
      <c r="D62" s="2">
        <f t="shared" si="1"/>
        <v>142219.658</v>
      </c>
      <c r="E62" s="4">
        <f t="shared" si="2"/>
        <v>0.0211058422</v>
      </c>
    </row>
    <row r="63" ht="15.75" customHeight="1">
      <c r="B63" s="3" t="s">
        <v>36</v>
      </c>
      <c r="C63" s="2">
        <v>-1390.086</v>
      </c>
      <c r="D63" s="2">
        <f t="shared" si="1"/>
        <v>140829.572</v>
      </c>
      <c r="E63" s="4">
        <f t="shared" si="2"/>
        <v>-0.009822299647</v>
      </c>
    </row>
    <row r="64" ht="15.75" customHeight="1">
      <c r="B64" s="3">
        <v>43135.0</v>
      </c>
      <c r="C64" s="2">
        <v>-2634.175</v>
      </c>
      <c r="D64" s="2">
        <f t="shared" si="1"/>
        <v>138195.397</v>
      </c>
      <c r="E64" s="4">
        <f t="shared" si="2"/>
        <v>-0.0188818461</v>
      </c>
    </row>
    <row r="65" ht="15.75" customHeight="1">
      <c r="B65" s="3">
        <v>43163.0</v>
      </c>
      <c r="C65" s="2">
        <v>-2201.93</v>
      </c>
      <c r="D65" s="2">
        <f t="shared" si="1"/>
        <v>135993.467</v>
      </c>
      <c r="E65" s="4">
        <f t="shared" si="2"/>
        <v>-0.01606175616</v>
      </c>
    </row>
    <row r="66" ht="15.75" customHeight="1">
      <c r="B66" s="3">
        <v>43194.0</v>
      </c>
      <c r="C66" s="2">
        <v>-1356.134</v>
      </c>
      <c r="D66" s="2">
        <f t="shared" si="1"/>
        <v>134637.333</v>
      </c>
      <c r="E66" s="4">
        <f t="shared" si="2"/>
        <v>-0.01002210651</v>
      </c>
    </row>
    <row r="67" ht="15.75" customHeight="1">
      <c r="B67" s="3">
        <v>43224.0</v>
      </c>
      <c r="C67" s="2">
        <v>-514.467</v>
      </c>
      <c r="D67" s="2">
        <f t="shared" si="1"/>
        <v>134122.866</v>
      </c>
      <c r="E67" s="4">
        <f t="shared" si="2"/>
        <v>-0.003828451015</v>
      </c>
    </row>
    <row r="68" ht="15.75" customHeight="1">
      <c r="B68" s="3">
        <v>43255.0</v>
      </c>
      <c r="C68" s="2">
        <v>1089.27</v>
      </c>
      <c r="D68" s="2">
        <f t="shared" si="1"/>
        <v>135212.136</v>
      </c>
      <c r="E68" s="4">
        <f t="shared" si="2"/>
        <v>0.008088632601</v>
      </c>
    </row>
    <row r="69" ht="15.75" customHeight="1">
      <c r="B69" s="3">
        <v>43347.0</v>
      </c>
      <c r="C69" s="2">
        <v>-2091.865</v>
      </c>
      <c r="D69" s="2">
        <f t="shared" si="1"/>
        <v>133120.271</v>
      </c>
      <c r="E69" s="4">
        <f t="shared" si="2"/>
        <v>-0.01559191007</v>
      </c>
    </row>
    <row r="70" ht="15.75" customHeight="1">
      <c r="B70" s="3">
        <v>43377.0</v>
      </c>
      <c r="C70" s="2">
        <v>4368.428</v>
      </c>
      <c r="D70" s="2">
        <f t="shared" si="1"/>
        <v>137488.699</v>
      </c>
      <c r="E70" s="4">
        <f t="shared" si="2"/>
        <v>0.03228871181</v>
      </c>
    </row>
    <row r="71" ht="15.75" customHeight="1">
      <c r="B71" s="3">
        <v>43408.0</v>
      </c>
      <c r="C71" s="2">
        <v>609.883</v>
      </c>
      <c r="D71" s="2">
        <f t="shared" si="1"/>
        <v>138098.582</v>
      </c>
      <c r="E71" s="4">
        <f t="shared" si="2"/>
        <v>0.004426067803</v>
      </c>
    </row>
    <row r="72" ht="15.75" customHeight="1">
      <c r="B72" s="3">
        <v>43438.0</v>
      </c>
      <c r="C72" s="2">
        <v>290.084</v>
      </c>
      <c r="D72" s="2">
        <f t="shared" si="1"/>
        <v>138388.666</v>
      </c>
      <c r="E72" s="4">
        <f t="shared" si="2"/>
        <v>0.002098354326</v>
      </c>
    </row>
    <row r="73" ht="15.75" customHeight="1">
      <c r="B73" s="3" t="s">
        <v>37</v>
      </c>
      <c r="C73" s="2">
        <v>-66.48</v>
      </c>
      <c r="D73" s="2">
        <f t="shared" si="1"/>
        <v>138322.186</v>
      </c>
      <c r="E73" s="4">
        <f t="shared" si="2"/>
        <v>-0.0004805015835</v>
      </c>
    </row>
    <row r="74" ht="15.75" customHeight="1">
      <c r="B74" s="3" t="s">
        <v>38</v>
      </c>
      <c r="C74" s="2">
        <v>556.825</v>
      </c>
      <c r="D74" s="2">
        <f t="shared" si="1"/>
        <v>138879.011</v>
      </c>
      <c r="E74" s="4">
        <f t="shared" si="2"/>
        <v>0.004017484448</v>
      </c>
    </row>
    <row r="75" ht="15.75" customHeight="1">
      <c r="B75" s="3" t="s">
        <v>39</v>
      </c>
      <c r="C75" s="2">
        <v>-133.655</v>
      </c>
      <c r="D75" s="2">
        <f t="shared" si="1"/>
        <v>138745.356</v>
      </c>
      <c r="E75" s="4">
        <f t="shared" si="2"/>
        <v>-0.0009628478348</v>
      </c>
    </row>
    <row r="76" ht="15.75" customHeight="1">
      <c r="B76" s="3" t="s">
        <v>40</v>
      </c>
      <c r="C76" s="2">
        <v>-337.691</v>
      </c>
      <c r="D76" s="2">
        <f t="shared" si="1"/>
        <v>138407.665</v>
      </c>
      <c r="E76" s="4">
        <f t="shared" si="2"/>
        <v>-0.002436857198</v>
      </c>
    </row>
    <row r="77" ht="15.75" customHeight="1">
      <c r="B77" s="3" t="s">
        <v>41</v>
      </c>
      <c r="C77" s="2">
        <v>689.463</v>
      </c>
      <c r="D77" s="2">
        <f t="shared" si="1"/>
        <v>139097.128</v>
      </c>
      <c r="E77" s="4">
        <f t="shared" si="2"/>
        <v>0.004969027102</v>
      </c>
    </row>
    <row r="78" ht="15.75" customHeight="1">
      <c r="B78" s="3" t="s">
        <v>42</v>
      </c>
      <c r="C78" s="2">
        <v>-591.503</v>
      </c>
      <c r="D78" s="2">
        <f t="shared" si="1"/>
        <v>138505.625</v>
      </c>
      <c r="E78" s="4">
        <f t="shared" si="2"/>
        <v>-0.004261513179</v>
      </c>
    </row>
    <row r="79" ht="15.75" customHeight="1">
      <c r="B79" s="3" t="s">
        <v>43</v>
      </c>
      <c r="C79" s="2">
        <v>1252.946</v>
      </c>
      <c r="D79" s="2">
        <f t="shared" si="1"/>
        <v>139758.571</v>
      </c>
      <c r="E79" s="4">
        <f t="shared" si="2"/>
        <v>0.009005502582</v>
      </c>
    </row>
    <row r="80" ht="15.75" customHeight="1">
      <c r="B80" s="3" t="s">
        <v>44</v>
      </c>
      <c r="C80" s="2">
        <v>1146.376</v>
      </c>
      <c r="D80" s="2">
        <f t="shared" si="1"/>
        <v>140904.947</v>
      </c>
      <c r="E80" s="4">
        <f t="shared" si="2"/>
        <v>0.008169087193</v>
      </c>
    </row>
    <row r="81" ht="15.75" customHeight="1">
      <c r="B81" s="3" t="s">
        <v>45</v>
      </c>
      <c r="C81" s="2">
        <v>-2301.626</v>
      </c>
      <c r="D81" s="2">
        <f t="shared" si="1"/>
        <v>138603.321</v>
      </c>
      <c r="E81" s="4">
        <f t="shared" si="2"/>
        <v>-0.01646948079</v>
      </c>
    </row>
    <row r="82" ht="15.75" customHeight="1">
      <c r="B82" s="3" t="s">
        <v>46</v>
      </c>
      <c r="C82" s="2">
        <v>-1330.801</v>
      </c>
      <c r="D82" s="2">
        <f t="shared" si="1"/>
        <v>137272.52</v>
      </c>
      <c r="E82" s="4">
        <f t="shared" si="2"/>
        <v>-0.009647900432</v>
      </c>
    </row>
    <row r="83" ht="15.75" customHeight="1">
      <c r="B83" s="3" t="s">
        <v>47</v>
      </c>
      <c r="C83" s="2">
        <v>1531.053</v>
      </c>
      <c r="D83" s="2">
        <f t="shared" si="1"/>
        <v>138803.573</v>
      </c>
      <c r="E83" s="4">
        <f t="shared" si="2"/>
        <v>0.01109164274</v>
      </c>
    </row>
    <row r="84" ht="15.75" customHeight="1">
      <c r="B84" s="3" t="s">
        <v>48</v>
      </c>
      <c r="C84" s="2">
        <v>906.367</v>
      </c>
      <c r="D84" s="2">
        <f t="shared" si="1"/>
        <v>139709.94</v>
      </c>
      <c r="E84" s="4">
        <f t="shared" si="2"/>
        <v>0.006508626385</v>
      </c>
    </row>
    <row r="85" ht="15.75" customHeight="1">
      <c r="B85" s="3">
        <v>43105.0</v>
      </c>
      <c r="C85" s="2">
        <v>-79.322</v>
      </c>
      <c r="D85" s="2">
        <f t="shared" si="1"/>
        <v>139630.618</v>
      </c>
      <c r="E85" s="4">
        <f t="shared" si="2"/>
        <v>-0.000567923274</v>
      </c>
    </row>
    <row r="86" ht="15.75" customHeight="1">
      <c r="B86" s="3">
        <v>43136.0</v>
      </c>
      <c r="C86" s="2">
        <v>477.146</v>
      </c>
      <c r="D86" s="2">
        <f t="shared" si="1"/>
        <v>140107.764</v>
      </c>
      <c r="E86" s="4">
        <f t="shared" si="2"/>
        <v>0.003411376439</v>
      </c>
    </row>
    <row r="87" ht="15.75" customHeight="1">
      <c r="B87" s="3">
        <v>43164.0</v>
      </c>
      <c r="C87" s="2">
        <v>-592.141</v>
      </c>
      <c r="D87" s="2">
        <f t="shared" si="1"/>
        <v>139515.623</v>
      </c>
      <c r="E87" s="4">
        <f t="shared" si="2"/>
        <v>-0.004235281544</v>
      </c>
    </row>
    <row r="88" ht="15.75" customHeight="1">
      <c r="B88" s="3">
        <v>43195.0</v>
      </c>
      <c r="C88" s="2">
        <v>-4818.873</v>
      </c>
      <c r="D88" s="2">
        <f t="shared" si="1"/>
        <v>134696.75</v>
      </c>
      <c r="E88" s="4">
        <f t="shared" si="2"/>
        <v>-0.03515063239</v>
      </c>
    </row>
    <row r="89" ht="15.75" customHeight="1">
      <c r="B89" s="3">
        <v>43286.0</v>
      </c>
      <c r="C89" s="2">
        <v>2021.701</v>
      </c>
      <c r="D89" s="2">
        <f t="shared" si="1"/>
        <v>136718.451</v>
      </c>
      <c r="E89" s="4">
        <f t="shared" si="2"/>
        <v>0.01489775358</v>
      </c>
    </row>
    <row r="90" ht="15.75" customHeight="1">
      <c r="B90" s="3">
        <v>43317.0</v>
      </c>
      <c r="C90" s="2">
        <v>-306.976</v>
      </c>
      <c r="D90" s="2">
        <f t="shared" si="1"/>
        <v>136411.475</v>
      </c>
      <c r="E90" s="4">
        <f t="shared" si="2"/>
        <v>-0.002247839581</v>
      </c>
    </row>
    <row r="91" ht="15.75" customHeight="1">
      <c r="B91" s="3">
        <v>43348.0</v>
      </c>
      <c r="C91" s="2">
        <v>547.081</v>
      </c>
      <c r="D91" s="2">
        <f t="shared" si="1"/>
        <v>136958.556</v>
      </c>
      <c r="E91" s="4">
        <f t="shared" si="2"/>
        <v>0.004002499677</v>
      </c>
    </row>
    <row r="92" ht="15.75" customHeight="1">
      <c r="B92" s="3">
        <v>43378.0</v>
      </c>
      <c r="C92" s="2">
        <v>215.583</v>
      </c>
      <c r="D92" s="2">
        <f t="shared" si="1"/>
        <v>137174.139</v>
      </c>
      <c r="E92" s="4">
        <f t="shared" si="2"/>
        <v>0.001572837158</v>
      </c>
    </row>
    <row r="93" ht="15.75" customHeight="1">
      <c r="B93" s="3">
        <v>43409.0</v>
      </c>
      <c r="C93" s="2">
        <v>2298.895</v>
      </c>
      <c r="D93" s="2">
        <f t="shared" si="1"/>
        <v>139473.034</v>
      </c>
      <c r="E93" s="4">
        <f t="shared" si="2"/>
        <v>0.01662007164</v>
      </c>
    </row>
    <row r="94" ht="15.75" customHeight="1">
      <c r="B94" s="3" t="s">
        <v>49</v>
      </c>
      <c r="C94" s="2">
        <v>463.445</v>
      </c>
      <c r="D94" s="2">
        <f t="shared" si="1"/>
        <v>139936.479</v>
      </c>
      <c r="E94" s="4">
        <f t="shared" si="2"/>
        <v>0.003317320302</v>
      </c>
    </row>
    <row r="95" ht="15.75" customHeight="1">
      <c r="B95" s="3" t="s">
        <v>50</v>
      </c>
      <c r="C95" s="2">
        <v>518.449</v>
      </c>
      <c r="D95" s="2">
        <f t="shared" si="1"/>
        <v>140454.928</v>
      </c>
      <c r="E95" s="4">
        <f t="shared" si="2"/>
        <v>0.003698041936</v>
      </c>
    </row>
    <row r="96" ht="15.75" customHeight="1">
      <c r="B96" s="3" t="s">
        <v>51</v>
      </c>
      <c r="C96" s="2">
        <v>1612.564</v>
      </c>
      <c r="D96" s="2">
        <f t="shared" si="1"/>
        <v>142067.492</v>
      </c>
      <c r="E96" s="4">
        <f t="shared" si="2"/>
        <v>0.0114156003</v>
      </c>
    </row>
    <row r="97" ht="15.75" customHeight="1">
      <c r="B97" s="3" t="s">
        <v>52</v>
      </c>
      <c r="C97" s="2">
        <v>1102.375</v>
      </c>
      <c r="D97" s="2">
        <f t="shared" si="1"/>
        <v>143169.867</v>
      </c>
      <c r="E97" s="4">
        <f t="shared" si="2"/>
        <v>0.007729565948</v>
      </c>
    </row>
    <row r="98" ht="15.75" customHeight="1">
      <c r="B98" s="3" t="s">
        <v>53</v>
      </c>
      <c r="C98" s="2">
        <v>-1006.54</v>
      </c>
      <c r="D98" s="2">
        <f t="shared" si="1"/>
        <v>142163.327</v>
      </c>
      <c r="E98" s="4">
        <f t="shared" si="2"/>
        <v>-0.007055219626</v>
      </c>
    </row>
    <row r="99" ht="15.75" customHeight="1">
      <c r="B99" s="3" t="s">
        <v>54</v>
      </c>
      <c r="C99" s="2">
        <v>-922.568</v>
      </c>
      <c r="D99" s="2">
        <f t="shared" si="1"/>
        <v>141240.759</v>
      </c>
      <c r="E99" s="4">
        <f t="shared" si="2"/>
        <v>-0.006510641903</v>
      </c>
    </row>
    <row r="100" ht="15.75" customHeight="1">
      <c r="B100" s="3" t="s">
        <v>55</v>
      </c>
      <c r="C100" s="2">
        <v>683.369</v>
      </c>
      <c r="D100" s="2">
        <f t="shared" si="1"/>
        <v>141924.128</v>
      </c>
      <c r="E100" s="4">
        <f t="shared" si="2"/>
        <v>0.00482666007</v>
      </c>
    </row>
    <row r="101" ht="15.75" customHeight="1">
      <c r="B101" s="3" t="s">
        <v>56</v>
      </c>
      <c r="C101" s="2">
        <v>190.748</v>
      </c>
      <c r="D101" s="2">
        <f t="shared" si="1"/>
        <v>142114.876</v>
      </c>
      <c r="E101" s="4">
        <f t="shared" si="2"/>
        <v>0.001343111516</v>
      </c>
    </row>
    <row r="102" ht="15.75" customHeight="1">
      <c r="B102" s="3" t="s">
        <v>57</v>
      </c>
      <c r="C102" s="2">
        <v>1353.255</v>
      </c>
      <c r="D102" s="2">
        <f t="shared" si="1"/>
        <v>143468.131</v>
      </c>
      <c r="E102" s="4">
        <f t="shared" si="2"/>
        <v>0.009477210448</v>
      </c>
    </row>
    <row r="103" ht="15.75" customHeight="1">
      <c r="B103" s="3" t="s">
        <v>58</v>
      </c>
      <c r="C103" s="2">
        <v>859.456</v>
      </c>
      <c r="D103" s="2">
        <f t="shared" si="1"/>
        <v>144327.587</v>
      </c>
      <c r="E103" s="4">
        <f t="shared" si="2"/>
        <v>0.005972698697</v>
      </c>
    </row>
    <row r="104" ht="15.75" customHeight="1">
      <c r="B104" s="3" t="s">
        <v>59</v>
      </c>
      <c r="C104" s="2">
        <v>-1592.552</v>
      </c>
      <c r="D104" s="2">
        <f t="shared" si="1"/>
        <v>142735.035</v>
      </c>
      <c r="E104" s="4">
        <f t="shared" si="2"/>
        <v>-0.01109561619</v>
      </c>
    </row>
    <row r="105" ht="15.75" customHeight="1">
      <c r="B105" s="3" t="s">
        <v>60</v>
      </c>
      <c r="C105" s="2">
        <v>-1089.864</v>
      </c>
      <c r="D105" s="2">
        <f t="shared" si="1"/>
        <v>141645.171</v>
      </c>
      <c r="E105" s="4">
        <f t="shared" si="2"/>
        <v>-0.00766487479</v>
      </c>
    </row>
    <row r="106" ht="15.75" customHeight="1">
      <c r="B106" s="3" t="s">
        <v>61</v>
      </c>
      <c r="C106" s="2">
        <v>-109.022</v>
      </c>
      <c r="D106" s="2">
        <f t="shared" si="1"/>
        <v>141536.149</v>
      </c>
      <c r="E106" s="4">
        <f t="shared" si="2"/>
        <v>-0.0007699802048</v>
      </c>
    </row>
    <row r="107" ht="15.75" customHeight="1">
      <c r="B107" s="3">
        <v>43106.0</v>
      </c>
      <c r="C107" s="2">
        <v>-595.638</v>
      </c>
      <c r="D107" s="2">
        <f t="shared" si="1"/>
        <v>140940.511</v>
      </c>
      <c r="E107" s="4">
        <f t="shared" si="2"/>
        <v>-0.004217260872</v>
      </c>
    </row>
    <row r="108" ht="15.75" customHeight="1">
      <c r="B108" s="3">
        <v>43196.0</v>
      </c>
      <c r="C108" s="2">
        <v>-766.359</v>
      </c>
      <c r="D108" s="2">
        <f t="shared" si="1"/>
        <v>140174.152</v>
      </c>
      <c r="E108" s="4">
        <f t="shared" si="2"/>
        <v>-0.005452301138</v>
      </c>
    </row>
    <row r="109" ht="15.75" customHeight="1">
      <c r="B109" s="3">
        <v>43226.0</v>
      </c>
      <c r="C109" s="2">
        <v>2268.154</v>
      </c>
      <c r="D109" s="2">
        <f t="shared" si="1"/>
        <v>142442.306</v>
      </c>
      <c r="E109" s="4">
        <f t="shared" si="2"/>
        <v>0.01605145514</v>
      </c>
    </row>
    <row r="110" ht="15.75" customHeight="1">
      <c r="B110" s="3">
        <v>43257.0</v>
      </c>
      <c r="C110" s="2">
        <v>-1802.149</v>
      </c>
      <c r="D110" s="2">
        <f t="shared" si="1"/>
        <v>140640.157</v>
      </c>
      <c r="E110" s="4">
        <f t="shared" si="2"/>
        <v>-0.01273249729</v>
      </c>
    </row>
    <row r="111" ht="15.75" customHeight="1">
      <c r="B111" s="3">
        <v>43287.0</v>
      </c>
      <c r="C111" s="2">
        <v>-1096.103</v>
      </c>
      <c r="D111" s="2">
        <f t="shared" si="1"/>
        <v>139544.054</v>
      </c>
      <c r="E111" s="4">
        <f t="shared" si="2"/>
        <v>-0.007824199571</v>
      </c>
    </row>
    <row r="112" ht="15.75" customHeight="1">
      <c r="B112" s="3">
        <v>43318.0</v>
      </c>
      <c r="C112" s="2">
        <v>332.815</v>
      </c>
      <c r="D112" s="2">
        <f t="shared" si="1"/>
        <v>139876.869</v>
      </c>
      <c r="E112" s="4">
        <f t="shared" si="2"/>
        <v>0.002382177783</v>
      </c>
    </row>
    <row r="113" ht="15.75" customHeight="1">
      <c r="B113" s="3">
        <v>43410.0</v>
      </c>
      <c r="C113" s="2">
        <v>-1043.317</v>
      </c>
      <c r="D113" s="2">
        <f t="shared" si="1"/>
        <v>138833.552</v>
      </c>
      <c r="E113" s="4">
        <f t="shared" si="2"/>
        <v>-0.007486780506</v>
      </c>
    </row>
    <row r="114" ht="15.75" customHeight="1">
      <c r="B114" s="3">
        <v>43440.0</v>
      </c>
      <c r="C114" s="2">
        <v>626.66</v>
      </c>
      <c r="D114" s="2">
        <f t="shared" si="1"/>
        <v>139460.212</v>
      </c>
      <c r="E114" s="4">
        <f t="shared" si="2"/>
        <v>0.004503593973</v>
      </c>
    </row>
    <row r="115" ht="15.75" customHeight="1">
      <c r="B115" s="3" t="s">
        <v>62</v>
      </c>
      <c r="C115" s="2">
        <v>697.522</v>
      </c>
      <c r="D115" s="2">
        <f t="shared" si="1"/>
        <v>140157.734</v>
      </c>
      <c r="E115" s="4">
        <f t="shared" si="2"/>
        <v>0.004989117879</v>
      </c>
    </row>
    <row r="116" ht="15.75" customHeight="1">
      <c r="B116" s="3" t="s">
        <v>63</v>
      </c>
      <c r="C116" s="2">
        <v>-13.895</v>
      </c>
      <c r="D116" s="2">
        <f t="shared" si="1"/>
        <v>140143.839</v>
      </c>
      <c r="E116" s="4">
        <f t="shared" si="2"/>
        <v>-0.00009914321823</v>
      </c>
    </row>
    <row r="117" ht="15.75" customHeight="1">
      <c r="B117" s="3" t="s">
        <v>64</v>
      </c>
      <c r="C117" s="2">
        <v>-2006.404</v>
      </c>
      <c r="D117" s="2">
        <f t="shared" si="1"/>
        <v>138137.435</v>
      </c>
      <c r="E117" s="4">
        <f t="shared" si="2"/>
        <v>-0.01442022123</v>
      </c>
    </row>
    <row r="118" ht="15.75" customHeight="1">
      <c r="B118" s="3" t="s">
        <v>65</v>
      </c>
      <c r="C118" s="2">
        <v>1926.31</v>
      </c>
      <c r="D118" s="2">
        <f t="shared" si="1"/>
        <v>140063.745</v>
      </c>
      <c r="E118" s="4">
        <f t="shared" si="2"/>
        <v>0.01384854504</v>
      </c>
    </row>
    <row r="119" ht="15.75" customHeight="1">
      <c r="B119" s="3" t="s">
        <v>66</v>
      </c>
      <c r="C119" s="2">
        <v>1922.242</v>
      </c>
      <c r="D119" s="2">
        <f t="shared" si="1"/>
        <v>141985.987</v>
      </c>
      <c r="E119" s="4">
        <f t="shared" si="2"/>
        <v>0.01363072922</v>
      </c>
    </row>
    <row r="120" ht="15.75" customHeight="1">
      <c r="B120" s="3" t="s">
        <v>67</v>
      </c>
      <c r="C120" s="2">
        <v>371.901</v>
      </c>
      <c r="D120" s="2">
        <f t="shared" si="1"/>
        <v>142357.888</v>
      </c>
      <c r="E120" s="4">
        <f t="shared" si="2"/>
        <v>0.002615855271</v>
      </c>
    </row>
    <row r="121" ht="15.75" customHeight="1">
      <c r="B121" s="3" t="s">
        <v>68</v>
      </c>
      <c r="C121" s="2">
        <v>551.902</v>
      </c>
      <c r="D121" s="2">
        <f t="shared" si="1"/>
        <v>142909.79</v>
      </c>
      <c r="E121" s="4">
        <f t="shared" si="2"/>
        <v>0.003869367132</v>
      </c>
    </row>
    <row r="122" ht="15.75" customHeight="1">
      <c r="B122" s="3" t="s">
        <v>69</v>
      </c>
      <c r="C122" s="2">
        <v>-1494.547</v>
      </c>
      <c r="D122" s="2">
        <f t="shared" si="1"/>
        <v>141415.243</v>
      </c>
      <c r="E122" s="4">
        <f t="shared" si="2"/>
        <v>-0.01051304382</v>
      </c>
    </row>
    <row r="123" ht="15.75" customHeight="1">
      <c r="B123" s="3" t="s">
        <v>70</v>
      </c>
      <c r="C123" s="2">
        <v>-82.423</v>
      </c>
      <c r="D123" s="2">
        <f t="shared" si="1"/>
        <v>141332.82</v>
      </c>
      <c r="E123" s="4">
        <f t="shared" si="2"/>
        <v>-0.0005830137364</v>
      </c>
    </row>
    <row r="124" ht="15.75" customHeight="1">
      <c r="B124" s="3" t="s">
        <v>71</v>
      </c>
      <c r="C124" s="2">
        <v>-270.978</v>
      </c>
      <c r="D124" s="2">
        <f t="shared" si="1"/>
        <v>141061.842</v>
      </c>
      <c r="E124" s="4">
        <f t="shared" si="2"/>
        <v>-0.001919144514</v>
      </c>
    </row>
    <row r="125" ht="15.75" customHeight="1">
      <c r="B125" s="3" t="s">
        <v>72</v>
      </c>
      <c r="C125" s="2">
        <v>-2919.4</v>
      </c>
      <c r="D125" s="2">
        <f t="shared" si="1"/>
        <v>138142.442</v>
      </c>
      <c r="E125" s="4">
        <f t="shared" si="2"/>
        <v>-0.02091304875</v>
      </c>
    </row>
    <row r="126" ht="15.75" customHeight="1">
      <c r="B126" s="3" t="s">
        <v>73</v>
      </c>
      <c r="C126" s="2">
        <v>-242.314</v>
      </c>
      <c r="D126" s="2">
        <f t="shared" si="1"/>
        <v>137900.128</v>
      </c>
      <c r="E126" s="4">
        <f t="shared" si="2"/>
        <v>-0.001755628215</v>
      </c>
    </row>
    <row r="127" ht="15.75" customHeight="1">
      <c r="B127" s="3" t="s">
        <v>74</v>
      </c>
      <c r="C127" s="2">
        <v>108.373</v>
      </c>
      <c r="D127" s="2">
        <f t="shared" si="1"/>
        <v>138008.501</v>
      </c>
      <c r="E127" s="4">
        <f t="shared" si="2"/>
        <v>0.0007855717015</v>
      </c>
    </row>
    <row r="128" ht="15.75" customHeight="1">
      <c r="B128" s="3">
        <v>43138.0</v>
      </c>
      <c r="C128" s="2">
        <v>-1762.502</v>
      </c>
      <c r="D128" s="2">
        <f t="shared" si="1"/>
        <v>136245.999</v>
      </c>
      <c r="E128" s="4">
        <f t="shared" si="2"/>
        <v>-0.01285321673</v>
      </c>
    </row>
    <row r="129" ht="15.75" customHeight="1">
      <c r="B129" s="3">
        <v>43166.0</v>
      </c>
      <c r="C129" s="2">
        <v>244.794</v>
      </c>
      <c r="D129" s="2">
        <f t="shared" si="1"/>
        <v>136490.793</v>
      </c>
      <c r="E129" s="4">
        <f t="shared" si="2"/>
        <v>0.001795093826</v>
      </c>
    </row>
    <row r="130" ht="15.75" customHeight="1">
      <c r="B130" s="3">
        <v>43227.0</v>
      </c>
      <c r="C130" s="2">
        <v>811.934</v>
      </c>
      <c r="D130" s="2">
        <f t="shared" si="1"/>
        <v>137302.727</v>
      </c>
      <c r="E130" s="4">
        <f t="shared" si="2"/>
        <v>0.005931012393</v>
      </c>
    </row>
    <row r="131" ht="15.75" customHeight="1">
      <c r="B131" s="3">
        <v>43258.0</v>
      </c>
      <c r="C131" s="2">
        <v>-1215.02</v>
      </c>
      <c r="D131" s="2">
        <f t="shared" si="1"/>
        <v>136087.707</v>
      </c>
      <c r="E131" s="4">
        <f t="shared" si="2"/>
        <v>-0.008888591907</v>
      </c>
    </row>
    <row r="132" ht="15.75" customHeight="1">
      <c r="B132" s="3">
        <v>43350.0</v>
      </c>
      <c r="C132" s="2">
        <v>-220.294</v>
      </c>
      <c r="D132" s="2">
        <f t="shared" si="1"/>
        <v>135867.413</v>
      </c>
      <c r="E132" s="4">
        <f t="shared" si="2"/>
        <v>-0.00162007649</v>
      </c>
    </row>
    <row r="133" ht="15.75" customHeight="1">
      <c r="B133" s="3">
        <v>43380.0</v>
      </c>
      <c r="C133" s="2">
        <v>1250.423</v>
      </c>
      <c r="D133" s="2">
        <f t="shared" si="1"/>
        <v>137117.836</v>
      </c>
      <c r="E133" s="4">
        <f t="shared" si="2"/>
        <v>0.009161167132</v>
      </c>
    </row>
    <row r="134" ht="15.75" customHeight="1">
      <c r="B134" s="3">
        <v>43411.0</v>
      </c>
      <c r="C134" s="2">
        <v>-1185.067</v>
      </c>
      <c r="D134" s="2">
        <f t="shared" si="1"/>
        <v>135932.769</v>
      </c>
      <c r="E134" s="4">
        <f t="shared" si="2"/>
        <v>-0.008680255009</v>
      </c>
    </row>
    <row r="135" ht="15.75" customHeight="1">
      <c r="B135" s="3">
        <v>43441.0</v>
      </c>
      <c r="C135" s="2">
        <v>2297.975</v>
      </c>
      <c r="D135" s="2">
        <f t="shared" si="1"/>
        <v>138230.744</v>
      </c>
      <c r="E135" s="4">
        <f t="shared" si="2"/>
        <v>0.01676392888</v>
      </c>
    </row>
    <row r="136" ht="15.75" customHeight="1">
      <c r="B136" s="3" t="s">
        <v>75</v>
      </c>
      <c r="C136" s="2">
        <v>-1284.812</v>
      </c>
      <c r="D136" s="2">
        <f t="shared" si="1"/>
        <v>136945.932</v>
      </c>
      <c r="E136" s="4">
        <f t="shared" si="2"/>
        <v>-0.009338155799</v>
      </c>
    </row>
    <row r="137" ht="15.75" customHeight="1">
      <c r="B137" s="3" t="s">
        <v>76</v>
      </c>
      <c r="C137" s="2">
        <v>-1384.052</v>
      </c>
      <c r="D137" s="2">
        <f t="shared" si="1"/>
        <v>135561.88</v>
      </c>
      <c r="E137" s="4">
        <f t="shared" si="2"/>
        <v>-0.01015797596</v>
      </c>
    </row>
    <row r="138" ht="15.75" customHeight="1">
      <c r="B138" s="3" t="s">
        <v>77</v>
      </c>
      <c r="C138" s="2">
        <v>782.13</v>
      </c>
      <c r="D138" s="2">
        <f t="shared" si="1"/>
        <v>136344.01</v>
      </c>
      <c r="E138" s="4">
        <f t="shared" si="2"/>
        <v>0.005752962226</v>
      </c>
    </row>
    <row r="139" ht="15.75" customHeight="1">
      <c r="B139" s="3" t="s">
        <v>78</v>
      </c>
      <c r="C139" s="2">
        <v>-42.066</v>
      </c>
      <c r="D139" s="2">
        <f t="shared" si="1"/>
        <v>136301.944</v>
      </c>
      <c r="E139" s="4">
        <f t="shared" si="2"/>
        <v>-0.0003085760101</v>
      </c>
    </row>
    <row r="140" ht="15.75" customHeight="1">
      <c r="B140" s="3" t="s">
        <v>79</v>
      </c>
      <c r="C140" s="2">
        <v>-674.513</v>
      </c>
      <c r="D140" s="2">
        <f t="shared" si="1"/>
        <v>135627.431</v>
      </c>
      <c r="E140" s="4">
        <f t="shared" si="2"/>
        <v>-0.004960952699</v>
      </c>
    </row>
    <row r="141" ht="15.75" customHeight="1">
      <c r="B141" s="3" t="s">
        <v>80</v>
      </c>
      <c r="C141" s="2">
        <v>825.904</v>
      </c>
      <c r="D141" s="2">
        <f t="shared" si="1"/>
        <v>136453.335</v>
      </c>
      <c r="E141" s="4">
        <f t="shared" si="2"/>
        <v>0.006071039485</v>
      </c>
    </row>
    <row r="142" ht="15.75" customHeight="1">
      <c r="B142" s="3" t="s">
        <v>81</v>
      </c>
      <c r="C142" s="2">
        <v>-1314.644</v>
      </c>
      <c r="D142" s="2">
        <f t="shared" si="1"/>
        <v>135138.691</v>
      </c>
      <c r="E142" s="4">
        <f t="shared" si="2"/>
        <v>-0.009681096217</v>
      </c>
    </row>
    <row r="143" ht="15.75" customHeight="1">
      <c r="B143" s="3" t="s">
        <v>82</v>
      </c>
      <c r="C143" s="2">
        <v>980.785</v>
      </c>
      <c r="D143" s="2">
        <f t="shared" si="1"/>
        <v>136119.476</v>
      </c>
      <c r="E143" s="4">
        <f t="shared" si="2"/>
        <v>0.007231408255</v>
      </c>
    </row>
    <row r="144" ht="15.75" customHeight="1">
      <c r="B144" s="3" t="s">
        <v>83</v>
      </c>
      <c r="C144" s="2">
        <v>2097.722</v>
      </c>
      <c r="D144" s="2">
        <f t="shared" si="1"/>
        <v>138217.198</v>
      </c>
      <c r="E144" s="4">
        <f t="shared" si="2"/>
        <v>0.01529334635</v>
      </c>
    </row>
    <row r="145" ht="15.75" customHeight="1">
      <c r="B145" s="3" t="s">
        <v>84</v>
      </c>
      <c r="C145" s="2">
        <v>994.461</v>
      </c>
      <c r="D145" s="2">
        <f t="shared" si="1"/>
        <v>139211.659</v>
      </c>
      <c r="E145" s="4">
        <f t="shared" si="2"/>
        <v>0.007169155149</v>
      </c>
    </row>
    <row r="146" ht="15.75" customHeight="1">
      <c r="B146" s="3" t="s">
        <v>85</v>
      </c>
      <c r="C146" s="2">
        <v>-793.163</v>
      </c>
      <c r="D146" s="2">
        <f t="shared" si="1"/>
        <v>138418.496</v>
      </c>
      <c r="E146" s="4">
        <f t="shared" si="2"/>
        <v>-0.005713825704</v>
      </c>
    </row>
    <row r="147" ht="15.75" customHeight="1">
      <c r="B147" s="3" t="s">
        <v>86</v>
      </c>
      <c r="C147" s="2">
        <v>1153.809</v>
      </c>
      <c r="D147" s="2">
        <f t="shared" si="1"/>
        <v>139572.305</v>
      </c>
      <c r="E147" s="4">
        <f t="shared" si="2"/>
        <v>0.008301106522</v>
      </c>
    </row>
    <row r="148" ht="15.75" customHeight="1">
      <c r="B148" s="3" t="s">
        <v>87</v>
      </c>
      <c r="C148" s="2">
        <v>1245.217</v>
      </c>
      <c r="D148" s="2">
        <f t="shared" si="1"/>
        <v>140817.522</v>
      </c>
      <c r="E148" s="4">
        <f t="shared" si="2"/>
        <v>0.008882099609</v>
      </c>
    </row>
    <row r="149" ht="15.75" customHeight="1">
      <c r="B149" s="3">
        <v>43108.0</v>
      </c>
      <c r="C149" s="2">
        <v>1968.377</v>
      </c>
      <c r="D149" s="2">
        <f t="shared" si="1"/>
        <v>142785.899</v>
      </c>
      <c r="E149" s="4">
        <f t="shared" si="2"/>
        <v>0.01388141653</v>
      </c>
    </row>
    <row r="150" ht="15.75" customHeight="1">
      <c r="B150" s="3">
        <v>43139.0</v>
      </c>
      <c r="C150" s="2">
        <v>-2991.607</v>
      </c>
      <c r="D150" s="2">
        <f t="shared" si="1"/>
        <v>139794.292</v>
      </c>
      <c r="E150" s="4">
        <f t="shared" si="2"/>
        <v>-0.02117429932</v>
      </c>
    </row>
    <row r="151" ht="15.75" customHeight="1">
      <c r="B151" s="3">
        <v>43167.0</v>
      </c>
      <c r="C151" s="2">
        <v>-3571.225</v>
      </c>
      <c r="D151" s="2">
        <f t="shared" si="1"/>
        <v>136223.067</v>
      </c>
      <c r="E151" s="4">
        <f t="shared" si="2"/>
        <v>-0.0258782586</v>
      </c>
    </row>
    <row r="152" ht="15.75" customHeight="1">
      <c r="B152" s="3">
        <v>43259.0</v>
      </c>
      <c r="C152" s="2">
        <v>-312.019</v>
      </c>
      <c r="D152" s="2">
        <f t="shared" si="1"/>
        <v>135911.048</v>
      </c>
      <c r="E152" s="4">
        <f t="shared" si="2"/>
        <v>-0.002293127686</v>
      </c>
    </row>
    <row r="153" ht="15.75" customHeight="1">
      <c r="B153" s="3">
        <v>43289.0</v>
      </c>
      <c r="C153" s="2">
        <v>-298.915</v>
      </c>
      <c r="D153" s="2">
        <f t="shared" si="1"/>
        <v>135612.133</v>
      </c>
      <c r="E153" s="4">
        <f t="shared" si="2"/>
        <v>-0.002201765018</v>
      </c>
    </row>
    <row r="154" ht="15.75" customHeight="1">
      <c r="B154" s="3">
        <v>43320.0</v>
      </c>
      <c r="C154" s="2">
        <v>827.904</v>
      </c>
      <c r="D154" s="2">
        <f t="shared" si="1"/>
        <v>136440.037</v>
      </c>
      <c r="E154" s="4">
        <f t="shared" si="2"/>
        <v>0.006086380827</v>
      </c>
    </row>
    <row r="155" ht="15.75" customHeight="1">
      <c r="B155" s="3">
        <v>43351.0</v>
      </c>
      <c r="C155" s="2">
        <v>4110.008</v>
      </c>
      <c r="D155" s="2">
        <f t="shared" si="1"/>
        <v>140550.045</v>
      </c>
      <c r="E155" s="4">
        <f t="shared" si="2"/>
        <v>0.02967838879</v>
      </c>
    </row>
    <row r="156" ht="15.75" customHeight="1">
      <c r="B156" s="3">
        <v>43381.0</v>
      </c>
      <c r="C156" s="2">
        <v>627.175</v>
      </c>
      <c r="D156" s="2">
        <f t="shared" si="1"/>
        <v>141177.22</v>
      </c>
      <c r="E156" s="4">
        <f t="shared" si="2"/>
        <v>0.004452363076</v>
      </c>
    </row>
    <row r="157" ht="15.75" customHeight="1">
      <c r="B157" s="3" t="s">
        <v>88</v>
      </c>
      <c r="C157" s="2">
        <v>-1231.661</v>
      </c>
      <c r="D157" s="2">
        <f t="shared" si="1"/>
        <v>139945.559</v>
      </c>
      <c r="E157" s="4">
        <f t="shared" si="2"/>
        <v>-0.008762497903</v>
      </c>
    </row>
    <row r="158" ht="15.75" customHeight="1">
      <c r="B158" s="3" t="s">
        <v>89</v>
      </c>
      <c r="C158" s="2">
        <v>-1043.446</v>
      </c>
      <c r="D158" s="2">
        <f t="shared" si="1"/>
        <v>138902.113</v>
      </c>
      <c r="E158" s="4">
        <f t="shared" si="2"/>
        <v>-0.007484020669</v>
      </c>
    </row>
    <row r="159" ht="15.75" customHeight="1">
      <c r="B159" s="3" t="s">
        <v>90</v>
      </c>
      <c r="C159" s="2">
        <v>-1334.018</v>
      </c>
      <c r="D159" s="2">
        <f t="shared" si="1"/>
        <v>137568.095</v>
      </c>
      <c r="E159" s="4">
        <f t="shared" si="2"/>
        <v>-0.009650431146</v>
      </c>
    </row>
    <row r="160" ht="15.75" customHeight="1">
      <c r="B160" s="3" t="s">
        <v>91</v>
      </c>
      <c r="C160" s="2">
        <v>-84.52</v>
      </c>
      <c r="D160" s="2">
        <f t="shared" si="1"/>
        <v>137483.575</v>
      </c>
      <c r="E160" s="4">
        <f t="shared" si="2"/>
        <v>-0.0006145754553</v>
      </c>
    </row>
    <row r="161" ht="15.75" customHeight="1">
      <c r="B161" s="3" t="s">
        <v>92</v>
      </c>
      <c r="C161" s="2">
        <v>1647.44</v>
      </c>
      <c r="D161" s="2">
        <f t="shared" si="1"/>
        <v>139131.015</v>
      </c>
      <c r="E161" s="4">
        <f t="shared" si="2"/>
        <v>0.01191158774</v>
      </c>
    </row>
    <row r="162" ht="15.75" customHeight="1">
      <c r="B162" s="3" t="s">
        <v>93</v>
      </c>
      <c r="C162" s="2">
        <v>-1453.518</v>
      </c>
      <c r="D162" s="2">
        <f t="shared" si="1"/>
        <v>137677.497</v>
      </c>
      <c r="E162" s="4">
        <f t="shared" si="2"/>
        <v>-0.01050207126</v>
      </c>
    </row>
    <row r="163" ht="15.75" customHeight="1">
      <c r="B163" s="3" t="s">
        <v>94</v>
      </c>
      <c r="C163" s="2">
        <v>657.118</v>
      </c>
      <c r="D163" s="2">
        <f t="shared" si="1"/>
        <v>138334.615</v>
      </c>
      <c r="E163" s="4">
        <f t="shared" si="2"/>
        <v>0.004761524679</v>
      </c>
    </row>
    <row r="164" ht="15.75" customHeight="1">
      <c r="B164" s="3" t="s">
        <v>95</v>
      </c>
      <c r="C164" s="2">
        <v>400.823</v>
      </c>
      <c r="D164" s="2">
        <f t="shared" si="1"/>
        <v>138735.438</v>
      </c>
      <c r="E164" s="4">
        <f t="shared" si="2"/>
        <v>0.002893299188</v>
      </c>
    </row>
    <row r="165" ht="15.75" customHeight="1">
      <c r="B165" s="3" t="s">
        <v>96</v>
      </c>
      <c r="C165" s="2">
        <v>-1388.052</v>
      </c>
      <c r="D165" s="2">
        <f t="shared" si="1"/>
        <v>137347.386</v>
      </c>
      <c r="E165" s="4">
        <f t="shared" si="2"/>
        <v>-0.01005541508</v>
      </c>
    </row>
    <row r="166" ht="15.75" customHeight="1">
      <c r="B166" s="3" t="s">
        <v>97</v>
      </c>
      <c r="C166" s="2">
        <v>-442.881</v>
      </c>
      <c r="D166" s="2">
        <f t="shared" si="1"/>
        <v>136904.505</v>
      </c>
      <c r="E166" s="4">
        <f t="shared" si="2"/>
        <v>-0.003229741705</v>
      </c>
    </row>
    <row r="167" ht="15.75" customHeight="1">
      <c r="B167" s="3" t="s">
        <v>98</v>
      </c>
      <c r="C167" s="2">
        <v>-1135.604</v>
      </c>
      <c r="D167" s="2">
        <f t="shared" si="1"/>
        <v>135768.901</v>
      </c>
      <c r="E167" s="4">
        <f t="shared" si="2"/>
        <v>-0.008329455977</v>
      </c>
    </row>
    <row r="168" ht="15.75" customHeight="1">
      <c r="B168" s="3" t="s">
        <v>99</v>
      </c>
      <c r="C168" s="2">
        <v>2259.852</v>
      </c>
      <c r="D168" s="2">
        <f t="shared" si="1"/>
        <v>138028.753</v>
      </c>
      <c r="E168" s="4">
        <f t="shared" si="2"/>
        <v>0.01650783552</v>
      </c>
    </row>
    <row r="169" ht="15.75" customHeight="1">
      <c r="B169" s="3" t="s">
        <v>100</v>
      </c>
      <c r="C169" s="2">
        <v>1637.391</v>
      </c>
      <c r="D169" s="2">
        <f t="shared" si="1"/>
        <v>139666.144</v>
      </c>
      <c r="E169" s="4">
        <f t="shared" si="2"/>
        <v>0.01179287048</v>
      </c>
    </row>
    <row r="170" ht="15.75" customHeight="1">
      <c r="B170" s="3" t="s">
        <v>101</v>
      </c>
      <c r="C170" s="2">
        <v>495.506</v>
      </c>
      <c r="D170" s="2">
        <f t="shared" si="1"/>
        <v>140161.65</v>
      </c>
      <c r="E170" s="4">
        <f t="shared" si="2"/>
        <v>0.003541510375</v>
      </c>
    </row>
    <row r="171" ht="15.75" customHeight="1">
      <c r="B171" s="3" t="s">
        <v>102</v>
      </c>
      <c r="C171" s="2">
        <v>-4701.783</v>
      </c>
      <c r="D171" s="2">
        <f t="shared" si="1"/>
        <v>135459.867</v>
      </c>
      <c r="E171" s="4">
        <f t="shared" si="2"/>
        <v>-0.03412098743</v>
      </c>
    </row>
    <row r="172" ht="15.75" customHeight="1">
      <c r="B172" s="3">
        <v>43199.0</v>
      </c>
      <c r="C172" s="2">
        <v>-841.874</v>
      </c>
      <c r="D172" s="2">
        <f t="shared" si="1"/>
        <v>134617.993</v>
      </c>
      <c r="E172" s="4">
        <f t="shared" si="2"/>
        <v>-0.006234326107</v>
      </c>
    </row>
    <row r="173" ht="15.75" customHeight="1">
      <c r="B173" s="3">
        <v>43229.0</v>
      </c>
      <c r="C173" s="2">
        <v>-4086.839</v>
      </c>
      <c r="D173" s="2">
        <f t="shared" si="1"/>
        <v>130531.154</v>
      </c>
      <c r="E173" s="4">
        <f t="shared" si="2"/>
        <v>-0.0308291596</v>
      </c>
    </row>
    <row r="174" ht="15.75" customHeight="1">
      <c r="B174" s="3">
        <v>43260.0</v>
      </c>
      <c r="C174" s="2">
        <v>3136.078</v>
      </c>
      <c r="D174" s="2">
        <f t="shared" si="1"/>
        <v>133667.232</v>
      </c>
      <c r="E174" s="4">
        <f t="shared" si="2"/>
        <v>0.02374144181</v>
      </c>
    </row>
    <row r="175" ht="15.75" customHeight="1">
      <c r="B175" s="3">
        <v>43290.0</v>
      </c>
      <c r="C175" s="2">
        <v>-576.145</v>
      </c>
      <c r="D175" s="2">
        <f t="shared" si="1"/>
        <v>133091.087</v>
      </c>
      <c r="E175" s="4">
        <f t="shared" si="2"/>
        <v>-0.004319609585</v>
      </c>
    </row>
    <row r="176" ht="15.75" customHeight="1">
      <c r="B176" s="3">
        <v>43382.0</v>
      </c>
      <c r="C176" s="2">
        <v>-1077.971</v>
      </c>
      <c r="D176" s="2">
        <f t="shared" si="1"/>
        <v>132013.116</v>
      </c>
      <c r="E176" s="4">
        <f t="shared" si="2"/>
        <v>-0.008132477184</v>
      </c>
    </row>
    <row r="177" ht="15.75" customHeight="1">
      <c r="B177" s="3">
        <v>43413.0</v>
      </c>
      <c r="C177" s="2">
        <v>1137.604</v>
      </c>
      <c r="D177" s="2">
        <f t="shared" si="1"/>
        <v>133150.72</v>
      </c>
      <c r="E177" s="4">
        <f t="shared" si="2"/>
        <v>0.008580438394</v>
      </c>
    </row>
    <row r="178" ht="15.75" customHeight="1">
      <c r="B178" s="3">
        <v>43443.0</v>
      </c>
      <c r="C178" s="2">
        <v>-1011.82</v>
      </c>
      <c r="D178" s="2">
        <f t="shared" si="1"/>
        <v>132138.9</v>
      </c>
      <c r="E178" s="4">
        <f t="shared" si="2"/>
        <v>-0.007628077618</v>
      </c>
    </row>
    <row r="179" ht="15.75" customHeight="1">
      <c r="B179" s="3" t="s">
        <v>103</v>
      </c>
      <c r="C179" s="2">
        <v>-563.931</v>
      </c>
      <c r="D179" s="2">
        <f t="shared" si="1"/>
        <v>131574.969</v>
      </c>
      <c r="E179" s="4">
        <f t="shared" si="2"/>
        <v>-0.00427684643</v>
      </c>
    </row>
    <row r="180" ht="15.75" customHeight="1">
      <c r="B180" s="3" t="s">
        <v>104</v>
      </c>
      <c r="C180" s="2">
        <v>-654.282</v>
      </c>
      <c r="D180" s="2">
        <f t="shared" si="1"/>
        <v>130920.687</v>
      </c>
      <c r="E180" s="4">
        <f t="shared" si="2"/>
        <v>-0.004985098534</v>
      </c>
    </row>
    <row r="181" ht="15.75" customHeight="1">
      <c r="B181" s="3" t="s">
        <v>105</v>
      </c>
      <c r="C181" s="2">
        <v>989.105</v>
      </c>
      <c r="D181" s="2">
        <f t="shared" si="1"/>
        <v>131909.792</v>
      </c>
      <c r="E181" s="4">
        <f t="shared" si="2"/>
        <v>0.007526597928</v>
      </c>
    </row>
    <row r="182" ht="15.75" customHeight="1">
      <c r="B182" s="3" t="s">
        <v>106</v>
      </c>
      <c r="C182" s="2">
        <v>3905.62</v>
      </c>
      <c r="D182" s="2">
        <f t="shared" si="1"/>
        <v>135815.412</v>
      </c>
      <c r="E182" s="4">
        <f t="shared" si="2"/>
        <v>0.02917840409</v>
      </c>
    </row>
    <row r="183" ht="15.75" customHeight="1">
      <c r="B183" s="3" t="s">
        <v>107</v>
      </c>
      <c r="C183" s="2">
        <v>-974.385</v>
      </c>
      <c r="D183" s="2">
        <f t="shared" si="1"/>
        <v>134841.027</v>
      </c>
      <c r="E183" s="4">
        <f t="shared" si="2"/>
        <v>-0.007200192341</v>
      </c>
    </row>
    <row r="184" ht="15.75" customHeight="1">
      <c r="B184" s="3" t="s">
        <v>108</v>
      </c>
      <c r="C184" s="2">
        <v>5402.209</v>
      </c>
      <c r="D184" s="2">
        <f t="shared" si="1"/>
        <v>140243.236</v>
      </c>
      <c r="E184" s="4">
        <f t="shared" si="2"/>
        <v>0.0392818083</v>
      </c>
    </row>
    <row r="185" ht="15.75" customHeight="1">
      <c r="B185" s="3" t="s">
        <v>109</v>
      </c>
      <c r="C185" s="2">
        <v>2524.17</v>
      </c>
      <c r="D185" s="2">
        <f t="shared" si="1"/>
        <v>142767.406</v>
      </c>
      <c r="E185" s="4">
        <f t="shared" si="2"/>
        <v>0.01783845948</v>
      </c>
    </row>
    <row r="186" ht="15.75" customHeight="1">
      <c r="B186" s="3" t="s">
        <v>110</v>
      </c>
      <c r="C186" s="2">
        <v>-2497.304</v>
      </c>
      <c r="D186" s="2">
        <f t="shared" si="1"/>
        <v>140270.102</v>
      </c>
      <c r="E186" s="4">
        <f t="shared" si="2"/>
        <v>-0.01764691065</v>
      </c>
    </row>
    <row r="187" ht="15.75" customHeight="1">
      <c r="B187" s="3" t="s">
        <v>111</v>
      </c>
      <c r="C187" s="2">
        <v>-58.211</v>
      </c>
      <c r="D187" s="2">
        <f t="shared" si="1"/>
        <v>140211.891</v>
      </c>
      <c r="E187" s="4">
        <f t="shared" si="2"/>
        <v>-0.0004150783458</v>
      </c>
    </row>
    <row r="188" ht="15.75" customHeight="1">
      <c r="B188" s="3" t="s">
        <v>112</v>
      </c>
      <c r="C188" s="2">
        <v>-828.482</v>
      </c>
      <c r="D188" s="2">
        <f t="shared" si="1"/>
        <v>139383.409</v>
      </c>
      <c r="E188" s="4">
        <f t="shared" si="2"/>
        <v>-0.005926311528</v>
      </c>
    </row>
    <row r="189" ht="15.75" customHeight="1">
      <c r="B189" s="3" t="s">
        <v>113</v>
      </c>
      <c r="C189" s="2">
        <v>1231.389</v>
      </c>
      <c r="D189" s="2">
        <f t="shared" si="1"/>
        <v>140614.798</v>
      </c>
      <c r="E189" s="4">
        <f t="shared" si="2"/>
        <v>0.008795748745</v>
      </c>
    </row>
    <row r="190" ht="15.75" customHeight="1">
      <c r="B190" s="3" t="s">
        <v>114</v>
      </c>
      <c r="C190" s="2">
        <v>-43.589</v>
      </c>
      <c r="D190" s="2">
        <f t="shared" si="1"/>
        <v>140571.209</v>
      </c>
      <c r="E190" s="4">
        <f t="shared" si="2"/>
        <v>-0.0003100367676</v>
      </c>
    </row>
    <row r="191" ht="15.75" customHeight="1">
      <c r="B191" s="3">
        <v>43110.0</v>
      </c>
      <c r="C191" s="2">
        <v>-944.441</v>
      </c>
      <c r="D191" s="2">
        <f t="shared" si="1"/>
        <v>139626.768</v>
      </c>
      <c r="E191" s="4">
        <f t="shared" si="2"/>
        <v>-0.006741266206</v>
      </c>
    </row>
    <row r="192" ht="15.75" customHeight="1">
      <c r="B192" s="3">
        <v>43141.0</v>
      </c>
      <c r="C192" s="2">
        <v>947.862</v>
      </c>
      <c r="D192" s="2">
        <f t="shared" si="1"/>
        <v>140574.63</v>
      </c>
      <c r="E192" s="4">
        <f t="shared" si="2"/>
        <v>0.00676560233</v>
      </c>
    </row>
    <row r="193" ht="15.75" customHeight="1">
      <c r="B193" s="3">
        <v>43169.0</v>
      </c>
      <c r="C193" s="2">
        <v>568.505</v>
      </c>
      <c r="D193" s="2">
        <f t="shared" si="1"/>
        <v>141143.135</v>
      </c>
      <c r="E193" s="4">
        <f t="shared" si="2"/>
        <v>0.004035995186</v>
      </c>
    </row>
    <row r="194" ht="15.75" customHeight="1">
      <c r="B194" s="3">
        <v>43200.0</v>
      </c>
      <c r="C194" s="2">
        <v>-466.803</v>
      </c>
      <c r="D194" s="2">
        <f t="shared" si="1"/>
        <v>140676.332</v>
      </c>
      <c r="E194" s="4">
        <f t="shared" si="2"/>
        <v>-0.003312783406</v>
      </c>
    </row>
    <row r="195" ht="15.75" customHeight="1">
      <c r="B195" s="3">
        <v>43230.0</v>
      </c>
      <c r="C195" s="2">
        <v>2749.651</v>
      </c>
      <c r="D195" s="2">
        <f t="shared" si="1"/>
        <v>143425.983</v>
      </c>
      <c r="E195" s="4">
        <f t="shared" si="2"/>
        <v>0.01935737031</v>
      </c>
    </row>
    <row r="196" ht="15.75" customHeight="1">
      <c r="B196" s="3">
        <v>43322.0</v>
      </c>
      <c r="C196" s="2">
        <v>-1957.301</v>
      </c>
      <c r="D196" s="2">
        <f t="shared" si="1"/>
        <v>141468.682</v>
      </c>
      <c r="E196" s="4">
        <f t="shared" si="2"/>
        <v>-0.01374074026</v>
      </c>
    </row>
    <row r="197" ht="15.75" customHeight="1">
      <c r="B197" s="3">
        <v>43353.0</v>
      </c>
      <c r="C197" s="2">
        <v>1453.009</v>
      </c>
      <c r="D197" s="2">
        <f t="shared" si="1"/>
        <v>142921.691</v>
      </c>
      <c r="E197" s="4">
        <f t="shared" si="2"/>
        <v>0.01021850091</v>
      </c>
    </row>
    <row r="198" ht="15.75" customHeight="1">
      <c r="B198" s="3">
        <v>43383.0</v>
      </c>
      <c r="C198" s="2">
        <v>934.045</v>
      </c>
      <c r="D198" s="2">
        <f t="shared" si="1"/>
        <v>143855.736</v>
      </c>
      <c r="E198" s="4">
        <f t="shared" si="2"/>
        <v>0.006514099193</v>
      </c>
    </row>
    <row r="199" ht="15.75" customHeight="1">
      <c r="B199" s="3">
        <v>43414.0</v>
      </c>
      <c r="C199" s="2">
        <v>2473.886</v>
      </c>
      <c r="D199" s="2">
        <f t="shared" si="1"/>
        <v>146329.622</v>
      </c>
      <c r="E199" s="4">
        <f t="shared" si="2"/>
        <v>0.01705079783</v>
      </c>
    </row>
    <row r="200" ht="15.75" customHeight="1">
      <c r="B200" s="3">
        <v>43444.0</v>
      </c>
      <c r="C200" s="2">
        <v>-6615.698</v>
      </c>
      <c r="D200" s="2">
        <f t="shared" si="1"/>
        <v>139713.924</v>
      </c>
      <c r="E200" s="4">
        <f t="shared" si="2"/>
        <v>-0.04626482988</v>
      </c>
    </row>
    <row r="201" ht="15.75" customHeight="1">
      <c r="B201" s="3" t="s">
        <v>115</v>
      </c>
      <c r="C201" s="2">
        <v>-2430.053</v>
      </c>
      <c r="D201" s="2">
        <f t="shared" si="1"/>
        <v>137283.871</v>
      </c>
      <c r="E201" s="4">
        <f t="shared" si="2"/>
        <v>-0.01754609883</v>
      </c>
    </row>
    <row r="202" ht="15.75" customHeight="1">
      <c r="B202" s="3" t="s">
        <v>116</v>
      </c>
      <c r="C202" s="2">
        <v>-3445.218</v>
      </c>
      <c r="D202" s="2">
        <f t="shared" si="1"/>
        <v>133838.653</v>
      </c>
      <c r="E202" s="4">
        <f t="shared" si="2"/>
        <v>-0.02541584081</v>
      </c>
    </row>
    <row r="203" ht="15.75" customHeight="1">
      <c r="B203" s="3" t="s">
        <v>117</v>
      </c>
      <c r="C203" s="2">
        <v>-2257.385</v>
      </c>
      <c r="D203" s="2">
        <f t="shared" si="1"/>
        <v>131581.268</v>
      </c>
      <c r="E203" s="4">
        <f t="shared" si="2"/>
        <v>-0.01701032404</v>
      </c>
    </row>
    <row r="204" ht="15.75" customHeight="1">
      <c r="B204" s="3" t="s">
        <v>118</v>
      </c>
      <c r="C204" s="2">
        <v>3294.24</v>
      </c>
      <c r="D204" s="2">
        <f t="shared" si="1"/>
        <v>134875.508</v>
      </c>
      <c r="E204" s="4">
        <f t="shared" si="2"/>
        <v>0.02472752169</v>
      </c>
    </row>
    <row r="205" ht="15.75" customHeight="1">
      <c r="B205" s="3" t="s">
        <v>119</v>
      </c>
      <c r="C205" s="2">
        <v>1160.691</v>
      </c>
      <c r="D205" s="2">
        <f t="shared" si="1"/>
        <v>136036.199</v>
      </c>
      <c r="E205" s="4">
        <f t="shared" si="2"/>
        <v>0.008568829415</v>
      </c>
    </row>
    <row r="206" ht="15.75" customHeight="1">
      <c r="B206" s="3" t="s">
        <v>120</v>
      </c>
      <c r="C206" s="2">
        <v>-690.651</v>
      </c>
      <c r="D206" s="2">
        <f t="shared" si="1"/>
        <v>135345.548</v>
      </c>
      <c r="E206" s="4">
        <f t="shared" si="2"/>
        <v>-0.005089896419</v>
      </c>
    </row>
    <row r="207" ht="15.75" customHeight="1">
      <c r="B207" s="3" t="s">
        <v>121</v>
      </c>
      <c r="C207" s="2">
        <v>563.916</v>
      </c>
      <c r="D207" s="2">
        <f t="shared" si="1"/>
        <v>135909.464</v>
      </c>
      <c r="E207" s="4">
        <f t="shared" si="2"/>
        <v>0.004157835155</v>
      </c>
    </row>
    <row r="208" ht="15.75" customHeight="1">
      <c r="B208" s="3" t="s">
        <v>122</v>
      </c>
      <c r="C208" s="2">
        <v>-1039.602</v>
      </c>
      <c r="D208" s="2">
        <f t="shared" si="1"/>
        <v>134869.862</v>
      </c>
      <c r="E208" s="4">
        <f t="shared" si="2"/>
        <v>-0.007678629852</v>
      </c>
    </row>
    <row r="209" ht="15.75" customHeight="1">
      <c r="B209" s="3" t="s">
        <v>123</v>
      </c>
      <c r="C209" s="2">
        <v>1935.54</v>
      </c>
      <c r="D209" s="2">
        <f t="shared" si="1"/>
        <v>136805.402</v>
      </c>
      <c r="E209" s="4">
        <f t="shared" si="2"/>
        <v>0.01424916439</v>
      </c>
    </row>
    <row r="210" ht="15.75" customHeight="1">
      <c r="B210" s="3" t="s">
        <v>124</v>
      </c>
      <c r="C210" s="2">
        <v>-1795.999</v>
      </c>
      <c r="D210" s="2">
        <f t="shared" si="1"/>
        <v>135009.403</v>
      </c>
      <c r="E210" s="4">
        <f t="shared" si="2"/>
        <v>-0.01321506485</v>
      </c>
    </row>
    <row r="211" ht="15.75" customHeight="1">
      <c r="B211" s="3" t="s">
        <v>125</v>
      </c>
      <c r="C211" s="2">
        <v>-3861.574</v>
      </c>
      <c r="D211" s="2">
        <f t="shared" si="1"/>
        <v>131147.829</v>
      </c>
      <c r="E211" s="4">
        <f t="shared" si="2"/>
        <v>-0.02901927525</v>
      </c>
    </row>
    <row r="212" ht="15.75" customHeight="1">
      <c r="B212" s="3" t="s">
        <v>126</v>
      </c>
      <c r="C212" s="2">
        <v>4455.912</v>
      </c>
      <c r="D212" s="2">
        <f t="shared" si="1"/>
        <v>135603.741</v>
      </c>
      <c r="E212" s="4">
        <f t="shared" si="2"/>
        <v>0.03341181101</v>
      </c>
    </row>
    <row r="213" ht="15.75" customHeight="1">
      <c r="B213" s="3" t="s">
        <v>127</v>
      </c>
      <c r="C213" s="2">
        <v>2062.163</v>
      </c>
      <c r="D213" s="2">
        <f t="shared" si="1"/>
        <v>137665.904</v>
      </c>
      <c r="E213" s="4">
        <f t="shared" si="2"/>
        <v>0.0150928007</v>
      </c>
    </row>
    <row r="214" ht="15.75" customHeight="1">
      <c r="B214" s="3">
        <v>43111.0</v>
      </c>
      <c r="C214" s="2">
        <v>-1461.904</v>
      </c>
      <c r="D214" s="2">
        <f t="shared" si="1"/>
        <v>136204</v>
      </c>
      <c r="E214" s="4">
        <f t="shared" si="2"/>
        <v>-0.01067600247</v>
      </c>
    </row>
    <row r="215" ht="15.75" customHeight="1">
      <c r="B215" s="3">
        <v>43142.0</v>
      </c>
      <c r="C215" s="2">
        <v>-2626.416</v>
      </c>
      <c r="D215" s="2">
        <f t="shared" si="1"/>
        <v>133577.584</v>
      </c>
      <c r="E215" s="4">
        <f t="shared" si="2"/>
        <v>-0.01947129927</v>
      </c>
    </row>
    <row r="216" ht="15.75" customHeight="1">
      <c r="B216" s="3">
        <v>43231.0</v>
      </c>
      <c r="C216" s="2">
        <v>353.448</v>
      </c>
      <c r="D216" s="2">
        <f t="shared" si="1"/>
        <v>133931.032</v>
      </c>
      <c r="E216" s="4">
        <f t="shared" si="2"/>
        <v>0.002642518293</v>
      </c>
    </row>
    <row r="217" ht="15.75" customHeight="1">
      <c r="B217" s="3">
        <v>43262.0</v>
      </c>
      <c r="C217" s="2">
        <v>328.092</v>
      </c>
      <c r="D217" s="2">
        <f t="shared" si="1"/>
        <v>134259.124</v>
      </c>
      <c r="E217" s="4">
        <f t="shared" si="2"/>
        <v>0.002446712949</v>
      </c>
    </row>
    <row r="218" ht="15.75" customHeight="1">
      <c r="B218" s="3">
        <v>43292.0</v>
      </c>
      <c r="C218" s="2">
        <v>1059.281</v>
      </c>
      <c r="D218" s="2">
        <f t="shared" si="1"/>
        <v>135318.405</v>
      </c>
      <c r="E218" s="4">
        <f t="shared" si="2"/>
        <v>0.007858863132</v>
      </c>
    </row>
    <row r="219" ht="15.75" customHeight="1">
      <c r="B219" s="3">
        <v>43323.0</v>
      </c>
      <c r="C219" s="2">
        <v>2177.478</v>
      </c>
      <c r="D219" s="2">
        <f t="shared" si="1"/>
        <v>137495.883</v>
      </c>
      <c r="E219" s="4">
        <f t="shared" si="2"/>
        <v>0.01596341787</v>
      </c>
    </row>
    <row r="220" ht="15.75" customHeight="1">
      <c r="B220" s="3">
        <v>43354.0</v>
      </c>
      <c r="C220" s="2">
        <v>-504.733</v>
      </c>
      <c r="D220" s="2">
        <f t="shared" si="1"/>
        <v>136991.15</v>
      </c>
      <c r="E220" s="4">
        <f t="shared" si="2"/>
        <v>-0.003677649639</v>
      </c>
    </row>
    <row r="221" ht="15.75" customHeight="1">
      <c r="B221" s="3">
        <v>43445.0</v>
      </c>
      <c r="C221" s="2">
        <v>-1556.122</v>
      </c>
      <c r="D221" s="2">
        <f t="shared" si="1"/>
        <v>135435.028</v>
      </c>
      <c r="E221" s="4">
        <f t="shared" si="2"/>
        <v>-0.01142429803</v>
      </c>
    </row>
    <row r="222" ht="15.75" customHeight="1">
      <c r="B222" s="3" t="s">
        <v>128</v>
      </c>
      <c r="C222" s="2">
        <v>-258.804</v>
      </c>
      <c r="D222" s="2">
        <f t="shared" si="1"/>
        <v>135176.224</v>
      </c>
      <c r="E222" s="4">
        <f t="shared" si="2"/>
        <v>-0.001912737013</v>
      </c>
    </row>
    <row r="223" ht="15.75" customHeight="1">
      <c r="B223" s="3" t="s">
        <v>129</v>
      </c>
      <c r="C223" s="2">
        <v>326.438</v>
      </c>
      <c r="D223" s="2">
        <f t="shared" si="1"/>
        <v>135502.662</v>
      </c>
      <c r="E223" s="4">
        <f t="shared" si="2"/>
        <v>0.002411995727</v>
      </c>
    </row>
    <row r="224" ht="15.75" customHeight="1">
      <c r="B224" s="3" t="s">
        <v>130</v>
      </c>
      <c r="C224" s="2">
        <v>1161.21</v>
      </c>
      <c r="D224" s="2">
        <f t="shared" si="1"/>
        <v>136663.872</v>
      </c>
      <c r="E224" s="4">
        <f t="shared" si="2"/>
        <v>0.008533136157</v>
      </c>
    </row>
    <row r="225" ht="15.75" customHeight="1">
      <c r="B225" s="3" t="s">
        <v>131</v>
      </c>
      <c r="C225" s="2">
        <v>436.782</v>
      </c>
      <c r="D225" s="2">
        <f t="shared" si="1"/>
        <v>137100.654</v>
      </c>
      <c r="E225" s="4">
        <f t="shared" si="2"/>
        <v>0.003190934757</v>
      </c>
    </row>
    <row r="226" ht="15.75" customHeight="1">
      <c r="B226" s="3" t="s">
        <v>132</v>
      </c>
      <c r="C226" s="2">
        <v>-1436.455</v>
      </c>
      <c r="D226" s="2">
        <f t="shared" si="1"/>
        <v>135664.199</v>
      </c>
      <c r="E226" s="4">
        <f t="shared" si="2"/>
        <v>-0.01053264938</v>
      </c>
    </row>
    <row r="227" ht="15.75" customHeight="1">
      <c r="B227" s="3" t="s">
        <v>133</v>
      </c>
      <c r="C227" s="2">
        <v>699.61</v>
      </c>
      <c r="D227" s="2">
        <f t="shared" si="1"/>
        <v>136363.809</v>
      </c>
      <c r="E227" s="4">
        <f t="shared" si="2"/>
        <v>0.005143672871</v>
      </c>
    </row>
    <row r="228" ht="15.75" customHeight="1">
      <c r="B228" s="3" t="s">
        <v>134</v>
      </c>
      <c r="C228" s="2">
        <v>2179.915</v>
      </c>
      <c r="D228" s="2">
        <f t="shared" si="1"/>
        <v>138543.724</v>
      </c>
      <c r="E228" s="4">
        <f t="shared" si="2"/>
        <v>0.01585959227</v>
      </c>
    </row>
    <row r="229" ht="15.75" customHeight="1">
      <c r="B229" s="3" t="s">
        <v>135</v>
      </c>
      <c r="C229" s="2">
        <v>-1192.746</v>
      </c>
      <c r="D229" s="2">
        <f t="shared" si="1"/>
        <v>137350.978</v>
      </c>
      <c r="E229" s="4">
        <f t="shared" si="2"/>
        <v>-0.008646439546</v>
      </c>
    </row>
    <row r="230" ht="15.75" customHeight="1">
      <c r="B230" s="3" t="s">
        <v>136</v>
      </c>
      <c r="C230" s="2">
        <v>-1514.173</v>
      </c>
      <c r="D230" s="2">
        <f t="shared" si="1"/>
        <v>135836.805</v>
      </c>
      <c r="E230" s="4">
        <f t="shared" si="2"/>
        <v>-0.01108533104</v>
      </c>
    </row>
    <row r="231" ht="15.75" customHeight="1">
      <c r="B231" s="3" t="s">
        <v>137</v>
      </c>
      <c r="C231" s="2">
        <v>-655.227</v>
      </c>
      <c r="D231" s="2">
        <f t="shared" si="1"/>
        <v>135181.578</v>
      </c>
      <c r="E231" s="4">
        <f t="shared" si="2"/>
        <v>-0.00483530504</v>
      </c>
    </row>
    <row r="232" ht="15.75" customHeight="1">
      <c r="B232" s="3" t="s">
        <v>138</v>
      </c>
      <c r="C232" s="2">
        <v>1770.849</v>
      </c>
      <c r="D232" s="2">
        <f t="shared" si="1"/>
        <v>136952.427</v>
      </c>
      <c r="E232" s="4">
        <f t="shared" si="2"/>
        <v>0.01301472042</v>
      </c>
    </row>
    <row r="233" ht="15.75" customHeight="1">
      <c r="B233" s="3" t="s">
        <v>139</v>
      </c>
      <c r="C233" s="2">
        <v>4034.643</v>
      </c>
      <c r="D233" s="2">
        <f t="shared" si="1"/>
        <v>140987.07</v>
      </c>
      <c r="E233" s="4">
        <f t="shared" si="2"/>
        <v>0.0290345667</v>
      </c>
    </row>
    <row r="234" ht="15.75" customHeight="1">
      <c r="B234" s="3" t="s">
        <v>140</v>
      </c>
      <c r="C234" s="2">
        <v>2492.763</v>
      </c>
      <c r="D234" s="2">
        <f t="shared" si="1"/>
        <v>143479.833</v>
      </c>
      <c r="E234" s="4">
        <f t="shared" si="2"/>
        <v>0.01752630469</v>
      </c>
    </row>
    <row r="235" ht="15.75" customHeight="1">
      <c r="B235" s="3">
        <v>43171.0</v>
      </c>
      <c r="C235" s="2">
        <v>-3549.293</v>
      </c>
      <c r="D235" s="2">
        <f t="shared" si="1"/>
        <v>139930.54</v>
      </c>
      <c r="E235" s="4">
        <f t="shared" si="2"/>
        <v>-0.02504833211</v>
      </c>
    </row>
    <row r="236" ht="15.75" customHeight="1">
      <c r="B236" s="3">
        <v>43202.0</v>
      </c>
      <c r="C236" s="2">
        <v>279.218</v>
      </c>
      <c r="D236" s="2">
        <f t="shared" si="1"/>
        <v>140209.758</v>
      </c>
      <c r="E236" s="4">
        <f t="shared" si="2"/>
        <v>0.001993416117</v>
      </c>
    </row>
    <row r="237" ht="15.75" customHeight="1">
      <c r="B237" s="3">
        <v>43263.0</v>
      </c>
      <c r="C237" s="2">
        <v>-3648.122</v>
      </c>
      <c r="D237" s="2">
        <f t="shared" si="1"/>
        <v>136561.636</v>
      </c>
      <c r="E237" s="4">
        <f t="shared" si="2"/>
        <v>-0.02636351425</v>
      </c>
    </row>
    <row r="238" ht="15.75" customHeight="1">
      <c r="B238" s="3">
        <v>43293.0</v>
      </c>
      <c r="C238" s="2">
        <v>-3090.414</v>
      </c>
      <c r="D238" s="2">
        <f t="shared" si="1"/>
        <v>133471.222</v>
      </c>
      <c r="E238" s="4">
        <f t="shared" si="2"/>
        <v>-0.02289016944</v>
      </c>
    </row>
    <row r="239" ht="15.75" customHeight="1">
      <c r="B239" s="3">
        <v>43385.0</v>
      </c>
      <c r="C239" s="2">
        <v>1582.079</v>
      </c>
      <c r="D239" s="2">
        <f t="shared" si="1"/>
        <v>135053.301</v>
      </c>
      <c r="E239" s="4">
        <f t="shared" si="2"/>
        <v>0.01178363368</v>
      </c>
    </row>
    <row r="240" ht="15.75" customHeight="1">
      <c r="B240" s="3">
        <v>43416.0</v>
      </c>
      <c r="C240" s="2">
        <v>132.072</v>
      </c>
      <c r="D240" s="2">
        <f t="shared" si="1"/>
        <v>135185.373</v>
      </c>
      <c r="E240" s="4">
        <f t="shared" si="2"/>
        <v>0.0009774471474</v>
      </c>
    </row>
    <row r="241" ht="15.75" customHeight="1">
      <c r="B241" s="3">
        <v>43446.0</v>
      </c>
      <c r="C241" s="2">
        <v>726.171</v>
      </c>
      <c r="D241" s="2">
        <f t="shared" si="1"/>
        <v>135911.544</v>
      </c>
      <c r="E241" s="4">
        <f t="shared" si="2"/>
        <v>0.005357292476</v>
      </c>
    </row>
    <row r="242" ht="15.75" customHeight="1">
      <c r="B242" s="3" t="s">
        <v>141</v>
      </c>
      <c r="C242" s="2">
        <v>2070.81</v>
      </c>
      <c r="D242" s="2">
        <f t="shared" si="1"/>
        <v>137982.354</v>
      </c>
      <c r="E242" s="4">
        <f t="shared" si="2"/>
        <v>0.01512154505</v>
      </c>
    </row>
    <row r="243" ht="15.75" customHeight="1">
      <c r="B243" s="3" t="s">
        <v>142</v>
      </c>
      <c r="C243" s="2">
        <v>-1712.367</v>
      </c>
      <c r="D243" s="2">
        <f t="shared" si="1"/>
        <v>136269.987</v>
      </c>
      <c r="E243" s="4">
        <f t="shared" si="2"/>
        <v>-0.01248769105</v>
      </c>
    </row>
    <row r="244" ht="15.75" customHeight="1">
      <c r="B244" s="3" t="s">
        <v>143</v>
      </c>
      <c r="C244" s="2">
        <v>1458.639</v>
      </c>
      <c r="D244" s="2">
        <f t="shared" si="1"/>
        <v>137728.626</v>
      </c>
      <c r="E244" s="4">
        <f t="shared" si="2"/>
        <v>0.01064715448</v>
      </c>
    </row>
    <row r="245" ht="15.75" customHeight="1">
      <c r="B245" s="3" t="s">
        <v>144</v>
      </c>
      <c r="C245" s="2">
        <v>2130.103</v>
      </c>
      <c r="D245" s="2">
        <f t="shared" si="1"/>
        <v>139858.729</v>
      </c>
      <c r="E245" s="4">
        <f t="shared" si="2"/>
        <v>0.01534756374</v>
      </c>
    </row>
    <row r="246" ht="15.75" customHeight="1">
      <c r="B246" s="3" t="s">
        <v>145</v>
      </c>
      <c r="C246" s="2">
        <v>-242.382</v>
      </c>
      <c r="D246" s="2">
        <f t="shared" si="1"/>
        <v>139616.347</v>
      </c>
      <c r="E246" s="4">
        <f t="shared" si="2"/>
        <v>-0.001734552249</v>
      </c>
    </row>
    <row r="247" ht="15.75" customHeight="1">
      <c r="B247" s="3" t="s">
        <v>146</v>
      </c>
      <c r="C247" s="2">
        <v>-1557.781</v>
      </c>
      <c r="D247" s="2">
        <f t="shared" si="1"/>
        <v>138058.566</v>
      </c>
      <c r="E247" s="4">
        <f t="shared" si="2"/>
        <v>-0.01122029589</v>
      </c>
    </row>
    <row r="248" ht="15.75" customHeight="1">
      <c r="B248" s="3" t="s">
        <v>147</v>
      </c>
      <c r="C248" s="2">
        <v>-593.566</v>
      </c>
      <c r="D248" s="2">
        <f t="shared" si="1"/>
        <v>137465</v>
      </c>
      <c r="E248" s="4">
        <f t="shared" si="2"/>
        <v>-0.004308647183</v>
      </c>
    </row>
    <row r="249" ht="15.75" customHeight="1">
      <c r="B249" s="3" t="s">
        <v>148</v>
      </c>
      <c r="C249" s="2">
        <v>6983.752</v>
      </c>
      <c r="D249" s="2">
        <f t="shared" si="1"/>
        <v>144448.752</v>
      </c>
      <c r="E249" s="4">
        <f t="shared" si="2"/>
        <v>0.04955544796</v>
      </c>
    </row>
    <row r="250" ht="15.75" customHeight="1">
      <c r="B250" s="3" t="s">
        <v>149</v>
      </c>
      <c r="C250" s="2">
        <v>2858.621</v>
      </c>
      <c r="D250" s="2">
        <f t="shared" si="1"/>
        <v>147307.373</v>
      </c>
      <c r="E250" s="4">
        <f t="shared" si="2"/>
        <v>0.01959658932</v>
      </c>
    </row>
    <row r="251" ht="15.75" customHeight="1">
      <c r="B251" s="3" t="s">
        <v>150</v>
      </c>
      <c r="C251" s="2">
        <v>-873.05</v>
      </c>
      <c r="D251" s="2">
        <f t="shared" si="1"/>
        <v>146434.323</v>
      </c>
      <c r="E251" s="4">
        <f t="shared" si="2"/>
        <v>-0.005944355757</v>
      </c>
    </row>
    <row r="252" ht="15.75" customHeight="1">
      <c r="B252" s="3" t="s">
        <v>151</v>
      </c>
      <c r="C252" s="2">
        <v>-1252.681</v>
      </c>
      <c r="D252" s="2">
        <f t="shared" si="1"/>
        <v>145181.642</v>
      </c>
      <c r="E252" s="4">
        <f t="shared" si="2"/>
        <v>-0.00859135888</v>
      </c>
    </row>
    <row r="253" ht="15.75" customHeight="1">
      <c r="B253" s="3" t="s">
        <v>152</v>
      </c>
      <c r="C253" s="2">
        <v>-2899.107</v>
      </c>
      <c r="D253" s="2">
        <f t="shared" si="1"/>
        <v>142282.535</v>
      </c>
      <c r="E253" s="4">
        <f t="shared" si="2"/>
        <v>-0.02017089799</v>
      </c>
    </row>
    <row r="254" ht="15.75" customHeight="1">
      <c r="B254" s="3">
        <v>43497.0</v>
      </c>
      <c r="C254" s="2">
        <v>-3286.452</v>
      </c>
      <c r="D254" s="2">
        <f t="shared" si="1"/>
        <v>138996.083</v>
      </c>
      <c r="E254" s="4">
        <f t="shared" si="2"/>
        <v>-0.02336901102</v>
      </c>
    </row>
    <row r="255" ht="15.75" customHeight="1">
      <c r="B255" s="3">
        <v>43525.0</v>
      </c>
      <c r="C255" s="2">
        <v>-1351.299</v>
      </c>
      <c r="D255" s="2">
        <f t="shared" si="1"/>
        <v>137644.784</v>
      </c>
      <c r="E255" s="4">
        <f t="shared" si="2"/>
        <v>-0.009769415214</v>
      </c>
    </row>
    <row r="256" ht="15.75" customHeight="1">
      <c r="B256" s="3">
        <v>43556.0</v>
      </c>
      <c r="C256" s="2">
        <v>-1000.86</v>
      </c>
      <c r="D256" s="2">
        <f t="shared" si="1"/>
        <v>136643.924</v>
      </c>
      <c r="E256" s="4">
        <f t="shared" si="2"/>
        <v>-0.007297890237</v>
      </c>
    </row>
    <row r="257" ht="15.75" customHeight="1">
      <c r="B257" s="3">
        <v>43647.0</v>
      </c>
      <c r="C257" s="2">
        <v>2095.614</v>
      </c>
      <c r="D257" s="2">
        <f t="shared" si="1"/>
        <v>138739.538</v>
      </c>
      <c r="E257" s="4">
        <f t="shared" si="2"/>
        <v>0.01521990056</v>
      </c>
    </row>
    <row r="258" ht="15.75" customHeight="1">
      <c r="B258" s="3">
        <v>43678.0</v>
      </c>
      <c r="C258" s="2">
        <v>-1411.097</v>
      </c>
      <c r="D258" s="2">
        <f t="shared" si="1"/>
        <v>137328.441</v>
      </c>
      <c r="E258" s="4">
        <f t="shared" si="2"/>
        <v>-0.01022291172</v>
      </c>
    </row>
    <row r="259" ht="15.75" customHeight="1">
      <c r="B259" s="3">
        <v>43709.0</v>
      </c>
      <c r="C259" s="2">
        <v>487.763</v>
      </c>
      <c r="D259" s="2">
        <f t="shared" si="1"/>
        <v>137816.204</v>
      </c>
      <c r="E259" s="4">
        <f t="shared" si="2"/>
        <v>0.003545506117</v>
      </c>
    </row>
    <row r="260" ht="15.75" customHeight="1">
      <c r="B260" s="3">
        <v>43739.0</v>
      </c>
      <c r="C260" s="2">
        <v>-1985.44</v>
      </c>
      <c r="D260" s="2">
        <f t="shared" si="1"/>
        <v>135830.764</v>
      </c>
      <c r="E260" s="4">
        <f t="shared" si="2"/>
        <v>-0.01451121388</v>
      </c>
    </row>
    <row r="261" ht="15.75" customHeight="1">
      <c r="B261" s="3">
        <v>43770.0</v>
      </c>
      <c r="C261" s="2">
        <v>2201.595</v>
      </c>
      <c r="D261" s="2">
        <f t="shared" si="1"/>
        <v>138032.359</v>
      </c>
      <c r="E261" s="4">
        <f t="shared" si="2"/>
        <v>0.01607841468</v>
      </c>
    </row>
    <row r="262" ht="15.75" customHeight="1">
      <c r="B262" s="3" t="s">
        <v>153</v>
      </c>
      <c r="C262" s="2">
        <v>-1281.91</v>
      </c>
      <c r="D262" s="2">
        <f t="shared" si="1"/>
        <v>136750.449</v>
      </c>
      <c r="E262" s="4">
        <f t="shared" si="2"/>
        <v>-0.009330418517</v>
      </c>
    </row>
    <row r="263" ht="15.75" customHeight="1">
      <c r="B263" s="3" t="s">
        <v>154</v>
      </c>
      <c r="C263" s="2">
        <v>-850.221</v>
      </c>
      <c r="D263" s="2">
        <f t="shared" si="1"/>
        <v>135900.228</v>
      </c>
      <c r="E263" s="4">
        <f t="shared" si="2"/>
        <v>-0.006236725801</v>
      </c>
    </row>
    <row r="264" ht="15.75" customHeight="1">
      <c r="B264" s="3" t="s">
        <v>155</v>
      </c>
      <c r="C264" s="2">
        <v>-898.399</v>
      </c>
      <c r="D264" s="2">
        <f t="shared" si="1"/>
        <v>135001.829</v>
      </c>
      <c r="E264" s="4">
        <f t="shared" si="2"/>
        <v>-0.006632672365</v>
      </c>
    </row>
    <row r="265" ht="15.75" customHeight="1">
      <c r="B265" s="3" t="s">
        <v>156</v>
      </c>
      <c r="C265" s="2">
        <v>-756.871</v>
      </c>
      <c r="D265" s="2">
        <f t="shared" si="1"/>
        <v>134244.958</v>
      </c>
      <c r="E265" s="4">
        <f t="shared" si="2"/>
        <v>-0.005622150608</v>
      </c>
    </row>
    <row r="266" ht="15.75" customHeight="1">
      <c r="B266" s="3" t="s">
        <v>157</v>
      </c>
      <c r="C266" s="2">
        <v>-3392.618</v>
      </c>
      <c r="D266" s="2">
        <f t="shared" si="1"/>
        <v>130852.34</v>
      </c>
      <c r="E266" s="4">
        <f t="shared" si="2"/>
        <v>-0.025596664</v>
      </c>
    </row>
    <row r="267" ht="15.75" customHeight="1">
      <c r="B267" s="3" t="s">
        <v>158</v>
      </c>
      <c r="C267" s="2">
        <v>1225.727</v>
      </c>
      <c r="D267" s="2">
        <f t="shared" si="1"/>
        <v>132078.067</v>
      </c>
      <c r="E267" s="4">
        <f t="shared" si="2"/>
        <v>0.009323652547</v>
      </c>
    </row>
    <row r="268" ht="15.75" customHeight="1">
      <c r="B268" s="3" t="s">
        <v>159</v>
      </c>
      <c r="C268" s="2">
        <v>1418.602</v>
      </c>
      <c r="D268" s="2">
        <f t="shared" si="1"/>
        <v>133496.669</v>
      </c>
      <c r="E268" s="4">
        <f t="shared" si="2"/>
        <v>0.01068336178</v>
      </c>
    </row>
    <row r="269" ht="15.75" customHeight="1">
      <c r="B269" s="3" t="s">
        <v>160</v>
      </c>
      <c r="C269" s="2">
        <v>724.026</v>
      </c>
      <c r="D269" s="2">
        <f t="shared" si="1"/>
        <v>134220.695</v>
      </c>
      <c r="E269" s="4">
        <f t="shared" si="2"/>
        <v>0.005408896564</v>
      </c>
    </row>
    <row r="270" ht="15.75" customHeight="1">
      <c r="B270" s="3" t="s">
        <v>161</v>
      </c>
      <c r="C270" s="2">
        <v>39.548</v>
      </c>
      <c r="D270" s="2">
        <f t="shared" si="1"/>
        <v>134260.243</v>
      </c>
      <c r="E270" s="4">
        <f t="shared" si="2"/>
        <v>0.0002946056475</v>
      </c>
    </row>
    <row r="271" ht="15.75" customHeight="1">
      <c r="B271" s="3" t="s">
        <v>162</v>
      </c>
      <c r="C271" s="2">
        <v>-2419.641</v>
      </c>
      <c r="D271" s="2">
        <f t="shared" si="1"/>
        <v>131840.602</v>
      </c>
      <c r="E271" s="4">
        <f t="shared" si="2"/>
        <v>-0.01818639614</v>
      </c>
    </row>
    <row r="272" ht="15.75" customHeight="1">
      <c r="B272" s="3" t="s">
        <v>163</v>
      </c>
      <c r="C272" s="2">
        <v>-2347.905</v>
      </c>
      <c r="D272" s="2">
        <f t="shared" si="1"/>
        <v>129492.697</v>
      </c>
      <c r="E272" s="4">
        <f t="shared" si="2"/>
        <v>-0.01796914656</v>
      </c>
    </row>
    <row r="273" ht="15.75" customHeight="1">
      <c r="B273" s="3" t="s">
        <v>164</v>
      </c>
      <c r="C273" s="2">
        <v>2239.141</v>
      </c>
      <c r="D273" s="2">
        <f t="shared" si="1"/>
        <v>131731.838</v>
      </c>
      <c r="E273" s="4">
        <f t="shared" si="2"/>
        <v>0.0171438402</v>
      </c>
    </row>
    <row r="274" ht="15.75" customHeight="1">
      <c r="B274" s="3" t="s">
        <v>165</v>
      </c>
      <c r="C274" s="2">
        <v>-1471.509</v>
      </c>
      <c r="D274" s="2">
        <f t="shared" si="1"/>
        <v>130260.329</v>
      </c>
      <c r="E274" s="4">
        <f t="shared" si="2"/>
        <v>-0.01123334709</v>
      </c>
    </row>
    <row r="275" ht="15.75" customHeight="1">
      <c r="B275" s="3">
        <v>43467.0</v>
      </c>
      <c r="C275" s="2">
        <v>485.821</v>
      </c>
      <c r="D275" s="2">
        <f t="shared" si="1"/>
        <v>130746.15</v>
      </c>
      <c r="E275" s="4">
        <f t="shared" si="2"/>
        <v>0.003722678172</v>
      </c>
    </row>
    <row r="276" ht="15.75" customHeight="1">
      <c r="B276" s="3">
        <v>43557.0</v>
      </c>
      <c r="C276" s="2">
        <v>-729.478</v>
      </c>
      <c r="D276" s="2">
        <f t="shared" si="1"/>
        <v>130016.672</v>
      </c>
      <c r="E276" s="4">
        <f t="shared" si="2"/>
        <v>-0.005594968618</v>
      </c>
    </row>
    <row r="277" ht="15.75" customHeight="1">
      <c r="B277" s="3">
        <v>43587.0</v>
      </c>
      <c r="C277" s="2">
        <v>911.227</v>
      </c>
      <c r="D277" s="2">
        <f t="shared" si="1"/>
        <v>130927.899</v>
      </c>
      <c r="E277" s="4">
        <f t="shared" si="2"/>
        <v>0.006984093982</v>
      </c>
    </row>
    <row r="278" ht="15.75" customHeight="1">
      <c r="B278" s="3">
        <v>43618.0</v>
      </c>
      <c r="C278" s="2">
        <v>-177.639</v>
      </c>
      <c r="D278" s="2">
        <f t="shared" si="1"/>
        <v>130750.26</v>
      </c>
      <c r="E278" s="4">
        <f t="shared" si="2"/>
        <v>-0.001357690898</v>
      </c>
    </row>
    <row r="279" ht="15.75" customHeight="1">
      <c r="B279" s="3">
        <v>43648.0</v>
      </c>
      <c r="C279" s="2">
        <v>-327.25</v>
      </c>
      <c r="D279" s="2">
        <f t="shared" si="1"/>
        <v>130423.01</v>
      </c>
      <c r="E279" s="4">
        <f t="shared" si="2"/>
        <v>-0.00250600049</v>
      </c>
    </row>
    <row r="280" ht="15.75" customHeight="1">
      <c r="B280" s="3">
        <v>43679.0</v>
      </c>
      <c r="C280" s="2">
        <v>-202.65</v>
      </c>
      <c r="D280" s="2">
        <f t="shared" si="1"/>
        <v>130220.36</v>
      </c>
      <c r="E280" s="4">
        <f t="shared" si="2"/>
        <v>-0.001554998624</v>
      </c>
    </row>
    <row r="281" ht="15.75" customHeight="1">
      <c r="B281" s="3">
        <v>43771.0</v>
      </c>
      <c r="C281" s="2">
        <v>0.0</v>
      </c>
      <c r="D281" s="2">
        <f t="shared" si="1"/>
        <v>130220.36</v>
      </c>
      <c r="E281" s="4">
        <f t="shared" si="2"/>
        <v>0</v>
      </c>
    </row>
    <row r="282" ht="15.75" customHeight="1">
      <c r="B282" s="3">
        <v>43801.0</v>
      </c>
      <c r="C282" s="2">
        <v>852.582</v>
      </c>
      <c r="D282" s="2">
        <f t="shared" si="1"/>
        <v>131072.942</v>
      </c>
      <c r="E282" s="4">
        <f t="shared" si="2"/>
        <v>0.006525885044</v>
      </c>
    </row>
    <row r="283" ht="15.75" customHeight="1">
      <c r="B283" s="3" t="s">
        <v>166</v>
      </c>
      <c r="C283" s="2">
        <v>932.147</v>
      </c>
      <c r="D283" s="2">
        <f t="shared" si="1"/>
        <v>132005.089</v>
      </c>
      <c r="E283" s="4">
        <f t="shared" si="2"/>
        <v>0.007086497473</v>
      </c>
    </row>
    <row r="284" ht="15.75" customHeight="1">
      <c r="B284" s="3" t="s">
        <v>167</v>
      </c>
      <c r="C284" s="2">
        <v>261.259</v>
      </c>
      <c r="D284" s="2">
        <f t="shared" si="1"/>
        <v>132266.348</v>
      </c>
      <c r="E284" s="4">
        <f t="shared" si="2"/>
        <v>0.001977202592</v>
      </c>
    </row>
    <row r="285" ht="15.75" customHeight="1">
      <c r="B285" s="3" t="s">
        <v>168</v>
      </c>
      <c r="C285" s="2">
        <v>-2222.45</v>
      </c>
      <c r="D285" s="2">
        <f t="shared" si="1"/>
        <v>130043.898</v>
      </c>
      <c r="E285" s="4">
        <f t="shared" si="2"/>
        <v>-0.01694560709</v>
      </c>
    </row>
    <row r="286" ht="15.75" customHeight="1">
      <c r="B286" s="3" t="s">
        <v>169</v>
      </c>
      <c r="C286" s="2">
        <v>-429.927</v>
      </c>
      <c r="D286" s="2">
        <f t="shared" si="1"/>
        <v>129613.971</v>
      </c>
      <c r="E286" s="4">
        <f t="shared" si="2"/>
        <v>-0.003311491345</v>
      </c>
    </row>
    <row r="287" ht="15.75" customHeight="1">
      <c r="B287" s="3" t="s">
        <v>170</v>
      </c>
      <c r="C287" s="2">
        <v>1722.4</v>
      </c>
      <c r="D287" s="2">
        <f t="shared" si="1"/>
        <v>131336.371</v>
      </c>
      <c r="E287" s="4">
        <f t="shared" si="2"/>
        <v>0.01320117077</v>
      </c>
    </row>
    <row r="288" ht="15.75" customHeight="1">
      <c r="B288" s="3" t="s">
        <v>171</v>
      </c>
      <c r="C288" s="2">
        <v>-1294.341</v>
      </c>
      <c r="D288" s="2">
        <f t="shared" si="1"/>
        <v>130042.03</v>
      </c>
      <c r="E288" s="4">
        <f t="shared" si="2"/>
        <v>-0.009904043909</v>
      </c>
    </row>
    <row r="289" ht="15.75" customHeight="1">
      <c r="B289" s="3" t="s">
        <v>172</v>
      </c>
      <c r="C289" s="2">
        <v>707.362</v>
      </c>
      <c r="D289" s="2">
        <f t="shared" si="1"/>
        <v>130749.392</v>
      </c>
      <c r="E289" s="4">
        <f t="shared" si="2"/>
        <v>0.005424746943</v>
      </c>
    </row>
    <row r="290" ht="15.75" customHeight="1">
      <c r="B290" s="3" t="s">
        <v>173</v>
      </c>
      <c r="C290" s="2">
        <v>348.969</v>
      </c>
      <c r="D290" s="2">
        <f t="shared" si="1"/>
        <v>131098.361</v>
      </c>
      <c r="E290" s="4">
        <f t="shared" si="2"/>
        <v>0.002665435946</v>
      </c>
    </row>
    <row r="291" ht="15.75" customHeight="1">
      <c r="B291" s="3" t="s">
        <v>174</v>
      </c>
      <c r="C291" s="2">
        <v>3214.903</v>
      </c>
      <c r="D291" s="2">
        <f t="shared" si="1"/>
        <v>134313.264</v>
      </c>
      <c r="E291" s="4">
        <f t="shared" si="2"/>
        <v>0.02422697383</v>
      </c>
    </row>
    <row r="292" ht="15.75" customHeight="1">
      <c r="B292" s="3" t="s">
        <v>175</v>
      </c>
      <c r="C292" s="2">
        <v>-1019.59</v>
      </c>
      <c r="D292" s="2">
        <f t="shared" si="1"/>
        <v>133293.674</v>
      </c>
      <c r="E292" s="4">
        <f t="shared" si="2"/>
        <v>-0.007620093419</v>
      </c>
    </row>
    <row r="293" ht="15.75" customHeight="1">
      <c r="B293" s="3" t="s">
        <v>176</v>
      </c>
      <c r="C293" s="2">
        <v>-488.655</v>
      </c>
      <c r="D293" s="2">
        <f t="shared" si="1"/>
        <v>132805.019</v>
      </c>
      <c r="E293" s="4">
        <f t="shared" si="2"/>
        <v>-0.003672739191</v>
      </c>
    </row>
    <row r="294" ht="15.75" customHeight="1">
      <c r="B294" s="3">
        <v>43468.0</v>
      </c>
      <c r="C294" s="2">
        <v>1030.549</v>
      </c>
      <c r="D294" s="2">
        <f t="shared" si="1"/>
        <v>133835.568</v>
      </c>
      <c r="E294" s="4">
        <f t="shared" si="2"/>
        <v>0.007729911961</v>
      </c>
    </row>
    <row r="295" ht="15.75" customHeight="1">
      <c r="B295" s="3">
        <v>43558.0</v>
      </c>
      <c r="C295" s="2">
        <v>-224.363</v>
      </c>
      <c r="D295" s="2">
        <f t="shared" si="1"/>
        <v>133611.205</v>
      </c>
      <c r="E295" s="4">
        <f t="shared" si="2"/>
        <v>-0.001677814618</v>
      </c>
    </row>
    <row r="296" ht="15.75" customHeight="1">
      <c r="B296" s="3">
        <v>43588.0</v>
      </c>
      <c r="C296" s="2">
        <v>1466.72</v>
      </c>
      <c r="D296" s="2">
        <f t="shared" si="1"/>
        <v>135077.925</v>
      </c>
      <c r="E296" s="4">
        <f t="shared" si="2"/>
        <v>0.01091770679</v>
      </c>
    </row>
    <row r="297" ht="15.75" customHeight="1">
      <c r="B297" s="3">
        <v>43619.0</v>
      </c>
      <c r="C297" s="2">
        <v>-1799.996</v>
      </c>
      <c r="D297" s="2">
        <f t="shared" si="1"/>
        <v>133277.929</v>
      </c>
      <c r="E297" s="4">
        <f t="shared" si="2"/>
        <v>-0.01341519455</v>
      </c>
    </row>
    <row r="298" ht="15.75" customHeight="1">
      <c r="B298" s="3">
        <v>43649.0</v>
      </c>
      <c r="C298" s="2">
        <v>-2550.859</v>
      </c>
      <c r="D298" s="2">
        <f t="shared" si="1"/>
        <v>130727.07</v>
      </c>
      <c r="E298" s="4">
        <f t="shared" si="2"/>
        <v>-0.01932492487</v>
      </c>
    </row>
    <row r="299" ht="15.75" customHeight="1">
      <c r="B299" s="3">
        <v>43680.0</v>
      </c>
      <c r="C299" s="2">
        <v>-1732.994</v>
      </c>
      <c r="D299" s="2">
        <f t="shared" si="1"/>
        <v>128994.076</v>
      </c>
      <c r="E299" s="4">
        <f t="shared" si="2"/>
        <v>-0.01334523389</v>
      </c>
    </row>
    <row r="300" ht="15.75" customHeight="1">
      <c r="B300" s="3">
        <v>43772.0</v>
      </c>
      <c r="C300" s="2">
        <v>-1207.88</v>
      </c>
      <c r="D300" s="2">
        <f t="shared" si="1"/>
        <v>127786.196</v>
      </c>
      <c r="E300" s="4">
        <f t="shared" si="2"/>
        <v>-0.009407957236</v>
      </c>
    </row>
    <row r="301" ht="15.75" customHeight="1">
      <c r="B301" s="3">
        <v>43802.0</v>
      </c>
      <c r="C301" s="2">
        <v>-97.486</v>
      </c>
      <c r="D301" s="2">
        <f t="shared" si="1"/>
        <v>127688.71</v>
      </c>
      <c r="E301" s="4">
        <f t="shared" si="2"/>
        <v>-0.0007631747968</v>
      </c>
    </row>
    <row r="302" ht="15.75" customHeight="1">
      <c r="B302" s="3" t="s">
        <v>177</v>
      </c>
      <c r="C302" s="2">
        <v>2737.752</v>
      </c>
      <c r="D302" s="2">
        <f t="shared" si="1"/>
        <v>130426.462</v>
      </c>
      <c r="E302" s="4">
        <f t="shared" si="2"/>
        <v>0.02121420956</v>
      </c>
    </row>
    <row r="303" ht="15.75" customHeight="1">
      <c r="B303" s="3" t="s">
        <v>178</v>
      </c>
      <c r="C303" s="2">
        <v>2053.604</v>
      </c>
      <c r="D303" s="2">
        <f t="shared" si="1"/>
        <v>132480.066</v>
      </c>
      <c r="E303" s="4">
        <f t="shared" si="2"/>
        <v>0.01562263047</v>
      </c>
    </row>
    <row r="304" ht="15.75" customHeight="1">
      <c r="B304" s="3" t="s">
        <v>179</v>
      </c>
      <c r="C304" s="2">
        <v>-2797.608</v>
      </c>
      <c r="D304" s="2">
        <f t="shared" si="1"/>
        <v>129682.458</v>
      </c>
      <c r="E304" s="4">
        <f t="shared" si="2"/>
        <v>-0.02134335723</v>
      </c>
    </row>
    <row r="305" ht="15.75" customHeight="1">
      <c r="B305" s="3" t="s">
        <v>180</v>
      </c>
      <c r="C305" s="2">
        <v>-1758.395</v>
      </c>
      <c r="D305" s="2">
        <f t="shared" si="1"/>
        <v>127924.063</v>
      </c>
      <c r="E305" s="4">
        <f t="shared" si="2"/>
        <v>-0.01365200154</v>
      </c>
    </row>
    <row r="306" ht="15.75" customHeight="1">
      <c r="B306" s="3" t="s">
        <v>181</v>
      </c>
      <c r="C306" s="2">
        <v>3995.802</v>
      </c>
      <c r="D306" s="2">
        <f t="shared" si="1"/>
        <v>131919.865</v>
      </c>
      <c r="E306" s="4">
        <f t="shared" si="2"/>
        <v>0.03075782484</v>
      </c>
    </row>
    <row r="307" ht="15.75" customHeight="1">
      <c r="B307" s="3" t="s">
        <v>182</v>
      </c>
      <c r="C307" s="2">
        <v>2033.021</v>
      </c>
      <c r="D307" s="2">
        <f t="shared" si="1"/>
        <v>133952.886</v>
      </c>
      <c r="E307" s="4">
        <f t="shared" si="2"/>
        <v>0.01529348621</v>
      </c>
    </row>
    <row r="308" ht="15.75" customHeight="1">
      <c r="B308" s="3" t="s">
        <v>183</v>
      </c>
      <c r="C308" s="2">
        <v>-309.699</v>
      </c>
      <c r="D308" s="2">
        <f t="shared" si="1"/>
        <v>133643.187</v>
      </c>
      <c r="E308" s="4">
        <f t="shared" si="2"/>
        <v>-0.002314676257</v>
      </c>
    </row>
    <row r="309" ht="15.75" customHeight="1">
      <c r="B309" s="3" t="s">
        <v>184</v>
      </c>
      <c r="C309" s="2">
        <v>341.534</v>
      </c>
      <c r="D309" s="2">
        <f t="shared" si="1"/>
        <v>133984.721</v>
      </c>
      <c r="E309" s="4">
        <f t="shared" si="2"/>
        <v>0.002552306207</v>
      </c>
    </row>
    <row r="310" ht="15.75" customHeight="1">
      <c r="B310" s="3" t="s">
        <v>185</v>
      </c>
      <c r="C310" s="2">
        <v>-1759.157</v>
      </c>
      <c r="D310" s="2">
        <f t="shared" si="1"/>
        <v>132225.564</v>
      </c>
      <c r="E310" s="4">
        <f t="shared" si="2"/>
        <v>-0.01321648866</v>
      </c>
    </row>
    <row r="311" ht="15.75" customHeight="1">
      <c r="B311" s="3" t="s">
        <v>186</v>
      </c>
      <c r="C311" s="2">
        <v>-97.656</v>
      </c>
      <c r="D311" s="2">
        <f t="shared" si="1"/>
        <v>132127.908</v>
      </c>
      <c r="E311" s="4">
        <f t="shared" si="2"/>
        <v>-0.0007388289906</v>
      </c>
    </row>
    <row r="312" ht="15.75" customHeight="1">
      <c r="B312" s="3" t="s">
        <v>187</v>
      </c>
      <c r="C312" s="2">
        <v>-1208.386</v>
      </c>
      <c r="D312" s="2">
        <f t="shared" si="1"/>
        <v>130919.522</v>
      </c>
      <c r="E312" s="4">
        <f t="shared" si="2"/>
        <v>-0.009187654867</v>
      </c>
    </row>
    <row r="313" ht="15.75" customHeight="1">
      <c r="B313" s="3" t="s">
        <v>188</v>
      </c>
      <c r="C313" s="2">
        <v>1020.977</v>
      </c>
      <c r="D313" s="2">
        <f t="shared" si="1"/>
        <v>131940.499</v>
      </c>
      <c r="E313" s="4">
        <f t="shared" si="2"/>
        <v>0.007768257268</v>
      </c>
    </row>
    <row r="314" ht="15.75" customHeight="1">
      <c r="B314" s="3" t="s">
        <v>189</v>
      </c>
      <c r="C314" s="2">
        <v>407.111</v>
      </c>
      <c r="D314" s="2">
        <f t="shared" si="1"/>
        <v>132347.61</v>
      </c>
      <c r="E314" s="4">
        <f t="shared" si="2"/>
        <v>0.003080814521</v>
      </c>
    </row>
    <row r="315" ht="15.75" customHeight="1">
      <c r="B315" s="3">
        <v>43469.0</v>
      </c>
      <c r="C315" s="2">
        <v>2501.59</v>
      </c>
      <c r="D315" s="2">
        <f t="shared" si="1"/>
        <v>134849.2</v>
      </c>
      <c r="E315" s="4">
        <f t="shared" si="2"/>
        <v>0.01872524672</v>
      </c>
    </row>
    <row r="316" ht="15.75" customHeight="1">
      <c r="B316" s="3">
        <v>43500.0</v>
      </c>
      <c r="C316" s="2">
        <v>-1358.191</v>
      </c>
      <c r="D316" s="2">
        <f t="shared" si="1"/>
        <v>133491.009</v>
      </c>
      <c r="E316" s="4">
        <f t="shared" si="2"/>
        <v>-0.01012298979</v>
      </c>
    </row>
    <row r="317" ht="15.75" customHeight="1">
      <c r="B317" s="3">
        <v>43528.0</v>
      </c>
      <c r="C317" s="2">
        <v>214.463</v>
      </c>
      <c r="D317" s="2">
        <f t="shared" si="1"/>
        <v>133705.472</v>
      </c>
      <c r="E317" s="4">
        <f t="shared" si="2"/>
        <v>0.001605283462</v>
      </c>
    </row>
    <row r="318" ht="15.75" customHeight="1">
      <c r="B318" s="3">
        <v>43559.0</v>
      </c>
      <c r="C318" s="2">
        <v>1533.121</v>
      </c>
      <c r="D318" s="2">
        <f t="shared" si="1"/>
        <v>135238.593</v>
      </c>
      <c r="E318" s="4">
        <f t="shared" si="2"/>
        <v>0.01140116334</v>
      </c>
    </row>
    <row r="319" ht="15.75" customHeight="1">
      <c r="B319" s="3">
        <v>43589.0</v>
      </c>
      <c r="C319" s="2">
        <v>703.707</v>
      </c>
      <c r="D319" s="2">
        <f t="shared" si="1"/>
        <v>135942.3</v>
      </c>
      <c r="E319" s="4">
        <f t="shared" si="2"/>
        <v>0.005189956946</v>
      </c>
    </row>
    <row r="320" ht="15.75" customHeight="1">
      <c r="B320" s="3">
        <v>43681.0</v>
      </c>
      <c r="C320" s="2">
        <v>-692.538</v>
      </c>
      <c r="D320" s="2">
        <f t="shared" si="1"/>
        <v>135249.762</v>
      </c>
      <c r="E320" s="4">
        <f t="shared" si="2"/>
        <v>-0.005107372984</v>
      </c>
    </row>
    <row r="321" ht="15.75" customHeight="1">
      <c r="B321" s="3">
        <v>43712.0</v>
      </c>
      <c r="C321" s="2">
        <v>-115.546</v>
      </c>
      <c r="D321" s="2">
        <f t="shared" si="1"/>
        <v>135134.216</v>
      </c>
      <c r="E321" s="4">
        <f t="shared" si="2"/>
        <v>-0.0008546808719</v>
      </c>
    </row>
    <row r="322" ht="15.75" customHeight="1">
      <c r="B322" s="3">
        <v>43742.0</v>
      </c>
      <c r="C322" s="2">
        <v>2139.645</v>
      </c>
      <c r="D322" s="2">
        <f t="shared" si="1"/>
        <v>137273.861</v>
      </c>
      <c r="E322" s="4">
        <f t="shared" si="2"/>
        <v>0.01570943877</v>
      </c>
    </row>
    <row r="323" ht="15.75" customHeight="1">
      <c r="B323" s="3">
        <v>43773.0</v>
      </c>
      <c r="C323" s="2">
        <v>1354.64</v>
      </c>
      <c r="D323" s="2">
        <f t="shared" si="1"/>
        <v>138628.501</v>
      </c>
      <c r="E323" s="4">
        <f t="shared" si="2"/>
        <v>0.00981978462</v>
      </c>
    </row>
    <row r="324" ht="15.75" customHeight="1">
      <c r="B324" s="3">
        <v>43803.0</v>
      </c>
      <c r="C324" s="2">
        <v>1916.762</v>
      </c>
      <c r="D324" s="2">
        <f t="shared" si="1"/>
        <v>140545.263</v>
      </c>
      <c r="E324" s="4">
        <f t="shared" si="2"/>
        <v>0.01373189294</v>
      </c>
    </row>
    <row r="325" ht="15.75" customHeight="1">
      <c r="B325" s="3" t="s">
        <v>190</v>
      </c>
      <c r="C325" s="2">
        <v>377.217</v>
      </c>
      <c r="D325" s="2">
        <f t="shared" si="1"/>
        <v>140922.48</v>
      </c>
      <c r="E325" s="4">
        <f t="shared" si="2"/>
        <v>0.00268035848</v>
      </c>
    </row>
    <row r="326" ht="15.75" customHeight="1">
      <c r="B326" s="3" t="s">
        <v>191</v>
      </c>
      <c r="C326" s="2">
        <v>-768.477</v>
      </c>
      <c r="D326" s="2">
        <f t="shared" si="1"/>
        <v>140154.003</v>
      </c>
      <c r="E326" s="4">
        <f t="shared" si="2"/>
        <v>-0.005468112498</v>
      </c>
    </row>
    <row r="327" ht="15.75" customHeight="1">
      <c r="B327" s="3" t="s">
        <v>192</v>
      </c>
      <c r="C327" s="2">
        <v>2234.062</v>
      </c>
      <c r="D327" s="2">
        <f t="shared" si="1"/>
        <v>142388.065</v>
      </c>
      <c r="E327" s="4">
        <f t="shared" si="2"/>
        <v>0.01581434281</v>
      </c>
    </row>
    <row r="328" ht="15.75" customHeight="1">
      <c r="B328" s="3" t="s">
        <v>193</v>
      </c>
      <c r="C328" s="2">
        <v>-1621.251</v>
      </c>
      <c r="D328" s="2">
        <f t="shared" si="1"/>
        <v>140766.814</v>
      </c>
      <c r="E328" s="4">
        <f t="shared" si="2"/>
        <v>-0.01145146234</v>
      </c>
    </row>
    <row r="329" ht="15.75" customHeight="1">
      <c r="B329" s="3" t="s">
        <v>194</v>
      </c>
      <c r="C329" s="2">
        <v>-1928.295</v>
      </c>
      <c r="D329" s="2">
        <f t="shared" si="1"/>
        <v>138838.519</v>
      </c>
      <c r="E329" s="4">
        <f t="shared" si="2"/>
        <v>-0.01379319594</v>
      </c>
    </row>
    <row r="330" ht="15.75" customHeight="1">
      <c r="B330" s="3" t="s">
        <v>195</v>
      </c>
      <c r="C330" s="2">
        <v>-43.54</v>
      </c>
      <c r="D330" s="2">
        <f t="shared" si="1"/>
        <v>138794.979</v>
      </c>
      <c r="E330" s="4">
        <f t="shared" si="2"/>
        <v>-0.0003136509151</v>
      </c>
    </row>
    <row r="331" ht="15.75" customHeight="1">
      <c r="B331" s="3" t="s">
        <v>196</v>
      </c>
      <c r="C331" s="2">
        <v>-849.253</v>
      </c>
      <c r="D331" s="2">
        <f t="shared" si="1"/>
        <v>137945.726</v>
      </c>
      <c r="E331" s="4">
        <f t="shared" si="2"/>
        <v>-0.006137555123</v>
      </c>
    </row>
    <row r="332" ht="15.75" customHeight="1">
      <c r="B332" s="3" t="s">
        <v>197</v>
      </c>
      <c r="C332" s="2">
        <v>-891.226</v>
      </c>
      <c r="D332" s="2">
        <f t="shared" si="1"/>
        <v>137054.5</v>
      </c>
      <c r="E332" s="4">
        <f t="shared" si="2"/>
        <v>-0.006481661002</v>
      </c>
    </row>
    <row r="333" ht="15.75" customHeight="1">
      <c r="B333" s="3" t="s">
        <v>198</v>
      </c>
      <c r="C333" s="2">
        <v>-993.133</v>
      </c>
      <c r="D333" s="2">
        <f t="shared" si="1"/>
        <v>136061.367</v>
      </c>
      <c r="E333" s="4">
        <f t="shared" si="2"/>
        <v>-0.007272645037</v>
      </c>
    </row>
    <row r="334" ht="15.75" customHeight="1">
      <c r="B334" s="3" t="s">
        <v>199</v>
      </c>
      <c r="C334" s="2">
        <v>-102.715</v>
      </c>
      <c r="D334" s="2">
        <f t="shared" si="1"/>
        <v>135958.652</v>
      </c>
      <c r="E334" s="4">
        <f t="shared" si="2"/>
        <v>-0.0007552018065</v>
      </c>
    </row>
    <row r="335" ht="15.75" customHeight="1">
      <c r="B335" s="3" t="s">
        <v>200</v>
      </c>
      <c r="C335" s="2">
        <v>-58.759</v>
      </c>
      <c r="D335" s="2">
        <f t="shared" si="1"/>
        <v>135899.893</v>
      </c>
      <c r="E335" s="4">
        <f t="shared" si="2"/>
        <v>-0.0004322762848</v>
      </c>
    </row>
    <row r="336" ht="15.75" customHeight="1">
      <c r="B336" s="3">
        <v>43470.0</v>
      </c>
      <c r="C336" s="2">
        <v>3999.516</v>
      </c>
      <c r="D336" s="2">
        <f t="shared" si="1"/>
        <v>139899.409</v>
      </c>
      <c r="E336" s="4">
        <f t="shared" si="2"/>
        <v>0.0290051234</v>
      </c>
    </row>
    <row r="337" ht="15.75" customHeight="1">
      <c r="B337" s="3">
        <v>43501.0</v>
      </c>
      <c r="C337" s="2">
        <v>-160.535</v>
      </c>
      <c r="D337" s="2">
        <f t="shared" si="1"/>
        <v>139738.874</v>
      </c>
      <c r="E337" s="4">
        <f t="shared" si="2"/>
        <v>-0.001148161946</v>
      </c>
    </row>
    <row r="338" ht="15.75" customHeight="1">
      <c r="B338" s="3">
        <v>43529.0</v>
      </c>
      <c r="C338" s="2">
        <v>-3990.446</v>
      </c>
      <c r="D338" s="2">
        <f t="shared" si="1"/>
        <v>135748.428</v>
      </c>
      <c r="E338" s="4">
        <f t="shared" si="2"/>
        <v>-0.02897211663</v>
      </c>
    </row>
    <row r="339" ht="15.75" customHeight="1">
      <c r="B339" s="3">
        <v>43621.0</v>
      </c>
      <c r="C339" s="2">
        <v>-485.269</v>
      </c>
      <c r="D339" s="2">
        <f t="shared" si="1"/>
        <v>135263.159</v>
      </c>
      <c r="E339" s="4">
        <f t="shared" si="2"/>
        <v>-0.003581171742</v>
      </c>
    </row>
    <row r="340" ht="15.75" customHeight="1">
      <c r="B340" s="3">
        <v>43651.0</v>
      </c>
      <c r="C340" s="2">
        <v>-131.766</v>
      </c>
      <c r="D340" s="2">
        <f t="shared" si="1"/>
        <v>135131.393</v>
      </c>
      <c r="E340" s="4">
        <f t="shared" si="2"/>
        <v>-0.0009746203054</v>
      </c>
    </row>
    <row r="341" ht="15.75" customHeight="1">
      <c r="B341" s="3">
        <v>43682.0</v>
      </c>
      <c r="C341" s="2">
        <v>-2606.311</v>
      </c>
      <c r="D341" s="2">
        <f t="shared" si="1"/>
        <v>132525.082</v>
      </c>
      <c r="E341" s="4">
        <f t="shared" si="2"/>
        <v>-0.01947566096</v>
      </c>
    </row>
    <row r="342" ht="15.75" customHeight="1">
      <c r="B342" s="3">
        <v>43713.0</v>
      </c>
      <c r="C342" s="2">
        <v>-2170.899</v>
      </c>
      <c r="D342" s="2">
        <f t="shared" si="1"/>
        <v>130354.183</v>
      </c>
      <c r="E342" s="4">
        <f t="shared" si="2"/>
        <v>-0.01651669523</v>
      </c>
    </row>
    <row r="343" ht="15.75" customHeight="1">
      <c r="B343" s="3">
        <v>43743.0</v>
      </c>
      <c r="C343" s="2">
        <v>-1706.27</v>
      </c>
      <c r="D343" s="2">
        <f t="shared" si="1"/>
        <v>128647.913</v>
      </c>
      <c r="E343" s="4">
        <f t="shared" si="2"/>
        <v>-0.0131759141</v>
      </c>
    </row>
    <row r="344" ht="15.75" customHeight="1">
      <c r="B344" s="3" t="s">
        <v>201</v>
      </c>
      <c r="C344" s="2">
        <v>-921.369</v>
      </c>
      <c r="D344" s="2">
        <f t="shared" si="1"/>
        <v>127726.544</v>
      </c>
      <c r="E344" s="4">
        <f t="shared" si="2"/>
        <v>-0.007187712672</v>
      </c>
    </row>
    <row r="345" ht="15.75" customHeight="1">
      <c r="B345" s="3" t="s">
        <v>202</v>
      </c>
      <c r="C345" s="2">
        <v>505.814</v>
      </c>
      <c r="D345" s="2">
        <f t="shared" si="1"/>
        <v>128232.358</v>
      </c>
      <c r="E345" s="4">
        <f t="shared" si="2"/>
        <v>0.003952311519</v>
      </c>
    </row>
    <row r="346" ht="15.75" customHeight="1">
      <c r="B346" s="3" t="s">
        <v>203</v>
      </c>
      <c r="C346" s="2">
        <v>-1699.719</v>
      </c>
      <c r="D346" s="2">
        <f t="shared" si="1"/>
        <v>126532.639</v>
      </c>
      <c r="E346" s="4">
        <f t="shared" si="2"/>
        <v>-0.01334362444</v>
      </c>
    </row>
    <row r="347" ht="15.75" customHeight="1">
      <c r="B347" s="3" t="s">
        <v>204</v>
      </c>
      <c r="C347" s="2">
        <v>-1011.73</v>
      </c>
      <c r="D347" s="2">
        <f t="shared" si="1"/>
        <v>125520.909</v>
      </c>
      <c r="E347" s="4">
        <f t="shared" si="2"/>
        <v>-0.008027940425</v>
      </c>
    </row>
    <row r="348" ht="15.75" customHeight="1">
      <c r="B348" s="3" t="s">
        <v>205</v>
      </c>
      <c r="C348" s="2">
        <v>100.661</v>
      </c>
      <c r="D348" s="2">
        <f t="shared" si="1"/>
        <v>125621.57</v>
      </c>
      <c r="E348" s="4">
        <f t="shared" si="2"/>
        <v>0.0008016246856</v>
      </c>
    </row>
    <row r="349" ht="15.75" customHeight="1">
      <c r="B349" s="3" t="s">
        <v>206</v>
      </c>
      <c r="C349" s="2">
        <v>1973.11</v>
      </c>
      <c r="D349" s="2">
        <f t="shared" si="1"/>
        <v>127594.68</v>
      </c>
      <c r="E349" s="4">
        <f t="shared" si="2"/>
        <v>0.01558470229</v>
      </c>
    </row>
    <row r="350" ht="15.75" customHeight="1">
      <c r="B350" s="3" t="s">
        <v>207</v>
      </c>
      <c r="C350" s="2">
        <v>1590.619</v>
      </c>
      <c r="D350" s="2">
        <f t="shared" si="1"/>
        <v>129185.299</v>
      </c>
      <c r="E350" s="4">
        <f t="shared" si="2"/>
        <v>0.01238912279</v>
      </c>
    </row>
    <row r="351" ht="15.75" customHeight="1">
      <c r="B351" s="3" t="s">
        <v>208</v>
      </c>
      <c r="C351" s="2">
        <v>-544.256</v>
      </c>
      <c r="D351" s="2">
        <f t="shared" si="1"/>
        <v>128641.043</v>
      </c>
      <c r="E351" s="4">
        <f t="shared" si="2"/>
        <v>-0.004221886749</v>
      </c>
    </row>
    <row r="352" ht="15.75" customHeight="1">
      <c r="B352" s="3" t="s">
        <v>209</v>
      </c>
      <c r="C352" s="2">
        <v>999.762</v>
      </c>
      <c r="D352" s="2">
        <f t="shared" si="1"/>
        <v>129640.805</v>
      </c>
      <c r="E352" s="4">
        <f t="shared" si="2"/>
        <v>0.007741674462</v>
      </c>
    </row>
    <row r="353" ht="15.75" customHeight="1">
      <c r="B353" s="3" t="s">
        <v>210</v>
      </c>
      <c r="C353" s="2">
        <v>-1679.581</v>
      </c>
      <c r="D353" s="2">
        <f t="shared" si="1"/>
        <v>127961.224</v>
      </c>
      <c r="E353" s="4">
        <f t="shared" si="2"/>
        <v>-0.01304030723</v>
      </c>
    </row>
    <row r="354" ht="15.75" customHeight="1">
      <c r="B354" s="3" t="s">
        <v>211</v>
      </c>
      <c r="C354" s="2">
        <v>-325.108</v>
      </c>
      <c r="D354" s="2">
        <f t="shared" si="1"/>
        <v>127636.116</v>
      </c>
      <c r="E354" s="4">
        <f t="shared" si="2"/>
        <v>-0.00254390891</v>
      </c>
    </row>
    <row r="355" ht="15.75" customHeight="1">
      <c r="B355" s="3" t="s">
        <v>212</v>
      </c>
      <c r="C355" s="2">
        <v>-560.689</v>
      </c>
      <c r="D355" s="2">
        <f t="shared" si="1"/>
        <v>127075.427</v>
      </c>
      <c r="E355" s="4">
        <f t="shared" si="2"/>
        <v>-0.004402548067</v>
      </c>
    </row>
    <row r="356" ht="15.75" customHeight="1">
      <c r="B356" s="3" t="s">
        <v>213</v>
      </c>
      <c r="C356" s="2">
        <v>-2477.955</v>
      </c>
      <c r="D356" s="2">
        <f t="shared" si="1"/>
        <v>124597.472</v>
      </c>
      <c r="E356" s="4">
        <f t="shared" si="2"/>
        <v>-0.01969250632</v>
      </c>
    </row>
    <row r="357" ht="15.75" customHeight="1">
      <c r="B357" s="3" t="s">
        <v>214</v>
      </c>
      <c r="C357" s="2">
        <v>-1130.113</v>
      </c>
      <c r="D357" s="2">
        <f t="shared" si="1"/>
        <v>123467.359</v>
      </c>
      <c r="E357" s="4">
        <f t="shared" si="2"/>
        <v>-0.009111495683</v>
      </c>
    </row>
    <row r="358" ht="15.75" customHeight="1">
      <c r="B358" s="3">
        <v>43530.0</v>
      </c>
      <c r="C358" s="2">
        <v>-151.483</v>
      </c>
      <c r="D358" s="2">
        <f t="shared" si="1"/>
        <v>123315.876</v>
      </c>
      <c r="E358" s="4">
        <f t="shared" si="2"/>
        <v>-0.001227660534</v>
      </c>
    </row>
    <row r="359" ht="15.75" customHeight="1">
      <c r="B359" s="3">
        <v>43561.0</v>
      </c>
      <c r="C359" s="2">
        <v>-411.999</v>
      </c>
      <c r="D359" s="2">
        <f t="shared" si="1"/>
        <v>122903.877</v>
      </c>
      <c r="E359" s="4">
        <f t="shared" si="2"/>
        <v>-0.003346598959</v>
      </c>
    </row>
    <row r="360" ht="15.75" customHeight="1">
      <c r="B360" s="3">
        <v>43591.0</v>
      </c>
      <c r="C360" s="2">
        <v>350.676</v>
      </c>
      <c r="D360" s="2">
        <f t="shared" si="1"/>
        <v>123254.553</v>
      </c>
      <c r="E360" s="4">
        <f t="shared" si="2"/>
        <v>0.00284919137</v>
      </c>
    </row>
    <row r="361" ht="15.75" customHeight="1">
      <c r="B361" s="3">
        <v>43622.0</v>
      </c>
      <c r="C361" s="2">
        <v>664.702</v>
      </c>
      <c r="D361" s="2">
        <f t="shared" si="1"/>
        <v>123919.255</v>
      </c>
      <c r="E361" s="4">
        <f t="shared" si="2"/>
        <v>0.00537843073</v>
      </c>
    </row>
    <row r="362" ht="15.75" customHeight="1">
      <c r="B362" s="3">
        <v>43652.0</v>
      </c>
      <c r="C362" s="2">
        <v>2732.7</v>
      </c>
      <c r="D362" s="2">
        <f t="shared" si="1"/>
        <v>126651.955</v>
      </c>
      <c r="E362" s="4">
        <f t="shared" si="2"/>
        <v>0.02181262842</v>
      </c>
    </row>
    <row r="363" ht="15.75" customHeight="1">
      <c r="B363" s="3">
        <v>43744.0</v>
      </c>
      <c r="C363" s="2">
        <v>1193.772</v>
      </c>
      <c r="D363" s="2">
        <f t="shared" si="1"/>
        <v>127845.727</v>
      </c>
      <c r="E363" s="4">
        <f t="shared" si="2"/>
        <v>0.00938146663</v>
      </c>
    </row>
    <row r="364" ht="15.75" customHeight="1">
      <c r="B364" s="3">
        <v>43775.0</v>
      </c>
      <c r="C364" s="2">
        <v>1170.413</v>
      </c>
      <c r="D364" s="2">
        <f t="shared" si="1"/>
        <v>129016.14</v>
      </c>
      <c r="E364" s="4">
        <f t="shared" si="2"/>
        <v>0.009113233615</v>
      </c>
    </row>
    <row r="365" ht="15.75" customHeight="1">
      <c r="B365" s="3">
        <v>43805.0</v>
      </c>
      <c r="C365" s="2">
        <v>-2181.221</v>
      </c>
      <c r="D365" s="2">
        <f t="shared" si="1"/>
        <v>126834.919</v>
      </c>
      <c r="E365" s="4">
        <f t="shared" si="2"/>
        <v>-0.01705112229</v>
      </c>
    </row>
    <row r="366" ht="15.75" customHeight="1">
      <c r="B366" s="3" t="s">
        <v>215</v>
      </c>
      <c r="C366" s="2">
        <v>879.377</v>
      </c>
      <c r="D366" s="2">
        <f t="shared" si="1"/>
        <v>127714.296</v>
      </c>
      <c r="E366" s="4">
        <f t="shared" si="2"/>
        <v>0.006909316129</v>
      </c>
    </row>
    <row r="367" ht="15.75" customHeight="1">
      <c r="B367" s="3" t="s">
        <v>216</v>
      </c>
      <c r="C367" s="2">
        <v>159.271</v>
      </c>
      <c r="D367" s="2">
        <f t="shared" si="1"/>
        <v>127873.567</v>
      </c>
      <c r="E367" s="4">
        <f t="shared" si="2"/>
        <v>0.001246311298</v>
      </c>
    </row>
    <row r="368" ht="15.75" customHeight="1">
      <c r="B368" s="3" t="s">
        <v>217</v>
      </c>
      <c r="C368" s="2">
        <v>1778.311</v>
      </c>
      <c r="D368" s="2">
        <f t="shared" si="1"/>
        <v>129651.878</v>
      </c>
      <c r="E368" s="4">
        <f t="shared" si="2"/>
        <v>0.01381097908</v>
      </c>
    </row>
    <row r="369" ht="15.75" customHeight="1">
      <c r="B369" s="3" t="s">
        <v>218</v>
      </c>
      <c r="C369" s="2">
        <v>-622.264</v>
      </c>
      <c r="D369" s="2">
        <f t="shared" si="1"/>
        <v>129029.614</v>
      </c>
      <c r="E369" s="4">
        <f t="shared" si="2"/>
        <v>-0.004811053125</v>
      </c>
    </row>
    <row r="370" ht="15.75" customHeight="1">
      <c r="B370" s="3" t="s">
        <v>219</v>
      </c>
      <c r="C370" s="2">
        <v>482.183</v>
      </c>
      <c r="D370" s="2">
        <f t="shared" si="1"/>
        <v>129511.797</v>
      </c>
      <c r="E370" s="4">
        <f t="shared" si="2"/>
        <v>0.003730029609</v>
      </c>
    </row>
    <row r="371" ht="15.75" customHeight="1">
      <c r="B371" s="3" t="s">
        <v>220</v>
      </c>
      <c r="C371" s="2">
        <v>-1846.524</v>
      </c>
      <c r="D371" s="2">
        <f t="shared" si="1"/>
        <v>127665.273</v>
      </c>
      <c r="E371" s="4">
        <f t="shared" si="2"/>
        <v>-0.01436018951</v>
      </c>
    </row>
    <row r="372" ht="15.75" customHeight="1">
      <c r="B372" s="3" t="s">
        <v>221</v>
      </c>
      <c r="C372" s="2">
        <v>-4083.283</v>
      </c>
      <c r="D372" s="2">
        <f t="shared" si="1"/>
        <v>123581.99</v>
      </c>
      <c r="E372" s="4">
        <f t="shared" si="2"/>
        <v>-0.03250696157</v>
      </c>
    </row>
    <row r="373" ht="15.75" customHeight="1">
      <c r="B373" s="3" t="s">
        <v>222</v>
      </c>
      <c r="C373" s="2">
        <v>264.692</v>
      </c>
      <c r="D373" s="2">
        <f t="shared" si="1"/>
        <v>123846.682</v>
      </c>
      <c r="E373" s="4">
        <f t="shared" si="2"/>
        <v>0.002139542672</v>
      </c>
    </row>
    <row r="374" ht="15.75" customHeight="1">
      <c r="B374" s="3" t="s">
        <v>223</v>
      </c>
      <c r="C374" s="2">
        <v>2833.172</v>
      </c>
      <c r="D374" s="2">
        <f t="shared" si="1"/>
        <v>126679.854</v>
      </c>
      <c r="E374" s="4">
        <f t="shared" si="2"/>
        <v>0.02261870406</v>
      </c>
    </row>
    <row r="375" ht="15.75" customHeight="1">
      <c r="B375" s="3" t="s">
        <v>224</v>
      </c>
      <c r="C375" s="2">
        <v>2268.28</v>
      </c>
      <c r="D375" s="2">
        <f t="shared" si="1"/>
        <v>128948.134</v>
      </c>
      <c r="E375" s="4">
        <f t="shared" si="2"/>
        <v>0.01774719234</v>
      </c>
    </row>
    <row r="376" ht="15.75" customHeight="1">
      <c r="B376" s="3" t="s">
        <v>225</v>
      </c>
      <c r="C376" s="2">
        <v>-1510.331</v>
      </c>
      <c r="D376" s="2">
        <f t="shared" si="1"/>
        <v>127437.803</v>
      </c>
      <c r="E376" s="4">
        <f t="shared" si="2"/>
        <v>-0.01178183553</v>
      </c>
    </row>
    <row r="377" ht="15.75" customHeight="1">
      <c r="B377" s="3" t="s">
        <v>226</v>
      </c>
      <c r="C377" s="2">
        <v>-947.706</v>
      </c>
      <c r="D377" s="2">
        <f t="shared" si="1"/>
        <v>126490.097</v>
      </c>
      <c r="E377" s="4">
        <f t="shared" si="2"/>
        <v>-0.00746440545</v>
      </c>
    </row>
    <row r="378" ht="15.75" customHeight="1">
      <c r="B378" s="3">
        <v>43472.0</v>
      </c>
      <c r="C378" s="2">
        <v>586.582</v>
      </c>
      <c r="D378" s="2">
        <f t="shared" si="1"/>
        <v>127076.679</v>
      </c>
      <c r="E378" s="4">
        <f t="shared" si="2"/>
        <v>0.004626655397</v>
      </c>
    </row>
    <row r="379" ht="15.75" customHeight="1">
      <c r="B379" s="3">
        <v>43503.0</v>
      </c>
      <c r="C379" s="2">
        <v>-88.664</v>
      </c>
      <c r="D379" s="2">
        <f t="shared" si="1"/>
        <v>126988.015</v>
      </c>
      <c r="E379" s="4">
        <f t="shared" si="2"/>
        <v>-0.0006979639886</v>
      </c>
    </row>
    <row r="380" ht="15.75" customHeight="1">
      <c r="B380" s="3">
        <v>43531.0</v>
      </c>
      <c r="C380" s="2">
        <v>370.525</v>
      </c>
      <c r="D380" s="2">
        <f t="shared" si="1"/>
        <v>127358.54</v>
      </c>
      <c r="E380" s="4">
        <f t="shared" si="2"/>
        <v>0.002913546536</v>
      </c>
    </row>
    <row r="381" ht="15.75" customHeight="1">
      <c r="B381" s="3">
        <v>43592.0</v>
      </c>
      <c r="C381" s="2">
        <v>373.456</v>
      </c>
      <c r="D381" s="2">
        <f t="shared" si="1"/>
        <v>127731.996</v>
      </c>
      <c r="E381" s="4">
        <f t="shared" si="2"/>
        <v>0.002928029183</v>
      </c>
    </row>
    <row r="382" ht="15.75" customHeight="1">
      <c r="B382" s="3">
        <v>43684.0</v>
      </c>
      <c r="C382" s="2">
        <v>1759.699</v>
      </c>
      <c r="D382" s="2">
        <f t="shared" si="1"/>
        <v>129491.695</v>
      </c>
      <c r="E382" s="4">
        <f t="shared" si="2"/>
        <v>0.01368246016</v>
      </c>
    </row>
    <row r="383" ht="15.75" customHeight="1">
      <c r="B383" s="3">
        <v>43715.0</v>
      </c>
      <c r="C383" s="2">
        <v>1706.685</v>
      </c>
      <c r="D383" s="2">
        <f t="shared" si="1"/>
        <v>131198.38</v>
      </c>
      <c r="E383" s="4">
        <f t="shared" si="2"/>
        <v>0.01309378106</v>
      </c>
    </row>
    <row r="384" ht="15.75" customHeight="1">
      <c r="B384" s="3">
        <v>43745.0</v>
      </c>
      <c r="C384" s="2">
        <v>-163.5</v>
      </c>
      <c r="D384" s="2">
        <f t="shared" si="1"/>
        <v>131034.88</v>
      </c>
      <c r="E384" s="4">
        <f t="shared" si="2"/>
        <v>-0.00124698157</v>
      </c>
    </row>
    <row r="385" ht="15.75" customHeight="1">
      <c r="B385" s="3">
        <v>43776.0</v>
      </c>
      <c r="C385" s="2">
        <v>29.862</v>
      </c>
      <c r="D385" s="2">
        <f t="shared" si="1"/>
        <v>131064.742</v>
      </c>
      <c r="E385" s="4">
        <f t="shared" si="2"/>
        <v>0.0002278675559</v>
      </c>
    </row>
    <row r="386" ht="15.75" customHeight="1">
      <c r="B386" s="3">
        <v>43806.0</v>
      </c>
      <c r="C386" s="2">
        <v>1107.405</v>
      </c>
      <c r="D386" s="2">
        <f t="shared" si="1"/>
        <v>132172.147</v>
      </c>
      <c r="E386" s="4">
        <f t="shared" si="2"/>
        <v>0.00841380201</v>
      </c>
    </row>
    <row r="387" ht="15.75" customHeight="1">
      <c r="B387" s="3" t="s">
        <v>227</v>
      </c>
      <c r="C387" s="2">
        <v>1548.652</v>
      </c>
      <c r="D387" s="2">
        <f t="shared" si="1"/>
        <v>133720.799</v>
      </c>
      <c r="E387" s="4">
        <f t="shared" si="2"/>
        <v>0.01164881984</v>
      </c>
    </row>
    <row r="388" ht="15.75" customHeight="1">
      <c r="B388" s="3" t="s">
        <v>228</v>
      </c>
      <c r="C388" s="2">
        <v>857.166</v>
      </c>
      <c r="D388" s="2">
        <f t="shared" si="1"/>
        <v>134577.965</v>
      </c>
      <c r="E388" s="4">
        <f t="shared" si="2"/>
        <v>0.006389659822</v>
      </c>
    </row>
    <row r="389" ht="15.75" customHeight="1">
      <c r="B389" s="3" t="s">
        <v>229</v>
      </c>
      <c r="C389" s="2">
        <v>734.379</v>
      </c>
      <c r="D389" s="2">
        <f t="shared" si="1"/>
        <v>135312.344</v>
      </c>
      <c r="E389" s="4">
        <f t="shared" si="2"/>
        <v>0.005442068781</v>
      </c>
    </row>
    <row r="390" ht="15.75" customHeight="1">
      <c r="B390" s="3" t="s">
        <v>230</v>
      </c>
      <c r="C390" s="2">
        <v>-297.796</v>
      </c>
      <c r="D390" s="2">
        <f t="shared" si="1"/>
        <v>135014.548</v>
      </c>
      <c r="E390" s="4">
        <f t="shared" si="2"/>
        <v>-0.002203229714</v>
      </c>
    </row>
    <row r="391" ht="15.75" customHeight="1">
      <c r="B391" s="3" t="s">
        <v>231</v>
      </c>
      <c r="C391" s="2">
        <v>-956.455</v>
      </c>
      <c r="D391" s="2">
        <f t="shared" si="1"/>
        <v>134058.093</v>
      </c>
      <c r="E391" s="4">
        <f t="shared" si="2"/>
        <v>-0.007109299741</v>
      </c>
    </row>
    <row r="392" ht="15.75" customHeight="1">
      <c r="B392" s="3" t="s">
        <v>232</v>
      </c>
      <c r="C392" s="2">
        <v>-1856.618</v>
      </c>
      <c r="D392" s="2">
        <f t="shared" si="1"/>
        <v>132201.475</v>
      </c>
      <c r="E392" s="4">
        <f t="shared" si="2"/>
        <v>-0.01394615116</v>
      </c>
    </row>
    <row r="393" ht="15.75" customHeight="1">
      <c r="B393" s="3" t="s">
        <v>233</v>
      </c>
      <c r="C393" s="2">
        <v>-1578.898</v>
      </c>
      <c r="D393" s="2">
        <f t="shared" si="1"/>
        <v>130622.577</v>
      </c>
      <c r="E393" s="4">
        <f t="shared" si="2"/>
        <v>-0.01201501143</v>
      </c>
    </row>
    <row r="394" ht="15.75" customHeight="1">
      <c r="B394" s="3" t="s">
        <v>234</v>
      </c>
      <c r="C394" s="2">
        <v>-749.872</v>
      </c>
      <c r="D394" s="2">
        <f t="shared" si="1"/>
        <v>129872.705</v>
      </c>
      <c r="E394" s="4">
        <f t="shared" si="2"/>
        <v>-0.005757294839</v>
      </c>
    </row>
    <row r="395" ht="15.75" customHeight="1">
      <c r="B395" s="3" t="s">
        <v>235</v>
      </c>
      <c r="C395" s="2">
        <v>241.093</v>
      </c>
      <c r="D395" s="2">
        <f t="shared" si="1"/>
        <v>130113.798</v>
      </c>
      <c r="E395" s="4">
        <f t="shared" si="2"/>
        <v>0.001854658348</v>
      </c>
    </row>
    <row r="396" ht="15.75" customHeight="1">
      <c r="B396" s="3" t="s">
        <v>236</v>
      </c>
      <c r="C396" s="2">
        <v>-164.881</v>
      </c>
      <c r="D396" s="2">
        <f t="shared" si="1"/>
        <v>129948.917</v>
      </c>
      <c r="E396" s="4">
        <f t="shared" si="2"/>
        <v>-0.001268009696</v>
      </c>
    </row>
    <row r="397" ht="15.75" customHeight="1">
      <c r="B397" s="3" t="s">
        <v>237</v>
      </c>
      <c r="C397" s="2">
        <v>1434.485</v>
      </c>
      <c r="D397" s="2">
        <f t="shared" si="1"/>
        <v>131383.402</v>
      </c>
      <c r="E397" s="4">
        <f t="shared" si="2"/>
        <v>0.0109783544</v>
      </c>
    </row>
    <row r="398" ht="15.75" customHeight="1">
      <c r="B398" s="3" t="s">
        <v>238</v>
      </c>
      <c r="C398" s="2">
        <v>527.641</v>
      </c>
      <c r="D398" s="2">
        <f t="shared" si="1"/>
        <v>131911.043</v>
      </c>
      <c r="E398" s="4">
        <f t="shared" si="2"/>
        <v>0.004007997254</v>
      </c>
    </row>
    <row r="399" ht="15.75" customHeight="1">
      <c r="B399" s="3" t="s">
        <v>239</v>
      </c>
      <c r="C399" s="2">
        <v>255.648</v>
      </c>
      <c r="D399" s="2">
        <f t="shared" si="1"/>
        <v>132166.691</v>
      </c>
      <c r="E399" s="4">
        <f t="shared" si="2"/>
        <v>0.001936157782</v>
      </c>
    </row>
    <row r="400" ht="15.75" customHeight="1">
      <c r="B400" s="3">
        <v>43473.0</v>
      </c>
      <c r="C400" s="2">
        <v>-1011.489</v>
      </c>
      <c r="D400" s="2">
        <f t="shared" si="1"/>
        <v>131155.202</v>
      </c>
      <c r="E400" s="4">
        <f t="shared" si="2"/>
        <v>-0.007682566485</v>
      </c>
    </row>
    <row r="401" ht="15.75" customHeight="1">
      <c r="B401" s="3">
        <v>43504.0</v>
      </c>
      <c r="C401" s="2">
        <v>-515.989</v>
      </c>
      <c r="D401" s="2">
        <f t="shared" si="1"/>
        <v>130639.213</v>
      </c>
      <c r="E401" s="4">
        <f t="shared" si="2"/>
        <v>-0.003941945577</v>
      </c>
    </row>
    <row r="402" ht="15.75" customHeight="1">
      <c r="B402" s="3">
        <v>43593.0</v>
      </c>
      <c r="C402" s="2">
        <v>-3132.213</v>
      </c>
      <c r="D402" s="2">
        <f t="shared" si="1"/>
        <v>127507</v>
      </c>
      <c r="E402" s="4">
        <f t="shared" si="2"/>
        <v>-0.0242681594</v>
      </c>
    </row>
    <row r="403" ht="15.75" customHeight="1">
      <c r="B403" s="3">
        <v>43624.0</v>
      </c>
      <c r="C403" s="2">
        <v>-5283.116</v>
      </c>
      <c r="D403" s="2">
        <f t="shared" si="1"/>
        <v>122223.884</v>
      </c>
      <c r="E403" s="4">
        <f t="shared" si="2"/>
        <v>-0.04231678733</v>
      </c>
    </row>
    <row r="404" ht="15.75" customHeight="1">
      <c r="B404" s="3">
        <v>43654.0</v>
      </c>
      <c r="C404" s="2">
        <v>-3438.645</v>
      </c>
      <c r="D404" s="2">
        <f t="shared" si="1"/>
        <v>118785.239</v>
      </c>
      <c r="E404" s="4">
        <f t="shared" si="2"/>
        <v>-0.02853732935</v>
      </c>
    </row>
    <row r="405" ht="15.75" customHeight="1">
      <c r="B405" s="3">
        <v>43685.0</v>
      </c>
      <c r="C405" s="2">
        <v>1655.886</v>
      </c>
      <c r="D405" s="2">
        <f t="shared" si="1"/>
        <v>120441.125</v>
      </c>
      <c r="E405" s="4">
        <f t="shared" si="2"/>
        <v>0.01384389595</v>
      </c>
    </row>
    <row r="406" ht="15.75" customHeight="1">
      <c r="B406" s="3">
        <v>43716.0</v>
      </c>
      <c r="C406" s="2">
        <v>895.02</v>
      </c>
      <c r="D406" s="2">
        <f t="shared" si="1"/>
        <v>121336.145</v>
      </c>
      <c r="E406" s="4">
        <f t="shared" si="2"/>
        <v>0.007403707457</v>
      </c>
    </row>
    <row r="407" ht="15.75" customHeight="1">
      <c r="B407" s="3">
        <v>43807.0</v>
      </c>
      <c r="C407" s="2">
        <v>1020.446</v>
      </c>
      <c r="D407" s="2">
        <f t="shared" si="1"/>
        <v>122356.591</v>
      </c>
      <c r="E407" s="4">
        <f t="shared" si="2"/>
        <v>0.008374906706</v>
      </c>
    </row>
    <row r="408" ht="15.75" customHeight="1">
      <c r="B408" s="3" t="s">
        <v>240</v>
      </c>
      <c r="C408" s="2">
        <v>-691.502</v>
      </c>
      <c r="D408" s="2">
        <f t="shared" si="1"/>
        <v>121665.089</v>
      </c>
      <c r="E408" s="4">
        <f t="shared" si="2"/>
        <v>-0.005667560776</v>
      </c>
    </row>
    <row r="409" ht="15.75" customHeight="1">
      <c r="B409" s="3" t="s">
        <v>241</v>
      </c>
      <c r="C409" s="2">
        <v>3172.335</v>
      </c>
      <c r="D409" s="2">
        <f t="shared" si="1"/>
        <v>124837.424</v>
      </c>
      <c r="E409" s="4">
        <f t="shared" si="2"/>
        <v>0.02574018507</v>
      </c>
    </row>
    <row r="410" ht="15.75" customHeight="1">
      <c r="B410" s="3" t="s">
        <v>242</v>
      </c>
      <c r="C410" s="2">
        <v>-2399.104</v>
      </c>
      <c r="D410" s="2">
        <f t="shared" si="1"/>
        <v>122438.32</v>
      </c>
      <c r="E410" s="4">
        <f t="shared" si="2"/>
        <v>-0.0194048898</v>
      </c>
    </row>
    <row r="411" ht="15.75" customHeight="1">
      <c r="B411" s="3" t="s">
        <v>243</v>
      </c>
      <c r="C411" s="2">
        <v>-2334.287</v>
      </c>
      <c r="D411" s="2">
        <f t="shared" si="1"/>
        <v>120104.033</v>
      </c>
      <c r="E411" s="4">
        <f t="shared" si="2"/>
        <v>-0.01924908411</v>
      </c>
    </row>
    <row r="412" ht="15.75" customHeight="1">
      <c r="B412" s="3" t="s">
        <v>244</v>
      </c>
      <c r="C412" s="2">
        <v>592.06</v>
      </c>
      <c r="D412" s="2">
        <f t="shared" si="1"/>
        <v>120696.093</v>
      </c>
      <c r="E412" s="4">
        <f t="shared" si="2"/>
        <v>0.004917449197</v>
      </c>
    </row>
    <row r="413" ht="15.75" customHeight="1">
      <c r="B413" s="3" t="s">
        <v>245</v>
      </c>
      <c r="C413" s="2">
        <v>1008.475</v>
      </c>
      <c r="D413" s="2">
        <f t="shared" si="1"/>
        <v>121704.568</v>
      </c>
      <c r="E413" s="4">
        <f t="shared" si="2"/>
        <v>0.008320776143</v>
      </c>
    </row>
    <row r="414" ht="15.75" customHeight="1">
      <c r="B414" s="3" t="s">
        <v>246</v>
      </c>
      <c r="C414" s="2">
        <v>-72.506</v>
      </c>
      <c r="D414" s="2">
        <f t="shared" si="1"/>
        <v>121632.062</v>
      </c>
      <c r="E414" s="4">
        <f t="shared" si="2"/>
        <v>-0.00059593167</v>
      </c>
    </row>
    <row r="415" ht="15.75" customHeight="1">
      <c r="B415" s="3" t="s">
        <v>247</v>
      </c>
      <c r="C415" s="2">
        <v>-570.222</v>
      </c>
      <c r="D415" s="2">
        <f t="shared" si="1"/>
        <v>121061.84</v>
      </c>
      <c r="E415" s="4">
        <f t="shared" si="2"/>
        <v>-0.004699113118</v>
      </c>
    </row>
    <row r="416" ht="15.75" customHeight="1">
      <c r="B416" s="3" t="s">
        <v>248</v>
      </c>
      <c r="C416" s="2">
        <v>160.755</v>
      </c>
      <c r="D416" s="2">
        <f t="shared" si="1"/>
        <v>121222.595</v>
      </c>
      <c r="E416" s="4">
        <f t="shared" si="2"/>
        <v>0.00132699423</v>
      </c>
    </row>
    <row r="417" ht="15.75" customHeight="1">
      <c r="B417" s="3" t="s">
        <v>249</v>
      </c>
      <c r="C417" s="2">
        <v>-540.97</v>
      </c>
      <c r="D417" s="2">
        <f t="shared" si="1"/>
        <v>120681.625</v>
      </c>
      <c r="E417" s="4">
        <f t="shared" si="2"/>
        <v>-0.004472604089</v>
      </c>
    </row>
    <row r="418" ht="15.75" customHeight="1">
      <c r="B418" s="3" t="s">
        <v>250</v>
      </c>
      <c r="C418" s="2">
        <v>115.149</v>
      </c>
      <c r="D418" s="2">
        <f t="shared" si="1"/>
        <v>120796.774</v>
      </c>
      <c r="E418" s="4">
        <f t="shared" si="2"/>
        <v>0.000953700283</v>
      </c>
    </row>
    <row r="419" ht="15.75" customHeight="1">
      <c r="B419" s="3" t="s">
        <v>251</v>
      </c>
      <c r="C419" s="2">
        <v>516.517</v>
      </c>
      <c r="D419" s="2">
        <f t="shared" si="1"/>
        <v>121313.291</v>
      </c>
      <c r="E419" s="4">
        <f t="shared" si="2"/>
        <v>0.004266801412</v>
      </c>
    </row>
    <row r="420" ht="15.75" customHeight="1">
      <c r="B420" s="3" t="s">
        <v>252</v>
      </c>
      <c r="C420" s="2">
        <v>-129.976</v>
      </c>
      <c r="D420" s="2">
        <f t="shared" si="1"/>
        <v>121183.315</v>
      </c>
      <c r="E420" s="4">
        <f t="shared" si="2"/>
        <v>-0.001071982116</v>
      </c>
    </row>
    <row r="421" ht="15.75" customHeight="1">
      <c r="B421" s="3" t="s">
        <v>253</v>
      </c>
      <c r="C421" s="2">
        <v>453.432</v>
      </c>
      <c r="D421" s="2">
        <f t="shared" si="1"/>
        <v>121636.747</v>
      </c>
      <c r="E421" s="4">
        <f t="shared" si="2"/>
        <v>0.003734720462</v>
      </c>
    </row>
    <row r="422" ht="15.75" customHeight="1">
      <c r="B422" s="3">
        <v>43533.0</v>
      </c>
      <c r="C422" s="2">
        <v>-190.295</v>
      </c>
      <c r="D422" s="2">
        <f t="shared" si="1"/>
        <v>121446.452</v>
      </c>
      <c r="E422" s="4">
        <f t="shared" si="2"/>
        <v>-0.001565678251</v>
      </c>
    </row>
    <row r="423" ht="15.75" customHeight="1">
      <c r="B423" s="3">
        <v>43564.0</v>
      </c>
      <c r="C423" s="2">
        <v>-1468.379</v>
      </c>
      <c r="D423" s="2">
        <f t="shared" si="1"/>
        <v>119978.073</v>
      </c>
      <c r="E423" s="4">
        <f t="shared" si="2"/>
        <v>-0.01216444027</v>
      </c>
    </row>
    <row r="424" ht="15.75" customHeight="1">
      <c r="B424" s="3">
        <v>43594.0</v>
      </c>
      <c r="C424" s="2">
        <v>661.35</v>
      </c>
      <c r="D424" s="2">
        <f t="shared" si="1"/>
        <v>120639.423</v>
      </c>
      <c r="E424" s="4">
        <f t="shared" si="2"/>
        <v>0.005497120337</v>
      </c>
    </row>
    <row r="425" ht="15.75" customHeight="1">
      <c r="B425" s="3">
        <v>43625.0</v>
      </c>
      <c r="C425" s="2">
        <v>1355.039</v>
      </c>
      <c r="D425" s="2">
        <f t="shared" si="1"/>
        <v>121994.462</v>
      </c>
      <c r="E425" s="4">
        <f t="shared" si="2"/>
        <v>0.01116952884</v>
      </c>
    </row>
    <row r="426" ht="15.75" customHeight="1">
      <c r="B426" s="3">
        <v>43717.0</v>
      </c>
      <c r="C426" s="2">
        <v>953.889</v>
      </c>
      <c r="D426" s="2">
        <f t="shared" si="1"/>
        <v>122948.351</v>
      </c>
      <c r="E426" s="4">
        <f t="shared" si="2"/>
        <v>0.007788706356</v>
      </c>
    </row>
    <row r="427" ht="15.75" customHeight="1">
      <c r="B427" s="3">
        <v>43747.0</v>
      </c>
      <c r="C427" s="2">
        <v>3562.122</v>
      </c>
      <c r="D427" s="2">
        <f t="shared" si="1"/>
        <v>126510.473</v>
      </c>
      <c r="E427" s="4">
        <f t="shared" si="2"/>
        <v>0.02856073864</v>
      </c>
    </row>
    <row r="428" ht="15.75" customHeight="1">
      <c r="B428" s="3">
        <v>43778.0</v>
      </c>
      <c r="C428" s="2">
        <v>1148.059</v>
      </c>
      <c r="D428" s="2">
        <f t="shared" si="1"/>
        <v>127658.532</v>
      </c>
      <c r="E428" s="4">
        <f t="shared" si="2"/>
        <v>0.009033885212</v>
      </c>
    </row>
    <row r="429" ht="15.75" customHeight="1">
      <c r="B429" s="3">
        <v>43808.0</v>
      </c>
      <c r="C429" s="2">
        <v>285.341</v>
      </c>
      <c r="D429" s="2">
        <f t="shared" si="1"/>
        <v>127943.873</v>
      </c>
      <c r="E429" s="4">
        <f t="shared" si="2"/>
        <v>0.0022326951</v>
      </c>
    </row>
    <row r="430" ht="15.75" customHeight="1">
      <c r="B430" s="3" t="s">
        <v>254</v>
      </c>
      <c r="C430" s="2">
        <v>135.569</v>
      </c>
      <c r="D430" s="2">
        <f t="shared" si="1"/>
        <v>128079.442</v>
      </c>
      <c r="E430" s="4">
        <f t="shared" si="2"/>
        <v>0.001059036461</v>
      </c>
    </row>
    <row r="431" ht="15.75" customHeight="1">
      <c r="B431" s="3" t="s">
        <v>255</v>
      </c>
      <c r="C431" s="2">
        <v>5525.725</v>
      </c>
      <c r="D431" s="2">
        <f t="shared" si="1"/>
        <v>133605.167</v>
      </c>
      <c r="E431" s="4">
        <f t="shared" si="2"/>
        <v>0.04223822348</v>
      </c>
    </row>
    <row r="432" ht="15.75" customHeight="1">
      <c r="B432" s="3" t="s">
        <v>256</v>
      </c>
      <c r="C432" s="2">
        <v>-6154.035</v>
      </c>
      <c r="D432" s="2">
        <f t="shared" si="1"/>
        <v>127451.132</v>
      </c>
      <c r="E432" s="4">
        <f t="shared" si="2"/>
        <v>-0.04715592281</v>
      </c>
    </row>
    <row r="433" ht="15.75" customHeight="1">
      <c r="B433" s="3" t="s">
        <v>257</v>
      </c>
      <c r="C433" s="2">
        <v>-30.097</v>
      </c>
      <c r="D433" s="2">
        <f t="shared" si="1"/>
        <v>127421.035</v>
      </c>
      <c r="E433" s="4">
        <f t="shared" si="2"/>
        <v>-0.0002361732981</v>
      </c>
    </row>
    <row r="434" ht="15.75" customHeight="1">
      <c r="B434" s="3" t="s">
        <v>258</v>
      </c>
      <c r="C434" s="2">
        <v>1866.652</v>
      </c>
      <c r="D434" s="2">
        <f t="shared" si="1"/>
        <v>129287.687</v>
      </c>
      <c r="E434" s="4">
        <f t="shared" si="2"/>
        <v>0.01454321369</v>
      </c>
    </row>
    <row r="435" ht="15.75" customHeight="1">
      <c r="B435" s="3" t="s">
        <v>259</v>
      </c>
      <c r="C435" s="2">
        <v>-4335.78</v>
      </c>
      <c r="D435" s="2">
        <f t="shared" si="1"/>
        <v>124951.907</v>
      </c>
      <c r="E435" s="4">
        <f t="shared" si="2"/>
        <v>-0.03411113382</v>
      </c>
    </row>
    <row r="436" ht="15.75" customHeight="1">
      <c r="B436" s="3" t="s">
        <v>260</v>
      </c>
      <c r="C436" s="2">
        <v>-14.913</v>
      </c>
      <c r="D436" s="2">
        <f t="shared" si="1"/>
        <v>124936.994</v>
      </c>
      <c r="E436" s="4">
        <f t="shared" si="2"/>
        <v>-0.0001193570419</v>
      </c>
    </row>
    <row r="437" ht="15.75" customHeight="1">
      <c r="B437" s="3" t="s">
        <v>261</v>
      </c>
      <c r="C437" s="2">
        <v>2430.561</v>
      </c>
      <c r="D437" s="2">
        <f t="shared" si="1"/>
        <v>127367.555</v>
      </c>
      <c r="E437" s="4">
        <f t="shared" si="2"/>
        <v>0.01926747815</v>
      </c>
    </row>
    <row r="438" ht="15.75" customHeight="1">
      <c r="B438" s="3" t="s">
        <v>262</v>
      </c>
      <c r="C438" s="2">
        <v>2617.301</v>
      </c>
      <c r="D438" s="2">
        <f t="shared" si="1"/>
        <v>129984.856</v>
      </c>
      <c r="E438" s="4">
        <f t="shared" si="2"/>
        <v>0.02034091099</v>
      </c>
    </row>
    <row r="439" ht="15.75" customHeight="1">
      <c r="B439" s="3" t="s">
        <v>263</v>
      </c>
      <c r="C439" s="2">
        <v>1413.421</v>
      </c>
      <c r="D439" s="2">
        <f t="shared" si="1"/>
        <v>131398.277</v>
      </c>
      <c r="E439" s="4">
        <f t="shared" si="2"/>
        <v>0.01081504197</v>
      </c>
    </row>
    <row r="440" ht="15.75" customHeight="1">
      <c r="B440" s="3" t="s">
        <v>264</v>
      </c>
      <c r="C440" s="2">
        <v>-282.013</v>
      </c>
      <c r="D440" s="2">
        <f t="shared" si="1"/>
        <v>131116.264</v>
      </c>
      <c r="E440" s="4">
        <f t="shared" si="2"/>
        <v>-0.002148552285</v>
      </c>
    </row>
    <row r="441" ht="15.75" customHeight="1">
      <c r="B441" s="3" t="s">
        <v>265</v>
      </c>
      <c r="C441" s="2">
        <v>-1771.915</v>
      </c>
      <c r="D441" s="2">
        <f t="shared" si="1"/>
        <v>129344.349</v>
      </c>
      <c r="E441" s="4">
        <f t="shared" si="2"/>
        <v>-0.01360622104</v>
      </c>
    </row>
    <row r="442" ht="15.75" customHeight="1">
      <c r="B442" s="3">
        <v>43475.0</v>
      </c>
      <c r="C442" s="2">
        <v>727.217</v>
      </c>
      <c r="D442" s="2">
        <f t="shared" si="1"/>
        <v>130071.566</v>
      </c>
      <c r="E442" s="4">
        <f t="shared" si="2"/>
        <v>0.005606586666</v>
      </c>
    </row>
    <row r="443" ht="15.75" customHeight="1">
      <c r="B443" s="3">
        <v>43506.0</v>
      </c>
      <c r="C443" s="2">
        <v>58.639</v>
      </c>
      <c r="D443" s="2">
        <f t="shared" si="1"/>
        <v>130130.205</v>
      </c>
      <c r="E443" s="4">
        <f t="shared" si="2"/>
        <v>0.000450719461</v>
      </c>
    </row>
    <row r="444" ht="15.75" customHeight="1">
      <c r="B444" s="3">
        <v>43534.0</v>
      </c>
      <c r="C444" s="2">
        <v>-3181.788</v>
      </c>
      <c r="D444" s="2">
        <f t="shared" si="1"/>
        <v>126948.417</v>
      </c>
      <c r="E444" s="4">
        <f t="shared" si="2"/>
        <v>-0.02475468754</v>
      </c>
    </row>
    <row r="445" ht="15.75" customHeight="1">
      <c r="B445" s="3">
        <v>43565.0</v>
      </c>
      <c r="C445" s="2">
        <v>-2641.832</v>
      </c>
      <c r="D445" s="2">
        <f t="shared" si="1"/>
        <v>124306.585</v>
      </c>
      <c r="E445" s="4">
        <f t="shared" si="2"/>
        <v>-0.02102986481</v>
      </c>
    </row>
    <row r="446" ht="15.75" customHeight="1">
      <c r="B446" s="3">
        <v>43656.0</v>
      </c>
      <c r="C446" s="2">
        <v>1604.68</v>
      </c>
      <c r="D446" s="2">
        <f t="shared" si="1"/>
        <v>125911.265</v>
      </c>
      <c r="E446" s="4">
        <f t="shared" si="2"/>
        <v>0.01282643904</v>
      </c>
    </row>
    <row r="447" ht="15.75" customHeight="1">
      <c r="B447" s="3">
        <v>43687.0</v>
      </c>
      <c r="C447" s="2">
        <v>952.637</v>
      </c>
      <c r="D447" s="2">
        <f t="shared" si="1"/>
        <v>126863.902</v>
      </c>
      <c r="E447" s="4">
        <f t="shared" si="2"/>
        <v>0.007537461227</v>
      </c>
    </row>
    <row r="448" ht="15.75" customHeight="1">
      <c r="B448" s="3">
        <v>43718.0</v>
      </c>
      <c r="C448" s="2">
        <v>-1529.399</v>
      </c>
      <c r="D448" s="2">
        <f t="shared" si="1"/>
        <v>125334.503</v>
      </c>
      <c r="E448" s="4">
        <f t="shared" si="2"/>
        <v>-0.01212868692</v>
      </c>
    </row>
    <row r="449" ht="15.75" customHeight="1">
      <c r="B449" s="3">
        <v>43748.0</v>
      </c>
      <c r="C449" s="2">
        <v>524.31</v>
      </c>
      <c r="D449" s="2">
        <f t="shared" si="1"/>
        <v>125858.813</v>
      </c>
      <c r="E449" s="4">
        <f t="shared" si="2"/>
        <v>0.004174559815</v>
      </c>
    </row>
    <row r="450" ht="15.75" customHeight="1">
      <c r="B450" s="3">
        <v>43779.0</v>
      </c>
      <c r="C450" s="2">
        <v>586.314</v>
      </c>
      <c r="D450" s="2">
        <f t="shared" si="1"/>
        <v>126445.127</v>
      </c>
      <c r="E450" s="4">
        <f t="shared" si="2"/>
        <v>0.004647688462</v>
      </c>
    </row>
    <row r="451" ht="15.75" customHeight="1">
      <c r="B451" s="3" t="s">
        <v>266</v>
      </c>
      <c r="C451" s="2">
        <v>2045.076</v>
      </c>
      <c r="D451" s="2">
        <f t="shared" si="1"/>
        <v>128490.203</v>
      </c>
      <c r="E451" s="4">
        <f t="shared" si="2"/>
        <v>0.01604422478</v>
      </c>
    </row>
    <row r="452" ht="15.75" customHeight="1">
      <c r="B452" s="3" t="s">
        <v>267</v>
      </c>
      <c r="C452" s="2">
        <v>-562.355</v>
      </c>
      <c r="D452" s="2">
        <f t="shared" si="1"/>
        <v>127927.848</v>
      </c>
      <c r="E452" s="4">
        <f t="shared" si="2"/>
        <v>-0.004386242696</v>
      </c>
    </row>
    <row r="453" ht="15.75" customHeight="1">
      <c r="B453" s="3" t="s">
        <v>268</v>
      </c>
      <c r="C453" s="2">
        <v>553.005</v>
      </c>
      <c r="D453" s="2">
        <f t="shared" si="1"/>
        <v>128480.853</v>
      </c>
      <c r="E453" s="4">
        <f t="shared" si="2"/>
        <v>0.004313471854</v>
      </c>
    </row>
    <row r="454" ht="15.75" customHeight="1">
      <c r="B454" s="3" t="s">
        <v>269</v>
      </c>
      <c r="C454" s="2">
        <v>-581.77</v>
      </c>
      <c r="D454" s="2">
        <f t="shared" si="1"/>
        <v>127899.083</v>
      </c>
      <c r="E454" s="4">
        <f t="shared" si="2"/>
        <v>-0.004538350447</v>
      </c>
    </row>
    <row r="455" ht="15.75" customHeight="1">
      <c r="B455" s="3" t="s">
        <v>270</v>
      </c>
      <c r="C455" s="2">
        <v>-284.229</v>
      </c>
      <c r="D455" s="2">
        <f t="shared" si="1"/>
        <v>127614.854</v>
      </c>
      <c r="E455" s="4">
        <f t="shared" si="2"/>
        <v>-0.002224764101</v>
      </c>
    </row>
    <row r="456" ht="15.75" customHeight="1">
      <c r="B456" s="3" t="s">
        <v>271</v>
      </c>
      <c r="C456" s="2">
        <v>-2279.865</v>
      </c>
      <c r="D456" s="2">
        <f t="shared" si="1"/>
        <v>125334.989</v>
      </c>
      <c r="E456" s="4">
        <f t="shared" si="2"/>
        <v>-0.01802671005</v>
      </c>
    </row>
    <row r="457" ht="15.75" customHeight="1">
      <c r="B457" s="3" t="s">
        <v>272</v>
      </c>
      <c r="C457" s="2">
        <v>930.238</v>
      </c>
      <c r="D457" s="2">
        <f t="shared" si="1"/>
        <v>126265.227</v>
      </c>
      <c r="E457" s="4">
        <f t="shared" si="2"/>
        <v>0.007394606043</v>
      </c>
    </row>
    <row r="458" ht="15.75" customHeight="1">
      <c r="B458" s="3" t="s">
        <v>273</v>
      </c>
      <c r="C458" s="2">
        <v>2167.86</v>
      </c>
      <c r="D458" s="2">
        <f t="shared" si="1"/>
        <v>128433.087</v>
      </c>
      <c r="E458" s="4">
        <f t="shared" si="2"/>
        <v>0.01702337419</v>
      </c>
    </row>
    <row r="459" ht="15.75" customHeight="1">
      <c r="B459" s="3" t="s">
        <v>274</v>
      </c>
      <c r="C459" s="2">
        <v>-644.732</v>
      </c>
      <c r="D459" s="2">
        <f t="shared" si="1"/>
        <v>127788.355</v>
      </c>
      <c r="E459" s="4">
        <f t="shared" si="2"/>
        <v>-0.00503262612</v>
      </c>
    </row>
    <row r="460" ht="15.75" customHeight="1">
      <c r="B460" s="3" t="s">
        <v>275</v>
      </c>
      <c r="C460" s="2">
        <v>510.767</v>
      </c>
      <c r="D460" s="2">
        <f t="shared" si="1"/>
        <v>128299.122</v>
      </c>
      <c r="E460" s="4">
        <f t="shared" si="2"/>
        <v>0.003989009406</v>
      </c>
    </row>
    <row r="461" ht="15.75" customHeight="1">
      <c r="B461" s="3" t="s">
        <v>276</v>
      </c>
      <c r="C461" s="2">
        <v>-1191.627</v>
      </c>
      <c r="D461" s="2">
        <f t="shared" si="1"/>
        <v>127107.495</v>
      </c>
      <c r="E461" s="4">
        <f t="shared" si="2"/>
        <v>-0.00933128249</v>
      </c>
    </row>
    <row r="462" ht="15.75" customHeight="1">
      <c r="B462" s="3" t="s">
        <v>277</v>
      </c>
      <c r="C462" s="2">
        <v>530.88</v>
      </c>
      <c r="D462" s="2">
        <f t="shared" si="1"/>
        <v>127638.375</v>
      </c>
      <c r="E462" s="4">
        <f t="shared" si="2"/>
        <v>0.004167924438</v>
      </c>
    </row>
    <row r="463" ht="15.75" customHeight="1">
      <c r="B463" s="3" t="s">
        <v>278</v>
      </c>
      <c r="C463" s="2">
        <v>-1682.259</v>
      </c>
      <c r="D463" s="2">
        <f t="shared" si="1"/>
        <v>125956.116</v>
      </c>
      <c r="E463" s="4">
        <f t="shared" si="2"/>
        <v>-0.01326750964</v>
      </c>
    </row>
    <row r="464" ht="15.75" customHeight="1">
      <c r="B464" s="3" t="s">
        <v>279</v>
      </c>
      <c r="C464" s="2">
        <v>-547.414</v>
      </c>
      <c r="D464" s="2">
        <f t="shared" si="1"/>
        <v>125408.702</v>
      </c>
      <c r="E464" s="4">
        <f t="shared" si="2"/>
        <v>-0.004355540841</v>
      </c>
    </row>
    <row r="465" ht="15.75" customHeight="1">
      <c r="B465" s="3">
        <v>43476.0</v>
      </c>
      <c r="C465" s="2">
        <v>-712.566</v>
      </c>
      <c r="D465" s="2">
        <f t="shared" si="1"/>
        <v>124696.136</v>
      </c>
      <c r="E465" s="4">
        <f t="shared" si="2"/>
        <v>-0.005698153892</v>
      </c>
    </row>
    <row r="466" ht="15.75" customHeight="1">
      <c r="B466" s="3">
        <v>43566.0</v>
      </c>
      <c r="C466" s="2">
        <v>2097.271</v>
      </c>
      <c r="D466" s="2">
        <f t="shared" si="1"/>
        <v>126793.407</v>
      </c>
      <c r="E466" s="4">
        <f t="shared" si="2"/>
        <v>0.01667917954</v>
      </c>
    </row>
    <row r="467" ht="15.75" customHeight="1">
      <c r="B467" s="3">
        <v>43596.0</v>
      </c>
      <c r="C467" s="2">
        <v>-322.673</v>
      </c>
      <c r="D467" s="2">
        <f t="shared" si="1"/>
        <v>126470.734</v>
      </c>
      <c r="E467" s="4">
        <f t="shared" si="2"/>
        <v>-0.00254811576</v>
      </c>
    </row>
    <row r="468" ht="15.75" customHeight="1">
      <c r="B468" s="3">
        <v>43627.0</v>
      </c>
      <c r="C468" s="2">
        <v>675.28</v>
      </c>
      <c r="D468" s="2">
        <f t="shared" si="1"/>
        <v>127146.014</v>
      </c>
      <c r="E468" s="4">
        <f t="shared" si="2"/>
        <v>0.005325212953</v>
      </c>
    </row>
    <row r="469" ht="15.75" customHeight="1">
      <c r="B469" s="3">
        <v>43657.0</v>
      </c>
      <c r="C469" s="2">
        <v>-568.287</v>
      </c>
      <c r="D469" s="2">
        <f t="shared" si="1"/>
        <v>126577.727</v>
      </c>
      <c r="E469" s="4">
        <f t="shared" si="2"/>
        <v>-0.004479580413</v>
      </c>
    </row>
    <row r="470" ht="15.75" customHeight="1">
      <c r="B470" s="3">
        <v>43688.0</v>
      </c>
      <c r="C470" s="2">
        <v>-1171.025</v>
      </c>
      <c r="D470" s="2">
        <f t="shared" si="1"/>
        <v>125406.702</v>
      </c>
      <c r="E470" s="4">
        <f t="shared" si="2"/>
        <v>-0.009294490416</v>
      </c>
    </row>
    <row r="471" ht="15.75" customHeight="1">
      <c r="B471" s="3">
        <v>43780.0</v>
      </c>
      <c r="C471" s="2">
        <v>648.913</v>
      </c>
      <c r="D471" s="2">
        <f t="shared" si="1"/>
        <v>126055.615</v>
      </c>
      <c r="E471" s="4">
        <f t="shared" si="2"/>
        <v>0.00516112671</v>
      </c>
    </row>
    <row r="472" ht="15.75" customHeight="1">
      <c r="B472" s="3">
        <v>43810.0</v>
      </c>
      <c r="C472" s="2">
        <v>-971.458</v>
      </c>
      <c r="D472" s="2">
        <f t="shared" si="1"/>
        <v>125084.157</v>
      </c>
      <c r="E472" s="4">
        <f t="shared" si="2"/>
        <v>-0.00773643169</v>
      </c>
    </row>
    <row r="473" ht="15.75" customHeight="1">
      <c r="B473" s="3" t="s">
        <v>280</v>
      </c>
      <c r="C473" s="2">
        <v>-556.015</v>
      </c>
      <c r="D473" s="2">
        <f t="shared" si="1"/>
        <v>124528.142</v>
      </c>
      <c r="E473" s="4">
        <f t="shared" si="2"/>
        <v>-0.004455036245</v>
      </c>
    </row>
    <row r="474" ht="15.75" customHeight="1">
      <c r="B474" s="3" t="s">
        <v>281</v>
      </c>
      <c r="C474" s="2">
        <v>139.107</v>
      </c>
      <c r="D474" s="2">
        <f t="shared" si="1"/>
        <v>124667.249</v>
      </c>
      <c r="E474" s="4">
        <f t="shared" si="2"/>
        <v>0.001116449336</v>
      </c>
    </row>
    <row r="475" ht="15.75" customHeight="1">
      <c r="B475" s="3" t="s">
        <v>282</v>
      </c>
      <c r="C475" s="2">
        <v>-1980.558</v>
      </c>
      <c r="D475" s="2">
        <f t="shared" si="1"/>
        <v>122686.691</v>
      </c>
      <c r="E475" s="4">
        <f t="shared" si="2"/>
        <v>-0.01601430183</v>
      </c>
    </row>
    <row r="476" ht="15.75" customHeight="1">
      <c r="B476" s="3" t="s">
        <v>283</v>
      </c>
      <c r="C476" s="2">
        <v>-748.538</v>
      </c>
      <c r="D476" s="2">
        <f t="shared" si="1"/>
        <v>121938.153</v>
      </c>
      <c r="E476" s="4">
        <f t="shared" si="2"/>
        <v>-0.006119904455</v>
      </c>
    </row>
    <row r="477" ht="15.75" customHeight="1">
      <c r="B477" s="3" t="s">
        <v>284</v>
      </c>
      <c r="C477" s="2">
        <v>-62.41</v>
      </c>
      <c r="D477" s="2">
        <f t="shared" si="1"/>
        <v>121875.743</v>
      </c>
      <c r="E477" s="4">
        <f t="shared" si="2"/>
        <v>-0.0005119478618</v>
      </c>
    </row>
    <row r="478" ht="15.75" customHeight="1">
      <c r="B478" s="3" t="s">
        <v>285</v>
      </c>
      <c r="C478" s="2">
        <v>779.713</v>
      </c>
      <c r="D478" s="2">
        <f t="shared" si="1"/>
        <v>122655.456</v>
      </c>
      <c r="E478" s="4">
        <f t="shared" si="2"/>
        <v>0.00637722831</v>
      </c>
    </row>
    <row r="479" ht="15.75" customHeight="1">
      <c r="B479" s="3" t="s">
        <v>286</v>
      </c>
      <c r="C479" s="2">
        <v>1103.256</v>
      </c>
      <c r="D479" s="2">
        <f t="shared" si="1"/>
        <v>123758.712</v>
      </c>
      <c r="E479" s="4">
        <f t="shared" si="2"/>
        <v>0.008954544951</v>
      </c>
    </row>
    <row r="480" ht="15.75" customHeight="1">
      <c r="B480" s="3" t="s">
        <v>287</v>
      </c>
      <c r="C480" s="2">
        <v>915.407</v>
      </c>
      <c r="D480" s="2">
        <f t="shared" si="1"/>
        <v>124674.119</v>
      </c>
      <c r="E480" s="4">
        <f t="shared" si="2"/>
        <v>0.007369486064</v>
      </c>
    </row>
    <row r="481" ht="15.75" customHeight="1">
      <c r="B481" s="3" t="s">
        <v>288</v>
      </c>
      <c r="C481" s="2">
        <v>699.708</v>
      </c>
      <c r="D481" s="2">
        <f t="shared" si="1"/>
        <v>125373.827</v>
      </c>
      <c r="E481" s="4">
        <f t="shared" si="2"/>
        <v>0.005596605271</v>
      </c>
    </row>
    <row r="482" ht="15.75" customHeight="1">
      <c r="B482" s="3" t="s">
        <v>289</v>
      </c>
      <c r="C482" s="2">
        <v>1707.733</v>
      </c>
      <c r="D482" s="2">
        <f t="shared" si="1"/>
        <v>127081.56</v>
      </c>
      <c r="E482" s="4">
        <f t="shared" si="2"/>
        <v>0.01352919475</v>
      </c>
    </row>
    <row r="483" ht="15.75" customHeight="1">
      <c r="B483" s="3" t="s">
        <v>290</v>
      </c>
      <c r="C483" s="2">
        <v>-314.038</v>
      </c>
      <c r="D483" s="2">
        <f t="shared" si="1"/>
        <v>126767.522</v>
      </c>
      <c r="E483" s="4">
        <f t="shared" si="2"/>
        <v>-0.00247421151</v>
      </c>
    </row>
    <row r="484" ht="15.75" customHeight="1">
      <c r="B484" s="3" t="s">
        <v>291</v>
      </c>
      <c r="C484" s="2">
        <v>2601.892</v>
      </c>
      <c r="D484" s="2">
        <f t="shared" si="1"/>
        <v>129369.414</v>
      </c>
      <c r="E484" s="4">
        <f t="shared" si="2"/>
        <v>0.02031711273</v>
      </c>
    </row>
    <row r="485" ht="15.75" customHeight="1">
      <c r="B485" s="3">
        <v>43508.0</v>
      </c>
      <c r="C485" s="2">
        <v>1963.67</v>
      </c>
      <c r="D485" s="2">
        <f t="shared" si="1"/>
        <v>131333.084</v>
      </c>
      <c r="E485" s="4">
        <f t="shared" si="2"/>
        <v>0.01506473587</v>
      </c>
    </row>
    <row r="486" ht="15.75" customHeight="1">
      <c r="B486" s="3">
        <v>43536.0</v>
      </c>
      <c r="C486" s="2">
        <v>2834.596</v>
      </c>
      <c r="D486" s="2">
        <f t="shared" si="1"/>
        <v>134167.68</v>
      </c>
      <c r="E486" s="4">
        <f t="shared" si="2"/>
        <v>0.02135363881</v>
      </c>
    </row>
    <row r="487" ht="15.75" customHeight="1">
      <c r="B487" s="3">
        <v>43567.0</v>
      </c>
      <c r="C487" s="2">
        <v>-1346.074</v>
      </c>
      <c r="D487" s="2">
        <f t="shared" si="1"/>
        <v>132821.606</v>
      </c>
      <c r="E487" s="4">
        <f t="shared" si="2"/>
        <v>-0.01008344137</v>
      </c>
    </row>
    <row r="488" ht="15.75" customHeight="1">
      <c r="B488" s="3">
        <v>43597.0</v>
      </c>
      <c r="C488" s="2">
        <v>-934.271</v>
      </c>
      <c r="D488" s="2">
        <f t="shared" si="1"/>
        <v>131887.335</v>
      </c>
      <c r="E488" s="4">
        <f t="shared" si="2"/>
        <v>-0.007058884191</v>
      </c>
    </row>
    <row r="489" ht="15.75" customHeight="1">
      <c r="B489" s="3">
        <v>43628.0</v>
      </c>
      <c r="C489" s="2">
        <v>311.975</v>
      </c>
      <c r="D489" s="2">
        <f t="shared" si="1"/>
        <v>132199.31</v>
      </c>
      <c r="E489" s="4">
        <f t="shared" si="2"/>
        <v>0.002362672638</v>
      </c>
    </row>
    <row r="490" ht="15.75" customHeight="1">
      <c r="B490" s="3">
        <v>43720.0</v>
      </c>
      <c r="C490" s="2">
        <v>330.569</v>
      </c>
      <c r="D490" s="2">
        <f t="shared" si="1"/>
        <v>132529.879</v>
      </c>
      <c r="E490" s="4">
        <f t="shared" si="2"/>
        <v>0.002497413852</v>
      </c>
    </row>
    <row r="491" ht="15.75" customHeight="1">
      <c r="B491" s="3">
        <v>43750.0</v>
      </c>
      <c r="C491" s="2">
        <v>1224.062</v>
      </c>
      <c r="D491" s="2">
        <f t="shared" si="1"/>
        <v>133753.941</v>
      </c>
      <c r="E491" s="4">
        <f t="shared" si="2"/>
        <v>0.009193728871</v>
      </c>
    </row>
    <row r="492" ht="15.75" customHeight="1">
      <c r="B492" s="3">
        <v>43781.0</v>
      </c>
      <c r="C492" s="2">
        <v>-956.263</v>
      </c>
      <c r="D492" s="2">
        <f t="shared" si="1"/>
        <v>132797.678</v>
      </c>
      <c r="E492" s="4">
        <f t="shared" si="2"/>
        <v>-0.007175098813</v>
      </c>
    </row>
    <row r="493" ht="15.75" customHeight="1">
      <c r="B493" s="3">
        <v>43811.0</v>
      </c>
      <c r="C493" s="2">
        <v>880.432</v>
      </c>
      <c r="D493" s="2">
        <f t="shared" si="1"/>
        <v>133678.11</v>
      </c>
      <c r="E493" s="4">
        <f t="shared" si="2"/>
        <v>0.006607993997</v>
      </c>
    </row>
    <row r="494" ht="15.75" customHeight="1">
      <c r="B494" s="3" t="s">
        <v>292</v>
      </c>
      <c r="C494" s="2">
        <v>2664.234</v>
      </c>
      <c r="D494" s="2">
        <f t="shared" si="1"/>
        <v>136342.344</v>
      </c>
      <c r="E494" s="4">
        <f t="shared" si="2"/>
        <v>0.01973421215</v>
      </c>
    </row>
    <row r="495" ht="15.75" customHeight="1">
      <c r="B495" s="3" t="s">
        <v>293</v>
      </c>
      <c r="C495" s="2">
        <v>1316.571</v>
      </c>
      <c r="D495" s="2">
        <f t="shared" si="1"/>
        <v>137658.915</v>
      </c>
      <c r="E495" s="4">
        <f t="shared" si="2"/>
        <v>0.009610037101</v>
      </c>
    </row>
    <row r="496" ht="15.75" customHeight="1">
      <c r="B496" s="3" t="s">
        <v>294</v>
      </c>
      <c r="C496" s="2">
        <v>-1677.442</v>
      </c>
      <c r="D496" s="2">
        <f t="shared" si="1"/>
        <v>135981.473</v>
      </c>
      <c r="E496" s="4">
        <f t="shared" si="2"/>
        <v>-0.01226034669</v>
      </c>
    </row>
    <row r="497" ht="15.75" customHeight="1">
      <c r="B497" s="3" t="s">
        <v>295</v>
      </c>
      <c r="C497" s="2">
        <v>-383.54</v>
      </c>
      <c r="D497" s="2">
        <f t="shared" si="1"/>
        <v>135597.933</v>
      </c>
      <c r="E497" s="4">
        <f t="shared" si="2"/>
        <v>-0.002824516488</v>
      </c>
    </row>
    <row r="498" ht="15.75" customHeight="1">
      <c r="B498" s="3" t="s">
        <v>296</v>
      </c>
      <c r="C498" s="2">
        <v>-1853.127</v>
      </c>
      <c r="D498" s="2">
        <f t="shared" si="1"/>
        <v>133744.806</v>
      </c>
      <c r="E498" s="4">
        <f t="shared" si="2"/>
        <v>-0.01376058065</v>
      </c>
    </row>
    <row r="499" ht="15.75" customHeight="1">
      <c r="B499" s="3" t="s">
        <v>297</v>
      </c>
      <c r="C499" s="2">
        <v>-5022.763</v>
      </c>
      <c r="D499" s="2">
        <f t="shared" si="1"/>
        <v>128722.043</v>
      </c>
      <c r="E499" s="4">
        <f t="shared" si="2"/>
        <v>-0.03827817716</v>
      </c>
    </row>
    <row r="500" ht="15.75" customHeight="1">
      <c r="B500" s="3" t="s">
        <v>298</v>
      </c>
      <c r="C500" s="2">
        <v>11153.657</v>
      </c>
      <c r="D500" s="2">
        <f t="shared" si="1"/>
        <v>139875.7</v>
      </c>
      <c r="E500" s="4">
        <f t="shared" si="2"/>
        <v>0.08309879687</v>
      </c>
    </row>
    <row r="501" ht="15.75" customHeight="1">
      <c r="B501" s="3" t="s">
        <v>299</v>
      </c>
      <c r="C501" s="2">
        <v>-2698.459</v>
      </c>
      <c r="D501" s="2">
        <f t="shared" si="1"/>
        <v>137177.241</v>
      </c>
      <c r="E501" s="4">
        <f t="shared" si="2"/>
        <v>-0.01948035148</v>
      </c>
    </row>
    <row r="502" ht="15.75" customHeight="1">
      <c r="B502" s="3" t="s">
        <v>300</v>
      </c>
      <c r="C502" s="2">
        <v>16.06</v>
      </c>
      <c r="D502" s="2">
        <f t="shared" si="1"/>
        <v>137193.301</v>
      </c>
      <c r="E502" s="4">
        <f t="shared" si="2"/>
        <v>0.0001170679615</v>
      </c>
    </row>
    <row r="503" ht="15.75" customHeight="1">
      <c r="B503" s="3" t="s">
        <v>301</v>
      </c>
      <c r="C503" s="2">
        <v>500.465</v>
      </c>
      <c r="D503" s="2">
        <f t="shared" si="1"/>
        <v>137693.766</v>
      </c>
      <c r="E503" s="4">
        <f t="shared" si="2"/>
        <v>0.00364124481</v>
      </c>
    </row>
    <row r="504" ht="15.75" customHeight="1">
      <c r="B504" s="3" t="s">
        <v>302</v>
      </c>
      <c r="C504" s="2">
        <v>2292.543</v>
      </c>
      <c r="D504" s="2">
        <f t="shared" si="1"/>
        <v>139986.309</v>
      </c>
      <c r="E504" s="4">
        <f t="shared" si="2"/>
        <v>0.01651249259</v>
      </c>
    </row>
    <row r="505" ht="15.75" customHeight="1">
      <c r="B505" s="3" t="s">
        <v>303</v>
      </c>
      <c r="C505" s="2">
        <v>224.747</v>
      </c>
      <c r="D505" s="2">
        <f t="shared" si="1"/>
        <v>140211.056</v>
      </c>
      <c r="E505" s="4">
        <f t="shared" si="2"/>
        <v>0.001604205294</v>
      </c>
    </row>
    <row r="506" ht="15.75" customHeight="1">
      <c r="B506" s="3">
        <v>43862.0</v>
      </c>
      <c r="C506" s="2">
        <v>4572.924</v>
      </c>
      <c r="D506" s="2">
        <f t="shared" si="1"/>
        <v>144783.98</v>
      </c>
      <c r="E506" s="4">
        <f t="shared" si="2"/>
        <v>0.03209400821</v>
      </c>
    </row>
    <row r="507" ht="15.75" customHeight="1">
      <c r="B507" s="3">
        <v>43891.0</v>
      </c>
      <c r="C507" s="2">
        <v>1071.758</v>
      </c>
      <c r="D507" s="2">
        <f t="shared" si="1"/>
        <v>145855.738</v>
      </c>
      <c r="E507" s="4">
        <f t="shared" si="2"/>
        <v>0.007375198857</v>
      </c>
    </row>
    <row r="508" ht="15.75" customHeight="1">
      <c r="B508" s="3">
        <v>43983.0</v>
      </c>
      <c r="C508" s="2">
        <v>-1273.921</v>
      </c>
      <c r="D508" s="2">
        <f t="shared" si="1"/>
        <v>144581.817</v>
      </c>
      <c r="E508" s="4">
        <f t="shared" si="2"/>
        <v>-0.008772482399</v>
      </c>
    </row>
    <row r="509" ht="15.75" customHeight="1">
      <c r="B509" s="3">
        <v>44013.0</v>
      </c>
      <c r="C509" s="2">
        <v>-2346.471</v>
      </c>
      <c r="D509" s="2">
        <f t="shared" si="1"/>
        <v>142235.346</v>
      </c>
      <c r="E509" s="4">
        <f t="shared" si="2"/>
        <v>-0.01636250305</v>
      </c>
    </row>
    <row r="510" ht="15.75" customHeight="1">
      <c r="B510" s="3">
        <v>44044.0</v>
      </c>
      <c r="C510" s="2">
        <v>16.139</v>
      </c>
      <c r="D510" s="2">
        <f t="shared" si="1"/>
        <v>142251.485</v>
      </c>
      <c r="E510" s="4">
        <f t="shared" si="2"/>
        <v>0.0001134604365</v>
      </c>
    </row>
    <row r="511" ht="15.75" customHeight="1">
      <c r="B511" s="3">
        <v>44075.0</v>
      </c>
      <c r="C511" s="2">
        <v>1427.215</v>
      </c>
      <c r="D511" s="2">
        <f t="shared" si="1"/>
        <v>143678.7</v>
      </c>
      <c r="E511" s="4">
        <f t="shared" si="2"/>
        <v>0.00998304431</v>
      </c>
    </row>
    <row r="512" ht="15.75" customHeight="1">
      <c r="B512" s="3">
        <v>44105.0</v>
      </c>
      <c r="C512" s="2">
        <v>2661.882</v>
      </c>
      <c r="D512" s="2">
        <f t="shared" si="1"/>
        <v>146340.582</v>
      </c>
      <c r="E512" s="4">
        <f t="shared" si="2"/>
        <v>0.01835710186</v>
      </c>
    </row>
    <row r="513" ht="15.75" customHeight="1">
      <c r="B513" s="3" t="s">
        <v>304</v>
      </c>
      <c r="C513" s="2">
        <v>-1774.935</v>
      </c>
      <c r="D513" s="2">
        <f t="shared" si="1"/>
        <v>144565.647</v>
      </c>
      <c r="E513" s="4">
        <f t="shared" si="2"/>
        <v>-0.0122029496</v>
      </c>
    </row>
    <row r="514" ht="15.75" customHeight="1">
      <c r="B514" s="3" t="s">
        <v>305</v>
      </c>
      <c r="C514" s="2">
        <v>-16.397</v>
      </c>
      <c r="D514" s="2">
        <f t="shared" si="1"/>
        <v>144549.25</v>
      </c>
      <c r="E514" s="4">
        <f t="shared" si="2"/>
        <v>-0.0001134289529</v>
      </c>
    </row>
    <row r="515" ht="15.75" customHeight="1">
      <c r="B515" s="3" t="s">
        <v>306</v>
      </c>
      <c r="C515" s="2">
        <v>-376.603</v>
      </c>
      <c r="D515" s="2">
        <f t="shared" si="1"/>
        <v>144172.647</v>
      </c>
      <c r="E515" s="4">
        <f t="shared" si="2"/>
        <v>-0.002608761008</v>
      </c>
    </row>
    <row r="516" ht="15.75" customHeight="1">
      <c r="B516" s="3" t="s">
        <v>307</v>
      </c>
      <c r="C516" s="2">
        <v>-1837.34</v>
      </c>
      <c r="D516" s="2">
        <f t="shared" si="1"/>
        <v>142335.307</v>
      </c>
      <c r="E516" s="4">
        <f t="shared" si="2"/>
        <v>-0.01282592795</v>
      </c>
    </row>
    <row r="517" ht="15.75" customHeight="1">
      <c r="B517" s="3" t="s">
        <v>308</v>
      </c>
      <c r="C517" s="2">
        <v>479.733</v>
      </c>
      <c r="D517" s="2">
        <f t="shared" si="1"/>
        <v>142815.04</v>
      </c>
      <c r="E517" s="4">
        <f t="shared" si="2"/>
        <v>0.003364775513</v>
      </c>
    </row>
    <row r="518" ht="15.75" customHeight="1">
      <c r="B518" s="3" t="s">
        <v>309</v>
      </c>
      <c r="C518" s="2">
        <v>-531.41</v>
      </c>
      <c r="D518" s="2">
        <f t="shared" si="1"/>
        <v>142283.63</v>
      </c>
      <c r="E518" s="4">
        <f t="shared" si="2"/>
        <v>-0.003727906661</v>
      </c>
    </row>
    <row r="519" ht="15.75" customHeight="1">
      <c r="B519" s="3" t="s">
        <v>310</v>
      </c>
      <c r="C519" s="2">
        <v>-977.199</v>
      </c>
      <c r="D519" s="2">
        <f t="shared" si="1"/>
        <v>141306.431</v>
      </c>
      <c r="E519" s="4">
        <f t="shared" si="2"/>
        <v>-0.00689165808</v>
      </c>
    </row>
    <row r="520" ht="15.75" customHeight="1">
      <c r="B520" s="3" t="s">
        <v>311</v>
      </c>
      <c r="C520" s="2">
        <v>-1855.621</v>
      </c>
      <c r="D520" s="2">
        <f t="shared" si="1"/>
        <v>139450.81</v>
      </c>
      <c r="E520" s="4">
        <f t="shared" si="2"/>
        <v>-0.01321887916</v>
      </c>
    </row>
    <row r="521" ht="15.75" customHeight="1">
      <c r="B521" s="3" t="s">
        <v>312</v>
      </c>
      <c r="C521" s="2">
        <v>1376.812</v>
      </c>
      <c r="D521" s="2">
        <f t="shared" si="1"/>
        <v>140827.622</v>
      </c>
      <c r="E521" s="4">
        <f t="shared" si="2"/>
        <v>0.00982468087</v>
      </c>
    </row>
    <row r="522" ht="15.75" customHeight="1">
      <c r="B522" s="3" t="s">
        <v>313</v>
      </c>
      <c r="C522" s="2">
        <v>16.438</v>
      </c>
      <c r="D522" s="2">
        <f t="shared" si="1"/>
        <v>140844.06</v>
      </c>
      <c r="E522" s="4">
        <f t="shared" si="2"/>
        <v>0.0001167174485</v>
      </c>
    </row>
    <row r="523" ht="15.75" customHeight="1">
      <c r="B523" s="3" t="s">
        <v>314</v>
      </c>
      <c r="C523" s="2">
        <v>-679.556</v>
      </c>
      <c r="D523" s="2">
        <f t="shared" si="1"/>
        <v>140164.504</v>
      </c>
      <c r="E523" s="4">
        <f t="shared" si="2"/>
        <v>-0.004836559534</v>
      </c>
    </row>
    <row r="524" ht="15.75" customHeight="1">
      <c r="B524" s="3" t="s">
        <v>315</v>
      </c>
      <c r="C524" s="2">
        <v>-179.771</v>
      </c>
      <c r="D524" s="2">
        <f t="shared" si="1"/>
        <v>139984.733</v>
      </c>
      <c r="E524" s="4">
        <f t="shared" si="2"/>
        <v>-0.001283394712</v>
      </c>
    </row>
    <row r="525" ht="15.75" customHeight="1">
      <c r="B525" s="3" t="s">
        <v>316</v>
      </c>
      <c r="C525" s="2">
        <v>261.263</v>
      </c>
      <c r="D525" s="2">
        <f t="shared" si="1"/>
        <v>140245.996</v>
      </c>
      <c r="E525" s="4">
        <f t="shared" si="2"/>
        <v>0.001864628313</v>
      </c>
    </row>
    <row r="526" ht="15.75" customHeight="1">
      <c r="B526" s="3" t="s">
        <v>317</v>
      </c>
      <c r="C526" s="2">
        <v>524.239</v>
      </c>
      <c r="D526" s="2">
        <f t="shared" si="1"/>
        <v>140770.235</v>
      </c>
      <c r="E526" s="4">
        <f t="shared" si="2"/>
        <v>0.003731027253</v>
      </c>
    </row>
    <row r="527" ht="15.75" customHeight="1">
      <c r="B527" s="3">
        <v>43892.0</v>
      </c>
      <c r="C527" s="2">
        <v>997.822</v>
      </c>
      <c r="D527" s="2">
        <f t="shared" si="1"/>
        <v>141768.057</v>
      </c>
      <c r="E527" s="4">
        <f t="shared" si="2"/>
        <v>0.00706329851</v>
      </c>
    </row>
    <row r="528" ht="15.75" customHeight="1">
      <c r="B528" s="3">
        <v>43923.0</v>
      </c>
      <c r="C528" s="2">
        <v>-3728.445</v>
      </c>
      <c r="D528" s="2">
        <f t="shared" si="1"/>
        <v>138039.612</v>
      </c>
      <c r="E528" s="4">
        <f t="shared" si="2"/>
        <v>-0.02665163329</v>
      </c>
    </row>
    <row r="529" ht="15.75" customHeight="1">
      <c r="B529" s="3">
        <v>43953.0</v>
      </c>
      <c r="C529" s="2">
        <v>164.532</v>
      </c>
      <c r="D529" s="2">
        <f t="shared" si="1"/>
        <v>138204.144</v>
      </c>
      <c r="E529" s="4">
        <f t="shared" si="2"/>
        <v>0.001191208966</v>
      </c>
    </row>
    <row r="530" ht="15.75" customHeight="1">
      <c r="B530" s="3">
        <v>43984.0</v>
      </c>
      <c r="C530" s="2">
        <v>1730.411</v>
      </c>
      <c r="D530" s="2">
        <f t="shared" si="1"/>
        <v>139934.555</v>
      </c>
      <c r="E530" s="4">
        <f t="shared" si="2"/>
        <v>0.01244295262</v>
      </c>
    </row>
    <row r="531" ht="15.75" customHeight="1">
      <c r="B531" s="3">
        <v>44014.0</v>
      </c>
      <c r="C531" s="2">
        <v>-484.2</v>
      </c>
      <c r="D531" s="2">
        <f t="shared" si="1"/>
        <v>139450.355</v>
      </c>
      <c r="E531" s="4">
        <f t="shared" si="2"/>
        <v>-0.003466189243</v>
      </c>
    </row>
    <row r="532" ht="15.75" customHeight="1">
      <c r="B532" s="3">
        <v>44106.0</v>
      </c>
      <c r="C532" s="2">
        <v>-564.726</v>
      </c>
      <c r="D532" s="2">
        <f t="shared" si="1"/>
        <v>138885.629</v>
      </c>
      <c r="E532" s="4">
        <f t="shared" si="2"/>
        <v>-0.004057878301</v>
      </c>
    </row>
    <row r="533" ht="15.75" customHeight="1">
      <c r="B533" s="3">
        <v>44137.0</v>
      </c>
      <c r="C533" s="2">
        <v>652.609</v>
      </c>
      <c r="D533" s="2">
        <f t="shared" si="1"/>
        <v>139538.238</v>
      </c>
      <c r="E533" s="4">
        <f t="shared" si="2"/>
        <v>0.004687889743</v>
      </c>
    </row>
    <row r="534" ht="15.75" customHeight="1">
      <c r="B534" s="3">
        <v>44167.0</v>
      </c>
      <c r="C534" s="2">
        <v>2782.557</v>
      </c>
      <c r="D534" s="2">
        <f t="shared" si="1"/>
        <v>142320.795</v>
      </c>
      <c r="E534" s="4">
        <f t="shared" si="2"/>
        <v>0.01974495812</v>
      </c>
    </row>
    <row r="535" ht="15.75" customHeight="1">
      <c r="B535" s="3" t="s">
        <v>318</v>
      </c>
      <c r="C535" s="2">
        <v>-759.198</v>
      </c>
      <c r="D535" s="2">
        <f t="shared" si="1"/>
        <v>141561.597</v>
      </c>
      <c r="E535" s="4">
        <f t="shared" si="2"/>
        <v>-0.005348692496</v>
      </c>
    </row>
    <row r="536" ht="15.75" customHeight="1">
      <c r="B536" s="3" t="s">
        <v>319</v>
      </c>
      <c r="C536" s="2">
        <v>-1027.782</v>
      </c>
      <c r="D536" s="2">
        <f t="shared" si="1"/>
        <v>140533.815</v>
      </c>
      <c r="E536" s="4">
        <f t="shared" si="2"/>
        <v>-0.007286800877</v>
      </c>
    </row>
    <row r="537" ht="15.75" customHeight="1">
      <c r="B537" s="3" t="s">
        <v>320</v>
      </c>
      <c r="C537" s="2">
        <v>574.001</v>
      </c>
      <c r="D537" s="2">
        <f t="shared" si="1"/>
        <v>141107.816</v>
      </c>
      <c r="E537" s="4">
        <f t="shared" si="2"/>
        <v>0.00407611469</v>
      </c>
    </row>
    <row r="538" ht="15.75" customHeight="1">
      <c r="B538" s="3" t="s">
        <v>321</v>
      </c>
      <c r="C538" s="2">
        <v>-1986.431</v>
      </c>
      <c r="D538" s="2">
        <f t="shared" si="1"/>
        <v>139121.385</v>
      </c>
      <c r="E538" s="4">
        <f t="shared" si="2"/>
        <v>-0.01417742523</v>
      </c>
    </row>
    <row r="539" ht="15.75" customHeight="1">
      <c r="B539" s="3" t="s">
        <v>322</v>
      </c>
      <c r="C539" s="2">
        <v>456.736</v>
      </c>
      <c r="D539" s="2">
        <f t="shared" si="1"/>
        <v>139578.121</v>
      </c>
      <c r="E539" s="4">
        <f t="shared" si="2"/>
        <v>0.003277626254</v>
      </c>
    </row>
    <row r="540" ht="15.75" customHeight="1">
      <c r="B540" s="3" t="s">
        <v>323</v>
      </c>
      <c r="C540" s="2">
        <v>185.378</v>
      </c>
      <c r="D540" s="2">
        <f t="shared" si="1"/>
        <v>139763.499</v>
      </c>
      <c r="E540" s="4">
        <f t="shared" si="2"/>
        <v>0.001327249604</v>
      </c>
    </row>
    <row r="541" ht="15.75" customHeight="1">
      <c r="B541" s="3" t="s">
        <v>324</v>
      </c>
      <c r="C541" s="2">
        <v>-5920.009</v>
      </c>
      <c r="D541" s="2">
        <f t="shared" si="1"/>
        <v>133843.49</v>
      </c>
      <c r="E541" s="4">
        <f t="shared" si="2"/>
        <v>-0.04328056904</v>
      </c>
    </row>
    <row r="542" ht="15.75" customHeight="1">
      <c r="B542" s="3" t="s">
        <v>325</v>
      </c>
      <c r="C542" s="2">
        <v>-3465.908</v>
      </c>
      <c r="D542" s="2">
        <f t="shared" si="1"/>
        <v>130377.582</v>
      </c>
      <c r="E542" s="4">
        <f t="shared" si="2"/>
        <v>-0.02623641471</v>
      </c>
    </row>
    <row r="543" ht="15.75" customHeight="1">
      <c r="B543" s="3" t="s">
        <v>326</v>
      </c>
      <c r="C543" s="2">
        <v>-6222.309</v>
      </c>
      <c r="D543" s="2">
        <f t="shared" si="1"/>
        <v>124155.273</v>
      </c>
      <c r="E543" s="4">
        <f t="shared" si="2"/>
        <v>-0.04890173367</v>
      </c>
    </row>
    <row r="544" ht="15.75" customHeight="1">
      <c r="B544" s="3" t="s">
        <v>327</v>
      </c>
      <c r="C544" s="2">
        <v>-3115.028</v>
      </c>
      <c r="D544" s="2">
        <f t="shared" si="1"/>
        <v>121040.245</v>
      </c>
      <c r="E544" s="4">
        <f t="shared" si="2"/>
        <v>-0.02540989027</v>
      </c>
    </row>
    <row r="545" ht="15.75" customHeight="1">
      <c r="B545" s="3" t="s">
        <v>328</v>
      </c>
      <c r="C545" s="2">
        <v>-2308.311</v>
      </c>
      <c r="D545" s="2">
        <f t="shared" si="1"/>
        <v>118731.934</v>
      </c>
      <c r="E545" s="4">
        <f t="shared" si="2"/>
        <v>-0.019254797</v>
      </c>
    </row>
    <row r="546" ht="15.75" customHeight="1">
      <c r="B546" s="3">
        <v>43864.0</v>
      </c>
      <c r="C546" s="2">
        <v>-4948.75</v>
      </c>
      <c r="D546" s="2">
        <f t="shared" si="1"/>
        <v>113783.184</v>
      </c>
      <c r="E546" s="4">
        <f t="shared" si="2"/>
        <v>-0.04257355384</v>
      </c>
    </row>
    <row r="547" ht="15.75" customHeight="1">
      <c r="B547" s="3">
        <v>43893.0</v>
      </c>
      <c r="C547" s="2">
        <v>2688.375</v>
      </c>
      <c r="D547" s="2">
        <f t="shared" si="1"/>
        <v>116471.559</v>
      </c>
      <c r="E547" s="4">
        <f t="shared" si="2"/>
        <v>0.02335237169</v>
      </c>
    </row>
    <row r="548" ht="15.75" customHeight="1">
      <c r="B548" s="3">
        <v>43924.0</v>
      </c>
      <c r="C548" s="2">
        <v>4129.907</v>
      </c>
      <c r="D548" s="2">
        <f t="shared" si="1"/>
        <v>120601.466</v>
      </c>
      <c r="E548" s="4">
        <f t="shared" si="2"/>
        <v>0.03484432566</v>
      </c>
    </row>
    <row r="549" ht="15.75" customHeight="1">
      <c r="B549" s="3">
        <v>43954.0</v>
      </c>
      <c r="C549" s="2">
        <v>219.104</v>
      </c>
      <c r="D549" s="2">
        <f t="shared" si="1"/>
        <v>120820.57</v>
      </c>
      <c r="E549" s="4">
        <f t="shared" si="2"/>
        <v>0.001815112355</v>
      </c>
    </row>
    <row r="550" ht="15.75" customHeight="1">
      <c r="B550" s="3">
        <v>43985.0</v>
      </c>
      <c r="C550" s="2">
        <v>-1179.688</v>
      </c>
      <c r="D550" s="2">
        <f t="shared" si="1"/>
        <v>119640.882</v>
      </c>
      <c r="E550" s="4">
        <f t="shared" si="2"/>
        <v>-0.009811946611</v>
      </c>
    </row>
    <row r="551" ht="15.75" customHeight="1">
      <c r="B551" s="3">
        <v>44077.0</v>
      </c>
      <c r="C551" s="2">
        <v>-2869.443</v>
      </c>
      <c r="D551" s="2">
        <f t="shared" si="1"/>
        <v>116771.439</v>
      </c>
      <c r="E551" s="4">
        <f t="shared" si="2"/>
        <v>-0.02427609447</v>
      </c>
    </row>
    <row r="552" ht="15.75" customHeight="1">
      <c r="B552" s="3">
        <v>44107.0</v>
      </c>
      <c r="C552" s="2">
        <v>1704.216</v>
      </c>
      <c r="D552" s="2">
        <f t="shared" si="1"/>
        <v>118475.655</v>
      </c>
      <c r="E552" s="4">
        <f t="shared" si="2"/>
        <v>0.01448898505</v>
      </c>
    </row>
    <row r="553" ht="15.75" customHeight="1">
      <c r="B553" s="3">
        <v>44138.0</v>
      </c>
      <c r="C553" s="2">
        <v>1600.639</v>
      </c>
      <c r="D553" s="2">
        <f t="shared" si="1"/>
        <v>120076.294</v>
      </c>
      <c r="E553" s="4">
        <f t="shared" si="2"/>
        <v>0.01341982766</v>
      </c>
    </row>
    <row r="554" ht="15.75" customHeight="1">
      <c r="B554" s="3">
        <v>44168.0</v>
      </c>
      <c r="C554" s="2">
        <v>2345.97</v>
      </c>
      <c r="D554" s="2">
        <f t="shared" si="1"/>
        <v>122422.264</v>
      </c>
      <c r="E554" s="4">
        <f t="shared" si="2"/>
        <v>0.01934892487</v>
      </c>
    </row>
    <row r="555" ht="15.75" customHeight="1">
      <c r="B555" s="3" t="s">
        <v>329</v>
      </c>
      <c r="C555" s="2">
        <v>3180.07</v>
      </c>
      <c r="D555" s="2">
        <f t="shared" si="1"/>
        <v>125602.334</v>
      </c>
      <c r="E555" s="4">
        <f t="shared" si="2"/>
        <v>0.0256445877</v>
      </c>
    </row>
    <row r="556" ht="15.75" customHeight="1">
      <c r="B556" s="3" t="s">
        <v>330</v>
      </c>
      <c r="C556" s="2">
        <v>407.23</v>
      </c>
      <c r="D556" s="2">
        <f t="shared" si="1"/>
        <v>126009.564</v>
      </c>
      <c r="E556" s="4">
        <f t="shared" si="2"/>
        <v>0.003236972169</v>
      </c>
    </row>
    <row r="557" ht="15.75" customHeight="1">
      <c r="B557" s="3" t="s">
        <v>331</v>
      </c>
      <c r="C557" s="2">
        <v>7532.181</v>
      </c>
      <c r="D557" s="2">
        <f t="shared" si="1"/>
        <v>133541.745</v>
      </c>
      <c r="E557" s="4">
        <f t="shared" si="2"/>
        <v>0.05805631676</v>
      </c>
    </row>
    <row r="558" ht="15.75" customHeight="1">
      <c r="B558" s="3" t="s">
        <v>332</v>
      </c>
      <c r="C558" s="2">
        <v>-6549.933</v>
      </c>
      <c r="D558" s="2">
        <f t="shared" si="1"/>
        <v>126991.812</v>
      </c>
      <c r="E558" s="4">
        <f t="shared" si="2"/>
        <v>-0.05029151365</v>
      </c>
    </row>
    <row r="559" ht="15.75" customHeight="1">
      <c r="B559" s="3" t="s">
        <v>333</v>
      </c>
      <c r="C559" s="2">
        <v>3688.867</v>
      </c>
      <c r="D559" s="2">
        <f t="shared" si="1"/>
        <v>130680.679</v>
      </c>
      <c r="E559" s="4">
        <f t="shared" si="2"/>
        <v>0.02863417068</v>
      </c>
    </row>
    <row r="560" ht="15.75" customHeight="1">
      <c r="B560" s="3" t="s">
        <v>334</v>
      </c>
      <c r="C560" s="2">
        <v>-1714.375</v>
      </c>
      <c r="D560" s="2">
        <f t="shared" si="1"/>
        <v>128966.304</v>
      </c>
      <c r="E560" s="4">
        <f t="shared" si="2"/>
        <v>-0.01320562168</v>
      </c>
    </row>
    <row r="561" ht="15.75" customHeight="1">
      <c r="B561" s="3" t="s">
        <v>335</v>
      </c>
      <c r="C561" s="2">
        <v>4582.181</v>
      </c>
      <c r="D561" s="2">
        <f t="shared" si="1"/>
        <v>133548.485</v>
      </c>
      <c r="E561" s="4">
        <f t="shared" si="2"/>
        <v>0.03491343449</v>
      </c>
    </row>
    <row r="562" ht="15.75" customHeight="1">
      <c r="B562" s="3" t="s">
        <v>336</v>
      </c>
      <c r="C562" s="2">
        <v>-4726.628</v>
      </c>
      <c r="D562" s="2">
        <f t="shared" si="1"/>
        <v>128821.857</v>
      </c>
      <c r="E562" s="4">
        <f t="shared" si="2"/>
        <v>-0.03603409895</v>
      </c>
    </row>
    <row r="563" ht="15.75" customHeight="1">
      <c r="B563" s="3" t="s">
        <v>337</v>
      </c>
      <c r="C563" s="2">
        <v>1329.265</v>
      </c>
      <c r="D563" s="2">
        <f t="shared" si="1"/>
        <v>130151.122</v>
      </c>
      <c r="E563" s="4">
        <f t="shared" si="2"/>
        <v>0.01026575575</v>
      </c>
    </row>
    <row r="564" ht="15.75" customHeight="1">
      <c r="B564" s="3" t="s">
        <v>338</v>
      </c>
      <c r="C564" s="2">
        <v>-172.702</v>
      </c>
      <c r="D564" s="2">
        <f t="shared" si="1"/>
        <v>129978.42</v>
      </c>
      <c r="E564" s="4">
        <f t="shared" si="2"/>
        <v>-0.001327815549</v>
      </c>
    </row>
    <row r="565" ht="15.75" customHeight="1">
      <c r="B565" s="3" t="s">
        <v>339</v>
      </c>
      <c r="C565" s="2">
        <v>-1048.518</v>
      </c>
      <c r="D565" s="2">
        <f t="shared" si="1"/>
        <v>128929.902</v>
      </c>
      <c r="E565" s="4">
        <f t="shared" si="2"/>
        <v>-0.008099575356</v>
      </c>
    </row>
    <row r="566" ht="15.75" customHeight="1">
      <c r="B566" s="3" t="s">
        <v>340</v>
      </c>
      <c r="C566" s="2">
        <v>-3115.516</v>
      </c>
      <c r="D566" s="2">
        <f t="shared" si="1"/>
        <v>125814.386</v>
      </c>
      <c r="E566" s="4">
        <f t="shared" si="2"/>
        <v>-0.02446116747</v>
      </c>
    </row>
    <row r="567" ht="15.75" customHeight="1">
      <c r="B567" s="3" t="s">
        <v>341</v>
      </c>
      <c r="C567" s="2">
        <v>1047.3</v>
      </c>
      <c r="D567" s="2">
        <f t="shared" si="1"/>
        <v>126861.686</v>
      </c>
      <c r="E567" s="4">
        <f t="shared" si="2"/>
        <v>0.00828971251</v>
      </c>
    </row>
    <row r="568" ht="15.75" customHeight="1">
      <c r="B568" s="3">
        <v>43834.0</v>
      </c>
      <c r="C568" s="2">
        <v>-1649.013</v>
      </c>
      <c r="D568" s="2">
        <f t="shared" si="1"/>
        <v>125212.673</v>
      </c>
      <c r="E568" s="4">
        <f t="shared" si="2"/>
        <v>-0.01308373077</v>
      </c>
    </row>
    <row r="569" ht="15.75" customHeight="1">
      <c r="B569" s="3">
        <v>43865.0</v>
      </c>
      <c r="C569" s="2">
        <v>-3681.988</v>
      </c>
      <c r="D569" s="2">
        <f t="shared" si="1"/>
        <v>121530.685</v>
      </c>
      <c r="E569" s="4">
        <f t="shared" si="2"/>
        <v>-0.02984689325</v>
      </c>
    </row>
    <row r="570" ht="15.75" customHeight="1">
      <c r="B570" s="3">
        <v>43894.0</v>
      </c>
      <c r="C570" s="2">
        <v>5668.844</v>
      </c>
      <c r="D570" s="2">
        <f t="shared" si="1"/>
        <v>127199.529</v>
      </c>
      <c r="E570" s="4">
        <f t="shared" si="2"/>
        <v>0.04559016573</v>
      </c>
    </row>
    <row r="571" ht="15.75" customHeight="1">
      <c r="B571" s="3">
        <v>43986.0</v>
      </c>
      <c r="C571" s="2">
        <v>570.786</v>
      </c>
      <c r="D571" s="2">
        <f t="shared" si="1"/>
        <v>127770.315</v>
      </c>
      <c r="E571" s="4">
        <f t="shared" si="2"/>
        <v>0.004477289899</v>
      </c>
    </row>
    <row r="572" ht="15.75" customHeight="1">
      <c r="B572" s="3">
        <v>44016.0</v>
      </c>
      <c r="C572" s="2">
        <v>4196.693</v>
      </c>
      <c r="D572" s="2">
        <f t="shared" si="1"/>
        <v>131967.008</v>
      </c>
      <c r="E572" s="4">
        <f t="shared" si="2"/>
        <v>0.03231771398</v>
      </c>
    </row>
    <row r="573" ht="15.75" customHeight="1">
      <c r="B573" s="3">
        <v>44047.0</v>
      </c>
      <c r="C573" s="2">
        <v>106.076</v>
      </c>
      <c r="D573" s="2">
        <f t="shared" si="1"/>
        <v>132073.084</v>
      </c>
      <c r="E573" s="4">
        <f t="shared" si="2"/>
        <v>0.0008034840838</v>
      </c>
    </row>
    <row r="574" ht="15.75" customHeight="1">
      <c r="B574" s="3">
        <v>44078.0</v>
      </c>
      <c r="C574" s="2">
        <v>-1988.531</v>
      </c>
      <c r="D574" s="2">
        <f t="shared" si="1"/>
        <v>130084.553</v>
      </c>
      <c r="E574" s="4">
        <f t="shared" si="2"/>
        <v>-0.01517078931</v>
      </c>
    </row>
    <row r="575" ht="15.75" customHeight="1">
      <c r="B575" s="3" t="s">
        <v>342</v>
      </c>
      <c r="C575" s="2">
        <v>-4257.702</v>
      </c>
      <c r="D575" s="2">
        <f t="shared" si="1"/>
        <v>125826.851</v>
      </c>
      <c r="E575" s="4">
        <f t="shared" si="2"/>
        <v>-0.03327788326</v>
      </c>
    </row>
    <row r="576" ht="15.75" customHeight="1">
      <c r="B576" s="3" t="s">
        <v>343</v>
      </c>
      <c r="C576" s="2">
        <v>-2396.655</v>
      </c>
      <c r="D576" s="2">
        <f t="shared" si="1"/>
        <v>123430.196</v>
      </c>
      <c r="E576" s="4">
        <f t="shared" si="2"/>
        <v>-0.01923098176</v>
      </c>
    </row>
    <row r="577" ht="15.75" customHeight="1">
      <c r="B577" s="3" t="s">
        <v>344</v>
      </c>
      <c r="C577" s="2">
        <v>4741.526</v>
      </c>
      <c r="D577" s="2">
        <f t="shared" si="1"/>
        <v>128171.722</v>
      </c>
      <c r="E577" s="4">
        <f t="shared" si="2"/>
        <v>0.03769516123</v>
      </c>
    </row>
    <row r="578" ht="15.75" customHeight="1">
      <c r="B578" s="3" t="s">
        <v>345</v>
      </c>
      <c r="C578" s="2">
        <v>-1763.347</v>
      </c>
      <c r="D578" s="2">
        <f t="shared" si="1"/>
        <v>126408.375</v>
      </c>
      <c r="E578" s="4">
        <f t="shared" si="2"/>
        <v>-0.0138532055</v>
      </c>
    </row>
    <row r="579" ht="15.75" customHeight="1">
      <c r="B579" s="3" t="s">
        <v>346</v>
      </c>
      <c r="C579" s="2">
        <v>-1452.395</v>
      </c>
      <c r="D579" s="2">
        <f t="shared" si="1"/>
        <v>124955.98</v>
      </c>
      <c r="E579" s="4">
        <f t="shared" si="2"/>
        <v>-0.01155622215</v>
      </c>
    </row>
    <row r="580" ht="15.75" customHeight="1">
      <c r="B580" s="3" t="s">
        <v>347</v>
      </c>
      <c r="C580" s="2">
        <v>2007.541</v>
      </c>
      <c r="D580" s="2">
        <f t="shared" si="1"/>
        <v>126963.521</v>
      </c>
      <c r="E580" s="4">
        <f t="shared" si="2"/>
        <v>0.0159382937</v>
      </c>
    </row>
    <row r="581" ht="15.75" customHeight="1">
      <c r="B581" s="3" t="s">
        <v>348</v>
      </c>
      <c r="C581" s="2">
        <v>1732.263</v>
      </c>
      <c r="D581" s="2">
        <f t="shared" si="1"/>
        <v>128695.784</v>
      </c>
      <c r="E581" s="4">
        <f t="shared" si="2"/>
        <v>0.01355154673</v>
      </c>
    </row>
    <row r="582" ht="15.75" customHeight="1">
      <c r="B582" s="3" t="s">
        <v>349</v>
      </c>
      <c r="C582" s="2">
        <v>-1624.619</v>
      </c>
      <c r="D582" s="2">
        <f t="shared" si="1"/>
        <v>127071.165</v>
      </c>
      <c r="E582" s="4">
        <f t="shared" si="2"/>
        <v>-0.01270407186</v>
      </c>
    </row>
    <row r="583" ht="15.75" customHeight="1">
      <c r="B583" s="3" t="s">
        <v>350</v>
      </c>
      <c r="C583" s="2">
        <v>-2597.545</v>
      </c>
      <c r="D583" s="2">
        <f t="shared" si="1"/>
        <v>124473.62</v>
      </c>
      <c r="E583" s="4">
        <f t="shared" si="2"/>
        <v>-0.02065347795</v>
      </c>
    </row>
    <row r="584" ht="15.75" customHeight="1">
      <c r="B584" s="3" t="s">
        <v>351</v>
      </c>
      <c r="C584" s="2">
        <v>-600.233</v>
      </c>
      <c r="D584" s="2">
        <f t="shared" si="1"/>
        <v>123873.387</v>
      </c>
      <c r="E584" s="4">
        <f t="shared" si="2"/>
        <v>-0.004833834529</v>
      </c>
    </row>
    <row r="585" ht="15.75" customHeight="1">
      <c r="B585" s="3" t="s">
        <v>352</v>
      </c>
      <c r="C585" s="2">
        <v>-1542.698</v>
      </c>
      <c r="D585" s="2">
        <f t="shared" si="1"/>
        <v>122330.689</v>
      </c>
      <c r="E585" s="4">
        <f t="shared" si="2"/>
        <v>-0.01253202803</v>
      </c>
    </row>
    <row r="586" ht="15.75" customHeight="1">
      <c r="B586" s="3" t="s">
        <v>353</v>
      </c>
      <c r="C586" s="2">
        <v>2154.201</v>
      </c>
      <c r="D586" s="2">
        <f t="shared" si="1"/>
        <v>124484.89</v>
      </c>
      <c r="E586" s="4">
        <f t="shared" si="2"/>
        <v>0.01745639973</v>
      </c>
    </row>
    <row r="587" ht="15.75" customHeight="1">
      <c r="B587" s="3" t="s">
        <v>354</v>
      </c>
      <c r="C587" s="2">
        <v>-2028.625</v>
      </c>
      <c r="D587" s="2">
        <f t="shared" si="1"/>
        <v>122456.265</v>
      </c>
      <c r="E587" s="4">
        <f t="shared" si="2"/>
        <v>-0.01643039725</v>
      </c>
    </row>
    <row r="588" ht="15.75" customHeight="1">
      <c r="B588" s="3" t="s">
        <v>355</v>
      </c>
      <c r="C588" s="2">
        <v>-953.273</v>
      </c>
      <c r="D588" s="2">
        <f t="shared" si="1"/>
        <v>121502.992</v>
      </c>
      <c r="E588" s="4">
        <f t="shared" si="2"/>
        <v>-0.007815057838</v>
      </c>
    </row>
    <row r="589" ht="15.75" customHeight="1">
      <c r="B589" s="3">
        <v>43835.0</v>
      </c>
      <c r="C589" s="2">
        <v>-1583.919</v>
      </c>
      <c r="D589" s="2">
        <f t="shared" si="1"/>
        <v>119919.073</v>
      </c>
      <c r="E589" s="4">
        <f t="shared" si="2"/>
        <v>-0.01312176438</v>
      </c>
    </row>
    <row r="590" ht="15.75" customHeight="1">
      <c r="B590" s="3">
        <v>43926.0</v>
      </c>
      <c r="C590" s="2">
        <v>-748.662</v>
      </c>
      <c r="D590" s="2">
        <f t="shared" si="1"/>
        <v>119170.411</v>
      </c>
      <c r="E590" s="4">
        <f t="shared" si="2"/>
        <v>-0.00626262966</v>
      </c>
    </row>
    <row r="591" ht="15.75" customHeight="1">
      <c r="B591" s="3">
        <v>43956.0</v>
      </c>
      <c r="C591" s="2">
        <v>-2581.799</v>
      </c>
      <c r="D591" s="2">
        <f t="shared" si="1"/>
        <v>116588.612</v>
      </c>
      <c r="E591" s="4">
        <f t="shared" si="2"/>
        <v>-0.02190289204</v>
      </c>
    </row>
    <row r="592" ht="15.75" customHeight="1">
      <c r="B592" s="3">
        <v>43987.0</v>
      </c>
      <c r="C592" s="2">
        <v>1488.636</v>
      </c>
      <c r="D592" s="2">
        <f t="shared" si="1"/>
        <v>118077.248</v>
      </c>
      <c r="E592" s="4">
        <f t="shared" si="2"/>
        <v>0.01268745244</v>
      </c>
    </row>
    <row r="593" ht="15.75" customHeight="1">
      <c r="B593" s="3">
        <v>44017.0</v>
      </c>
      <c r="C593" s="2">
        <v>298.52</v>
      </c>
      <c r="D593" s="2">
        <f t="shared" si="1"/>
        <v>118375.768</v>
      </c>
      <c r="E593" s="4">
        <f t="shared" si="2"/>
        <v>0.002524984994</v>
      </c>
    </row>
    <row r="594" ht="15.75" customHeight="1">
      <c r="B594" s="3">
        <v>44048.0</v>
      </c>
      <c r="C594" s="2">
        <v>158.218</v>
      </c>
      <c r="D594" s="2">
        <f t="shared" si="1"/>
        <v>118533.986</v>
      </c>
      <c r="E594" s="4">
        <f t="shared" si="2"/>
        <v>0.001335681802</v>
      </c>
    </row>
    <row r="595" ht="15.75" customHeight="1">
      <c r="B595" s="3">
        <v>44140.0</v>
      </c>
      <c r="C595" s="2">
        <v>2121.103</v>
      </c>
      <c r="D595" s="2">
        <f t="shared" si="1"/>
        <v>120655.089</v>
      </c>
      <c r="E595" s="4">
        <f t="shared" si="2"/>
        <v>0.0177362499</v>
      </c>
    </row>
    <row r="596" ht="15.75" customHeight="1">
      <c r="B596" s="3">
        <v>44170.0</v>
      </c>
      <c r="C596" s="2">
        <v>-819.337</v>
      </c>
      <c r="D596" s="2">
        <f t="shared" si="1"/>
        <v>119835.752</v>
      </c>
      <c r="E596" s="4">
        <f t="shared" si="2"/>
        <v>-0.006813899163</v>
      </c>
    </row>
    <row r="597" ht="15.75" customHeight="1">
      <c r="B597" s="3" t="s">
        <v>356</v>
      </c>
      <c r="C597" s="2">
        <v>1863.345</v>
      </c>
      <c r="D597" s="2">
        <f t="shared" si="1"/>
        <v>121699.097</v>
      </c>
      <c r="E597" s="4">
        <f t="shared" si="2"/>
        <v>0.0154295082</v>
      </c>
    </row>
    <row r="598" ht="15.75" customHeight="1">
      <c r="B598" s="3" t="s">
        <v>357</v>
      </c>
      <c r="C598" s="2">
        <v>-1464.808</v>
      </c>
      <c r="D598" s="2">
        <f t="shared" si="1"/>
        <v>120234.289</v>
      </c>
      <c r="E598" s="4">
        <f t="shared" si="2"/>
        <v>-0.01210933244</v>
      </c>
    </row>
    <row r="599" ht="15.75" customHeight="1">
      <c r="B599" s="3" t="s">
        <v>358</v>
      </c>
      <c r="C599" s="2">
        <v>-1581.71</v>
      </c>
      <c r="D599" s="2">
        <f t="shared" si="1"/>
        <v>118652.579</v>
      </c>
      <c r="E599" s="4">
        <f t="shared" si="2"/>
        <v>-0.0132425288</v>
      </c>
    </row>
    <row r="600" ht="15.75" customHeight="1">
      <c r="B600" s="3" t="s">
        <v>359</v>
      </c>
      <c r="C600" s="2">
        <v>443.512</v>
      </c>
      <c r="D600" s="2">
        <f t="shared" si="1"/>
        <v>119096.091</v>
      </c>
      <c r="E600" s="4">
        <f t="shared" si="2"/>
        <v>0.003730935819</v>
      </c>
    </row>
    <row r="601" ht="15.75" customHeight="1">
      <c r="B601" s="3" t="s">
        <v>360</v>
      </c>
      <c r="C601" s="2">
        <v>309.919</v>
      </c>
      <c r="D601" s="2">
        <f t="shared" si="1"/>
        <v>119406.01</v>
      </c>
      <c r="E601" s="4">
        <f t="shared" si="2"/>
        <v>0.002598880036</v>
      </c>
    </row>
    <row r="602" ht="15.75" customHeight="1">
      <c r="B602" s="3" t="s">
        <v>361</v>
      </c>
      <c r="C602" s="2">
        <v>-1372.87</v>
      </c>
      <c r="D602" s="2">
        <f t="shared" si="1"/>
        <v>118033.14</v>
      </c>
      <c r="E602" s="4">
        <f t="shared" si="2"/>
        <v>-0.01156410221</v>
      </c>
    </row>
    <row r="603" ht="15.75" customHeight="1">
      <c r="B603" s="3" t="s">
        <v>362</v>
      </c>
      <c r="C603" s="2">
        <v>14.85</v>
      </c>
      <c r="D603" s="2">
        <f t="shared" si="1"/>
        <v>118047.99</v>
      </c>
      <c r="E603" s="4">
        <f t="shared" si="2"/>
        <v>0.0001258042099</v>
      </c>
    </row>
    <row r="604" ht="15.75" customHeight="1">
      <c r="B604" s="3" t="s">
        <v>363</v>
      </c>
      <c r="C604" s="2">
        <v>58.944</v>
      </c>
      <c r="D604" s="2">
        <f t="shared" si="1"/>
        <v>118106.934</v>
      </c>
      <c r="E604" s="4">
        <f t="shared" si="2"/>
        <v>0.0004991977319</v>
      </c>
    </row>
    <row r="605" ht="15.75" customHeight="1">
      <c r="B605" s="3" t="s">
        <v>364</v>
      </c>
      <c r="C605" s="2">
        <v>162.503</v>
      </c>
      <c r="D605" s="2">
        <f t="shared" si="1"/>
        <v>118269.437</v>
      </c>
      <c r="E605" s="4">
        <f t="shared" si="2"/>
        <v>0.001374951523</v>
      </c>
    </row>
    <row r="606" ht="15.75" customHeight="1">
      <c r="B606" s="3" t="s">
        <v>365</v>
      </c>
      <c r="C606" s="2">
        <v>-508.44</v>
      </c>
      <c r="D606" s="2">
        <f t="shared" si="1"/>
        <v>117760.997</v>
      </c>
      <c r="E606" s="4">
        <f t="shared" si="2"/>
        <v>-0.00430826464</v>
      </c>
    </row>
    <row r="607" ht="15.75" customHeight="1">
      <c r="B607" s="3" t="s">
        <v>366</v>
      </c>
      <c r="C607" s="2">
        <v>-2397.724</v>
      </c>
      <c r="D607" s="2">
        <f t="shared" si="1"/>
        <v>115363.273</v>
      </c>
      <c r="E607" s="4">
        <f t="shared" si="2"/>
        <v>-0.02057107613</v>
      </c>
    </row>
    <row r="608" ht="15.75" customHeight="1">
      <c r="B608" s="3" t="s">
        <v>367</v>
      </c>
      <c r="C608" s="2">
        <v>2877.617</v>
      </c>
      <c r="D608" s="2">
        <f t="shared" si="1"/>
        <v>118240.89</v>
      </c>
      <c r="E608" s="4">
        <f t="shared" si="2"/>
        <v>0.02463793905</v>
      </c>
    </row>
    <row r="609" ht="15.75" customHeight="1">
      <c r="B609" s="3">
        <v>43836.0</v>
      </c>
      <c r="C609" s="2">
        <v>182.643</v>
      </c>
      <c r="D609" s="2">
        <f t="shared" si="1"/>
        <v>118423.533</v>
      </c>
      <c r="E609" s="4">
        <f t="shared" si="2"/>
        <v>0.001543476911</v>
      </c>
    </row>
    <row r="610" ht="15.75" customHeight="1">
      <c r="B610" s="3">
        <v>43867.0</v>
      </c>
      <c r="C610" s="2">
        <v>-672.224</v>
      </c>
      <c r="D610" s="2">
        <f t="shared" si="1"/>
        <v>117751.309</v>
      </c>
      <c r="E610" s="4">
        <f t="shared" si="2"/>
        <v>-0.005692611538</v>
      </c>
    </row>
    <row r="611" ht="15.75" customHeight="1">
      <c r="B611" s="3">
        <v>43896.0</v>
      </c>
      <c r="C611" s="2">
        <v>-3789.208</v>
      </c>
      <c r="D611" s="2">
        <f t="shared" si="1"/>
        <v>113962.101</v>
      </c>
      <c r="E611" s="4">
        <f t="shared" si="2"/>
        <v>-0.03270890385</v>
      </c>
    </row>
    <row r="612" ht="15.75" customHeight="1">
      <c r="B612" s="3">
        <v>43927.0</v>
      </c>
      <c r="C612" s="2">
        <v>3076.017</v>
      </c>
      <c r="D612" s="2">
        <f t="shared" si="1"/>
        <v>117038.118</v>
      </c>
      <c r="E612" s="4">
        <f t="shared" si="2"/>
        <v>0.02663373086</v>
      </c>
    </row>
    <row r="613" ht="15.75" customHeight="1">
      <c r="B613" s="3">
        <v>43957.0</v>
      </c>
      <c r="C613" s="2">
        <v>1089.557</v>
      </c>
      <c r="D613" s="2">
        <f t="shared" si="1"/>
        <v>118127.675</v>
      </c>
      <c r="E613" s="4">
        <f t="shared" si="2"/>
        <v>0.00926635445</v>
      </c>
    </row>
    <row r="614" ht="15.75" customHeight="1">
      <c r="B614" s="3">
        <v>44049.0</v>
      </c>
      <c r="C614" s="2">
        <v>5366.459</v>
      </c>
      <c r="D614" s="2">
        <f t="shared" si="1"/>
        <v>123494.134</v>
      </c>
      <c r="E614" s="4">
        <f t="shared" si="2"/>
        <v>0.0444276259</v>
      </c>
    </row>
    <row r="615" ht="15.75" customHeight="1">
      <c r="B615" s="3">
        <v>44080.0</v>
      </c>
      <c r="C615" s="2">
        <v>-3733.694</v>
      </c>
      <c r="D615" s="2">
        <f t="shared" si="1"/>
        <v>119760.44</v>
      </c>
      <c r="E615" s="4">
        <f t="shared" si="2"/>
        <v>-0.03070024284</v>
      </c>
    </row>
    <row r="616" ht="15.75" customHeight="1">
      <c r="B616" s="3">
        <v>44110.0</v>
      </c>
      <c r="C616" s="2">
        <v>4298.402</v>
      </c>
      <c r="D616" s="2">
        <f t="shared" si="1"/>
        <v>124058.842</v>
      </c>
      <c r="E616" s="4">
        <f t="shared" si="2"/>
        <v>0.03526257119</v>
      </c>
    </row>
    <row r="617" ht="15.75" customHeight="1">
      <c r="B617" s="3">
        <v>44141.0</v>
      </c>
      <c r="C617" s="2">
        <v>-3525.862</v>
      </c>
      <c r="D617" s="2">
        <f t="shared" si="1"/>
        <v>120532.98</v>
      </c>
      <c r="E617" s="4">
        <f t="shared" si="2"/>
        <v>-0.02883257688</v>
      </c>
    </row>
    <row r="618" ht="15.75" customHeight="1">
      <c r="B618" s="3">
        <v>44171.0</v>
      </c>
      <c r="C618" s="2">
        <v>1171.481</v>
      </c>
      <c r="D618" s="2">
        <f t="shared" si="1"/>
        <v>121704.461</v>
      </c>
      <c r="E618" s="4">
        <f t="shared" si="2"/>
        <v>0.009672246603</v>
      </c>
    </row>
    <row r="619" ht="15.75" customHeight="1">
      <c r="B619" s="3" t="s">
        <v>368</v>
      </c>
      <c r="C619" s="2">
        <v>-4261.197</v>
      </c>
      <c r="D619" s="2">
        <f t="shared" si="1"/>
        <v>117443.264</v>
      </c>
      <c r="E619" s="4">
        <f t="shared" si="2"/>
        <v>-0.03564029764</v>
      </c>
    </row>
    <row r="620" ht="15.75" customHeight="1">
      <c r="B620" s="3" t="s">
        <v>369</v>
      </c>
      <c r="C620" s="2">
        <v>-1733.993</v>
      </c>
      <c r="D620" s="2">
        <f t="shared" si="1"/>
        <v>115709.271</v>
      </c>
      <c r="E620" s="4">
        <f t="shared" si="2"/>
        <v>-0.01487459676</v>
      </c>
    </row>
    <row r="621" ht="15.75" customHeight="1">
      <c r="B621" s="3" t="s">
        <v>370</v>
      </c>
      <c r="C621" s="2">
        <v>2923.755</v>
      </c>
      <c r="D621" s="2">
        <f t="shared" si="1"/>
        <v>118633.026</v>
      </c>
      <c r="E621" s="4">
        <f t="shared" si="2"/>
        <v>0.02495415259</v>
      </c>
    </row>
    <row r="622" ht="15.75" customHeight="1">
      <c r="B622" s="3" t="s">
        <v>371</v>
      </c>
      <c r="C622" s="2">
        <v>-2383.593</v>
      </c>
      <c r="D622" s="2">
        <f t="shared" si="1"/>
        <v>116249.433</v>
      </c>
      <c r="E622" s="4">
        <f t="shared" si="2"/>
        <v>-0.02029674619</v>
      </c>
    </row>
    <row r="623" ht="15.75" customHeight="1">
      <c r="B623" s="3" t="s">
        <v>372</v>
      </c>
      <c r="C623" s="2">
        <v>732.672</v>
      </c>
      <c r="D623" s="2">
        <f t="shared" si="1"/>
        <v>116982.105</v>
      </c>
      <c r="E623" s="4">
        <f t="shared" si="2"/>
        <v>0.006282807346</v>
      </c>
    </row>
    <row r="624" ht="15.75" customHeight="1">
      <c r="B624" s="3" t="s">
        <v>373</v>
      </c>
      <c r="C624" s="2">
        <v>-1358.335</v>
      </c>
      <c r="D624" s="2">
        <f t="shared" si="1"/>
        <v>115623.77</v>
      </c>
      <c r="E624" s="4">
        <f t="shared" si="2"/>
        <v>-0.01167941644</v>
      </c>
    </row>
    <row r="625" ht="15.75" customHeight="1">
      <c r="B625" s="3" t="s">
        <v>374</v>
      </c>
      <c r="C625" s="2">
        <v>1848.746</v>
      </c>
      <c r="D625" s="2">
        <f t="shared" si="1"/>
        <v>117472.516</v>
      </c>
      <c r="E625" s="4">
        <f t="shared" si="2"/>
        <v>0.0158628419</v>
      </c>
    </row>
    <row r="626" ht="15.75" customHeight="1">
      <c r="B626" s="3" t="s">
        <v>375</v>
      </c>
      <c r="C626" s="2">
        <v>2028.347</v>
      </c>
      <c r="D626" s="2">
        <f t="shared" si="1"/>
        <v>119500.863</v>
      </c>
      <c r="E626" s="4">
        <f t="shared" si="2"/>
        <v>0.01711919326</v>
      </c>
    </row>
    <row r="627" ht="15.75" customHeight="1">
      <c r="B627" s="3" t="s">
        <v>376</v>
      </c>
      <c r="C627" s="2">
        <v>-1200.752</v>
      </c>
      <c r="D627" s="2">
        <f t="shared" si="1"/>
        <v>118300.111</v>
      </c>
      <c r="E627" s="4">
        <f t="shared" si="2"/>
        <v>-0.01009888383</v>
      </c>
    </row>
    <row r="628" ht="15.75" customHeight="1">
      <c r="B628" s="3" t="s">
        <v>377</v>
      </c>
      <c r="C628" s="2">
        <v>722.233</v>
      </c>
      <c r="D628" s="2">
        <f t="shared" si="1"/>
        <v>119022.344</v>
      </c>
      <c r="E628" s="4">
        <f t="shared" si="2"/>
        <v>0.006086530915</v>
      </c>
    </row>
    <row r="629" ht="15.75" customHeight="1">
      <c r="B629" s="3" t="s">
        <v>378</v>
      </c>
      <c r="C629" s="2">
        <v>-1199.546</v>
      </c>
      <c r="D629" s="2">
        <f t="shared" si="1"/>
        <v>117822.798</v>
      </c>
      <c r="E629" s="4">
        <f t="shared" si="2"/>
        <v>-0.01012945629</v>
      </c>
    </row>
    <row r="630" ht="15.75" customHeight="1">
      <c r="B630" s="3" t="s">
        <v>379</v>
      </c>
      <c r="C630" s="2">
        <v>380.408</v>
      </c>
      <c r="D630" s="2">
        <f t="shared" si="1"/>
        <v>118203.206</v>
      </c>
      <c r="E630" s="4">
        <f t="shared" si="2"/>
        <v>0.003223444222</v>
      </c>
    </row>
    <row r="631" ht="15.75" customHeight="1">
      <c r="B631" s="3">
        <v>43837.0</v>
      </c>
      <c r="C631" s="2">
        <v>-309.039</v>
      </c>
      <c r="D631" s="2">
        <f t="shared" si="1"/>
        <v>117894.167</v>
      </c>
      <c r="E631" s="4">
        <f t="shared" si="2"/>
        <v>-0.002617895935</v>
      </c>
    </row>
    <row r="632" ht="15.75" customHeight="1">
      <c r="B632" s="3">
        <v>43868.0</v>
      </c>
      <c r="C632" s="2">
        <v>295.069</v>
      </c>
      <c r="D632" s="2">
        <f t="shared" si="1"/>
        <v>118189.236</v>
      </c>
      <c r="E632" s="4">
        <f t="shared" si="2"/>
        <v>0.002499702647</v>
      </c>
    </row>
    <row r="633" ht="15.75" customHeight="1">
      <c r="B633" s="3">
        <v>43989.0</v>
      </c>
      <c r="C633" s="2">
        <v>140.433</v>
      </c>
      <c r="D633" s="2">
        <f t="shared" si="1"/>
        <v>118329.669</v>
      </c>
      <c r="E633" s="4">
        <f t="shared" si="2"/>
        <v>0.001187499295</v>
      </c>
    </row>
    <row r="634" ht="15.75" customHeight="1">
      <c r="B634" s="3">
        <v>44019.0</v>
      </c>
      <c r="C634" s="2">
        <v>-412.143</v>
      </c>
      <c r="D634" s="2">
        <f t="shared" si="1"/>
        <v>117917.526</v>
      </c>
      <c r="E634" s="4">
        <f t="shared" si="2"/>
        <v>-0.003489086235</v>
      </c>
    </row>
    <row r="635" ht="15.75" customHeight="1">
      <c r="B635" s="3">
        <v>44050.0</v>
      </c>
      <c r="C635" s="2">
        <v>721.292</v>
      </c>
      <c r="D635" s="2">
        <f t="shared" si="1"/>
        <v>118638.818</v>
      </c>
      <c r="E635" s="4">
        <f t="shared" si="2"/>
        <v>0.006098286972</v>
      </c>
    </row>
    <row r="636" ht="15.75" customHeight="1">
      <c r="B636" s="3">
        <v>44081.0</v>
      </c>
      <c r="C636" s="2">
        <v>-1927.993</v>
      </c>
      <c r="D636" s="2">
        <f t="shared" si="1"/>
        <v>116710.825</v>
      </c>
      <c r="E636" s="4">
        <f t="shared" si="2"/>
        <v>-0.01638444066</v>
      </c>
    </row>
    <row r="637" ht="15.75" customHeight="1">
      <c r="B637" s="3">
        <v>44111.0</v>
      </c>
      <c r="C637" s="2">
        <v>-1744.751</v>
      </c>
      <c r="D637" s="2">
        <f t="shared" si="1"/>
        <v>114966.074</v>
      </c>
      <c r="E637" s="4">
        <f t="shared" si="2"/>
        <v>-0.01506221806</v>
      </c>
    </row>
    <row r="638" ht="15.75" customHeight="1">
      <c r="B638" s="3" t="s">
        <v>380</v>
      </c>
      <c r="C638" s="2">
        <v>95.298</v>
      </c>
      <c r="D638" s="2">
        <f t="shared" si="1"/>
        <v>115061.372</v>
      </c>
      <c r="E638" s="4">
        <f t="shared" si="2"/>
        <v>0.0008285794335</v>
      </c>
    </row>
    <row r="639" ht="15.75" customHeight="1">
      <c r="B639" s="3" t="s">
        <v>381</v>
      </c>
      <c r="C639" s="2">
        <v>1903.85</v>
      </c>
      <c r="D639" s="2">
        <f t="shared" si="1"/>
        <v>116965.222</v>
      </c>
      <c r="E639" s="4">
        <f t="shared" si="2"/>
        <v>0.01641098717</v>
      </c>
    </row>
    <row r="640" ht="15.75" customHeight="1">
      <c r="B640" s="3" t="s">
        <v>382</v>
      </c>
      <c r="C640" s="2">
        <v>-1148.187</v>
      </c>
      <c r="D640" s="2">
        <f t="shared" si="1"/>
        <v>115817.035</v>
      </c>
      <c r="E640" s="4">
        <f t="shared" si="2"/>
        <v>-0.009864981347</v>
      </c>
    </row>
    <row r="641" ht="15.75" customHeight="1">
      <c r="B641" s="3" t="s">
        <v>383</v>
      </c>
      <c r="C641" s="2">
        <v>4183.937</v>
      </c>
      <c r="D641" s="2">
        <f t="shared" si="1"/>
        <v>120000.972</v>
      </c>
      <c r="E641" s="4">
        <f t="shared" si="2"/>
        <v>0.03548818135</v>
      </c>
    </row>
    <row r="642" ht="15.75" customHeight="1">
      <c r="B642" s="3" t="s">
        <v>384</v>
      </c>
      <c r="C642" s="2">
        <v>-914.153</v>
      </c>
      <c r="D642" s="2">
        <f t="shared" si="1"/>
        <v>119086.819</v>
      </c>
      <c r="E642" s="4">
        <f t="shared" si="2"/>
        <v>-0.007647044217</v>
      </c>
    </row>
    <row r="643" ht="15.75" customHeight="1">
      <c r="B643" s="3" t="s">
        <v>385</v>
      </c>
      <c r="C643" s="2">
        <v>2010.499</v>
      </c>
      <c r="D643" s="2">
        <f t="shared" si="1"/>
        <v>121097.318</v>
      </c>
      <c r="E643" s="4">
        <f t="shared" si="2"/>
        <v>0.0167417048</v>
      </c>
    </row>
    <row r="644" ht="15.75" customHeight="1">
      <c r="B644" s="3" t="s">
        <v>386</v>
      </c>
      <c r="C644" s="2">
        <v>-1605.698</v>
      </c>
      <c r="D644" s="2">
        <f t="shared" si="1"/>
        <v>119491.62</v>
      </c>
      <c r="E644" s="4">
        <f t="shared" si="2"/>
        <v>-0.01334825994</v>
      </c>
    </row>
    <row r="645" ht="15.75" customHeight="1">
      <c r="B645" s="3" t="s">
        <v>387</v>
      </c>
      <c r="C645" s="2">
        <v>422.411</v>
      </c>
      <c r="D645" s="2">
        <f t="shared" si="1"/>
        <v>119914.031</v>
      </c>
      <c r="E645" s="4">
        <f t="shared" si="2"/>
        <v>0.003528834316</v>
      </c>
    </row>
    <row r="646" ht="15.75" customHeight="1">
      <c r="B646" s="3" t="s">
        <v>388</v>
      </c>
      <c r="C646" s="2">
        <v>-718.968</v>
      </c>
      <c r="D646" s="2">
        <f t="shared" si="1"/>
        <v>119195.063</v>
      </c>
      <c r="E646" s="4">
        <f t="shared" si="2"/>
        <v>-0.006013741717</v>
      </c>
    </row>
    <row r="647" ht="15.75" customHeight="1">
      <c r="B647" s="3" t="s">
        <v>389</v>
      </c>
      <c r="C647" s="2">
        <v>936.133</v>
      </c>
      <c r="D647" s="2">
        <f t="shared" si="1"/>
        <v>120131.196</v>
      </c>
      <c r="E647" s="4">
        <f t="shared" si="2"/>
        <v>0.007823109577</v>
      </c>
    </row>
    <row r="648" ht="15.75" customHeight="1">
      <c r="B648" s="3" t="s">
        <v>390</v>
      </c>
      <c r="C648" s="2">
        <v>753.906</v>
      </c>
      <c r="D648" s="2">
        <f t="shared" si="1"/>
        <v>120885.102</v>
      </c>
      <c r="E648" s="4">
        <f t="shared" si="2"/>
        <v>0.006256078657</v>
      </c>
    </row>
    <row r="649" ht="15.75" customHeight="1">
      <c r="B649" s="3" t="s">
        <v>391</v>
      </c>
      <c r="C649" s="2">
        <v>-2084.527</v>
      </c>
      <c r="D649" s="2">
        <f t="shared" si="1"/>
        <v>118800.575</v>
      </c>
      <c r="E649" s="4">
        <f t="shared" si="2"/>
        <v>-0.01739427724</v>
      </c>
    </row>
    <row r="650" ht="15.75" customHeight="1">
      <c r="B650" s="3" t="s">
        <v>392</v>
      </c>
      <c r="C650" s="2">
        <v>513.751</v>
      </c>
      <c r="D650" s="2">
        <f t="shared" si="1"/>
        <v>119314.326</v>
      </c>
      <c r="E650" s="4">
        <f t="shared" si="2"/>
        <v>0.004315158733</v>
      </c>
    </row>
    <row r="651" ht="15.75" customHeight="1">
      <c r="B651" s="3" t="s">
        <v>393</v>
      </c>
      <c r="C651" s="2">
        <v>-2178.038</v>
      </c>
      <c r="D651" s="2">
        <f t="shared" si="1"/>
        <v>117136.288</v>
      </c>
      <c r="E651" s="4">
        <f t="shared" si="2"/>
        <v>-0.01842329413</v>
      </c>
    </row>
    <row r="652" ht="15.75" customHeight="1">
      <c r="B652" s="3" t="s">
        <v>394</v>
      </c>
      <c r="C652" s="2">
        <v>194.354</v>
      </c>
      <c r="D652" s="2">
        <f t="shared" si="1"/>
        <v>117330.642</v>
      </c>
      <c r="E652" s="4">
        <f t="shared" si="2"/>
        <v>0.001657837585</v>
      </c>
    </row>
    <row r="653" ht="15.75" customHeight="1">
      <c r="B653" s="3">
        <v>43898.0</v>
      </c>
      <c r="C653" s="2">
        <v>-2285.061</v>
      </c>
      <c r="D653" s="2">
        <f t="shared" si="1"/>
        <v>115045.581</v>
      </c>
      <c r="E653" s="4">
        <f t="shared" si="2"/>
        <v>-0.01966754281</v>
      </c>
    </row>
    <row r="654" ht="15.75" customHeight="1">
      <c r="B654" s="3">
        <v>43929.0</v>
      </c>
      <c r="C654" s="2">
        <v>2613.853</v>
      </c>
      <c r="D654" s="2">
        <f t="shared" si="1"/>
        <v>117659.434</v>
      </c>
      <c r="E654" s="4">
        <f t="shared" si="2"/>
        <v>0.0224658926</v>
      </c>
    </row>
    <row r="655" ht="15.75" customHeight="1">
      <c r="B655" s="3">
        <v>43959.0</v>
      </c>
      <c r="C655" s="2">
        <v>346.466</v>
      </c>
      <c r="D655" s="2">
        <f t="shared" si="1"/>
        <v>118005.9</v>
      </c>
      <c r="E655" s="4">
        <f t="shared" si="2"/>
        <v>0.002940324262</v>
      </c>
    </row>
    <row r="656" ht="15.75" customHeight="1">
      <c r="B656" s="3">
        <v>43990.0</v>
      </c>
      <c r="C656" s="2">
        <v>597.757</v>
      </c>
      <c r="D656" s="2">
        <f t="shared" si="1"/>
        <v>118603.657</v>
      </c>
      <c r="E656" s="4">
        <f t="shared" si="2"/>
        <v>0.005052697611</v>
      </c>
    </row>
    <row r="657" ht="15.75" customHeight="1">
      <c r="B657" s="3">
        <v>44020.0</v>
      </c>
      <c r="C657" s="2">
        <v>-267.405</v>
      </c>
      <c r="D657" s="2">
        <f t="shared" si="1"/>
        <v>118336.252</v>
      </c>
      <c r="E657" s="4">
        <f t="shared" si="2"/>
        <v>-0.002257155535</v>
      </c>
    </row>
    <row r="658" ht="15.75" customHeight="1">
      <c r="B658" s="3">
        <v>44112.0</v>
      </c>
      <c r="C658" s="2">
        <v>-585.438</v>
      </c>
      <c r="D658" s="2">
        <f t="shared" si="1"/>
        <v>117750.814</v>
      </c>
      <c r="E658" s="4">
        <f t="shared" si="2"/>
        <v>-0.004959519468</v>
      </c>
    </row>
    <row r="659" ht="15.75" customHeight="1">
      <c r="B659" s="3">
        <v>44143.0</v>
      </c>
      <c r="C659" s="2">
        <v>1509.551</v>
      </c>
      <c r="D659" s="2">
        <f t="shared" si="1"/>
        <v>119260.365</v>
      </c>
      <c r="E659" s="4">
        <f t="shared" si="2"/>
        <v>0.01273839841</v>
      </c>
    </row>
    <row r="660" ht="15.75" customHeight="1">
      <c r="B660" s="3">
        <v>44173.0</v>
      </c>
      <c r="C660" s="2">
        <v>16.639</v>
      </c>
      <c r="D660" s="2">
        <f t="shared" si="1"/>
        <v>119277.004</v>
      </c>
      <c r="E660" s="4">
        <f t="shared" si="2"/>
        <v>0.0001395085399</v>
      </c>
    </row>
    <row r="661" ht="15.75" customHeight="1">
      <c r="B661" s="3" t="s">
        <v>395</v>
      </c>
      <c r="C661" s="2">
        <v>-506.231</v>
      </c>
      <c r="D661" s="2">
        <f t="shared" si="1"/>
        <v>118770.773</v>
      </c>
      <c r="E661" s="4">
        <f t="shared" si="2"/>
        <v>-0.004253194628</v>
      </c>
    </row>
    <row r="662" ht="15.75" customHeight="1">
      <c r="B662" s="3" t="s">
        <v>396</v>
      </c>
      <c r="C662" s="2">
        <v>-320.036</v>
      </c>
      <c r="D662" s="2">
        <f t="shared" si="1"/>
        <v>118450.737</v>
      </c>
      <c r="E662" s="4">
        <f t="shared" si="2"/>
        <v>-0.002698205522</v>
      </c>
    </row>
    <row r="663" ht="15.75" customHeight="1">
      <c r="B663" s="3" t="s">
        <v>397</v>
      </c>
      <c r="C663" s="2">
        <v>-1414.748</v>
      </c>
      <c r="D663" s="2">
        <f t="shared" si="1"/>
        <v>117035.989</v>
      </c>
      <c r="E663" s="4">
        <f t="shared" si="2"/>
        <v>-0.01201566683</v>
      </c>
    </row>
    <row r="664" ht="15.75" customHeight="1">
      <c r="B664" s="3" t="s">
        <v>398</v>
      </c>
      <c r="C664" s="2">
        <v>-658.637</v>
      </c>
      <c r="D664" s="2">
        <f t="shared" si="1"/>
        <v>116377.352</v>
      </c>
      <c r="E664" s="4">
        <f t="shared" si="2"/>
        <v>-0.00564353987</v>
      </c>
    </row>
    <row r="665" ht="15.75" customHeight="1">
      <c r="B665" s="3" t="s">
        <v>399</v>
      </c>
      <c r="C665" s="2">
        <v>541.745</v>
      </c>
      <c r="D665" s="2">
        <f t="shared" si="1"/>
        <v>116919.097</v>
      </c>
      <c r="E665" s="4">
        <f t="shared" si="2"/>
        <v>0.004644271064</v>
      </c>
    </row>
    <row r="666" ht="15.75" customHeight="1">
      <c r="B666" s="3" t="s">
        <v>400</v>
      </c>
      <c r="C666" s="2">
        <v>724.892</v>
      </c>
      <c r="D666" s="2">
        <f t="shared" si="1"/>
        <v>117643.989</v>
      </c>
      <c r="E666" s="4">
        <f t="shared" si="2"/>
        <v>0.006180804662</v>
      </c>
    </row>
    <row r="667" ht="15.75" customHeight="1">
      <c r="B667" s="3" t="s">
        <v>401</v>
      </c>
      <c r="C667" s="2">
        <v>-304.408</v>
      </c>
      <c r="D667" s="2">
        <f t="shared" si="1"/>
        <v>117339.581</v>
      </c>
      <c r="E667" s="4">
        <f t="shared" si="2"/>
        <v>-0.002590888974</v>
      </c>
    </row>
    <row r="668" ht="15.75" customHeight="1">
      <c r="B668" s="3" t="s">
        <v>402</v>
      </c>
      <c r="C668" s="2">
        <v>-2749.235</v>
      </c>
      <c r="D668" s="2">
        <f t="shared" si="1"/>
        <v>114590.346</v>
      </c>
      <c r="E668" s="4">
        <f t="shared" si="2"/>
        <v>-0.02370857278</v>
      </c>
    </row>
    <row r="669" ht="15.75" customHeight="1">
      <c r="B669" s="3" t="s">
        <v>403</v>
      </c>
      <c r="C669" s="2">
        <v>-977.132</v>
      </c>
      <c r="D669" s="2">
        <f t="shared" si="1"/>
        <v>113613.214</v>
      </c>
      <c r="E669" s="4">
        <f t="shared" si="2"/>
        <v>-0.00856373995</v>
      </c>
    </row>
    <row r="670" ht="15.75" customHeight="1">
      <c r="B670" s="3" t="s">
        <v>404</v>
      </c>
      <c r="C670" s="2">
        <v>1875.271</v>
      </c>
      <c r="D670" s="2">
        <f t="shared" si="1"/>
        <v>115488.485</v>
      </c>
      <c r="E670" s="4">
        <f t="shared" si="2"/>
        <v>0.01637100808</v>
      </c>
    </row>
    <row r="671" ht="15.75" customHeight="1">
      <c r="B671" s="3" t="s">
        <v>405</v>
      </c>
      <c r="C671" s="2">
        <v>-417.107</v>
      </c>
      <c r="D671" s="2">
        <f t="shared" si="1"/>
        <v>115071.378</v>
      </c>
      <c r="E671" s="4">
        <f t="shared" si="2"/>
        <v>-0.003618213939</v>
      </c>
    </row>
    <row r="672" ht="15.75" customHeight="1">
      <c r="B672" s="3" t="s">
        <v>406</v>
      </c>
      <c r="C672" s="2">
        <v>261.144</v>
      </c>
      <c r="D672" s="2">
        <f t="shared" si="1"/>
        <v>115332.522</v>
      </c>
      <c r="E672" s="4">
        <f t="shared" si="2"/>
        <v>0.0022668376</v>
      </c>
    </row>
    <row r="673" ht="15.75" customHeight="1">
      <c r="B673" s="3" t="s">
        <v>407</v>
      </c>
      <c r="C673" s="2">
        <v>-473.258</v>
      </c>
      <c r="D673" s="2">
        <f t="shared" si="1"/>
        <v>114859.264</v>
      </c>
      <c r="E673" s="4">
        <f t="shared" si="2"/>
        <v>-0.004111864068</v>
      </c>
    </row>
    <row r="674" ht="15.75" customHeight="1">
      <c r="B674" s="3">
        <v>43839.0</v>
      </c>
      <c r="C674" s="2">
        <v>-1364.348</v>
      </c>
      <c r="D674" s="2">
        <f t="shared" si="1"/>
        <v>113494.916</v>
      </c>
      <c r="E674" s="4">
        <f t="shared" si="2"/>
        <v>-0.01194954465</v>
      </c>
    </row>
    <row r="675" ht="15.75" customHeight="1">
      <c r="B675" s="3">
        <v>43870.0</v>
      </c>
      <c r="C675" s="2">
        <v>-2449.636</v>
      </c>
      <c r="D675" s="2">
        <f t="shared" si="1"/>
        <v>111045.28</v>
      </c>
      <c r="E675" s="4">
        <f t="shared" si="2"/>
        <v>-0.02181999691</v>
      </c>
    </row>
    <row r="676" ht="15.75" customHeight="1">
      <c r="B676" s="3">
        <v>43899.0</v>
      </c>
      <c r="C676" s="2">
        <v>2183.206</v>
      </c>
      <c r="D676" s="2">
        <f t="shared" si="1"/>
        <v>113228.486</v>
      </c>
      <c r="E676" s="4">
        <f t="shared" si="2"/>
        <v>0.01946973116</v>
      </c>
    </row>
    <row r="677" ht="15.75" customHeight="1">
      <c r="B677" s="3">
        <v>43930.0</v>
      </c>
      <c r="C677" s="2">
        <v>483.603</v>
      </c>
      <c r="D677" s="2">
        <f t="shared" si="1"/>
        <v>113712.089</v>
      </c>
      <c r="E677" s="4">
        <f t="shared" si="2"/>
        <v>0.004261941541</v>
      </c>
    </row>
    <row r="678" ht="15.75" customHeight="1">
      <c r="B678" s="3">
        <v>44052.0</v>
      </c>
      <c r="C678" s="2">
        <v>2090.02</v>
      </c>
      <c r="D678" s="2">
        <f t="shared" si="1"/>
        <v>115802.109</v>
      </c>
      <c r="E678" s="4">
        <f t="shared" si="2"/>
        <v>0.01821305865</v>
      </c>
    </row>
    <row r="679" ht="15.75" customHeight="1">
      <c r="B679" s="3">
        <v>44083.0</v>
      </c>
      <c r="C679" s="2">
        <v>2731.898</v>
      </c>
      <c r="D679" s="2">
        <f t="shared" si="1"/>
        <v>118534.007</v>
      </c>
      <c r="E679" s="4">
        <f t="shared" si="2"/>
        <v>0.0233171209</v>
      </c>
    </row>
    <row r="680" ht="15.75" customHeight="1">
      <c r="B680" s="3">
        <v>44113.0</v>
      </c>
      <c r="C680" s="2">
        <v>-679.733</v>
      </c>
      <c r="D680" s="2">
        <f t="shared" si="1"/>
        <v>117854.274</v>
      </c>
      <c r="E680" s="4">
        <f t="shared" si="2"/>
        <v>-0.005751003143</v>
      </c>
    </row>
    <row r="681" ht="15.75" customHeight="1">
      <c r="B681" s="3">
        <v>44144.0</v>
      </c>
      <c r="C681" s="2">
        <v>-701.243</v>
      </c>
      <c r="D681" s="2">
        <f t="shared" si="1"/>
        <v>117153.031</v>
      </c>
      <c r="E681" s="4">
        <f t="shared" si="2"/>
        <v>-0.005967857733</v>
      </c>
    </row>
    <row r="682" ht="15.75" customHeight="1">
      <c r="B682" s="3" t="s">
        <v>408</v>
      </c>
      <c r="C682" s="2">
        <v>2054.817</v>
      </c>
      <c r="D682" s="2">
        <f t="shared" si="1"/>
        <v>119207.848</v>
      </c>
      <c r="E682" s="4">
        <f t="shared" si="2"/>
        <v>0.01738755396</v>
      </c>
    </row>
    <row r="683" ht="15.75" customHeight="1">
      <c r="B683" s="3" t="s">
        <v>409</v>
      </c>
      <c r="C683" s="2">
        <v>3113.869</v>
      </c>
      <c r="D683" s="2">
        <f t="shared" si="1"/>
        <v>122321.717</v>
      </c>
      <c r="E683" s="4">
        <f t="shared" si="2"/>
        <v>0.02578600708</v>
      </c>
    </row>
    <row r="684" ht="15.75" customHeight="1">
      <c r="B684" s="3" t="s">
        <v>410</v>
      </c>
      <c r="C684" s="2">
        <v>-1394.936</v>
      </c>
      <c r="D684" s="2">
        <f t="shared" si="1"/>
        <v>120926.781</v>
      </c>
      <c r="E684" s="4">
        <f t="shared" si="2"/>
        <v>-0.01146935174</v>
      </c>
    </row>
    <row r="685" ht="15.75" customHeight="1">
      <c r="B685" s="3" t="s">
        <v>411</v>
      </c>
      <c r="C685" s="2">
        <v>-677.348</v>
      </c>
      <c r="D685" s="2">
        <f t="shared" si="1"/>
        <v>120249.433</v>
      </c>
      <c r="E685" s="4">
        <f t="shared" si="2"/>
        <v>-0.00561705294</v>
      </c>
    </row>
    <row r="686" ht="15.75" customHeight="1">
      <c r="B686" s="3" t="s">
        <v>412</v>
      </c>
      <c r="C686" s="2">
        <v>-1007.519</v>
      </c>
      <c r="D686" s="2">
        <f t="shared" si="1"/>
        <v>119241.914</v>
      </c>
      <c r="E686" s="4">
        <f t="shared" si="2"/>
        <v>-0.008413873456</v>
      </c>
    </row>
    <row r="687" ht="15.75" customHeight="1">
      <c r="B687" s="3" t="s">
        <v>413</v>
      </c>
      <c r="C687" s="2">
        <v>3026.47</v>
      </c>
      <c r="D687" s="2">
        <f t="shared" si="1"/>
        <v>122268.384</v>
      </c>
      <c r="E687" s="4">
        <f t="shared" si="2"/>
        <v>0.02506417708</v>
      </c>
    </row>
    <row r="688" ht="15.75" customHeight="1">
      <c r="B688" s="3" t="s">
        <v>414</v>
      </c>
      <c r="C688" s="2">
        <v>-6882.222</v>
      </c>
      <c r="D688" s="2">
        <f t="shared" si="1"/>
        <v>115386.162</v>
      </c>
      <c r="E688" s="4">
        <f t="shared" si="2"/>
        <v>-0.05793406388</v>
      </c>
    </row>
    <row r="689" ht="15.75" customHeight="1">
      <c r="B689" s="3" t="s">
        <v>415</v>
      </c>
      <c r="C689" s="2">
        <v>-1833.633</v>
      </c>
      <c r="D689" s="2">
        <f t="shared" si="1"/>
        <v>113552.529</v>
      </c>
      <c r="E689" s="4">
        <f t="shared" si="2"/>
        <v>-0.01601889311</v>
      </c>
    </row>
    <row r="690" ht="15.75" customHeight="1">
      <c r="B690" s="3" t="s">
        <v>416</v>
      </c>
      <c r="C690" s="2">
        <v>-1096.728</v>
      </c>
      <c r="D690" s="2">
        <f t="shared" si="1"/>
        <v>112455.801</v>
      </c>
      <c r="E690" s="4">
        <f t="shared" si="2"/>
        <v>-0.009705275983</v>
      </c>
    </row>
    <row r="691" ht="15.75" customHeight="1">
      <c r="B691" s="3" t="s">
        <v>417</v>
      </c>
      <c r="C691" s="2">
        <v>501.496</v>
      </c>
      <c r="D691" s="2">
        <f t="shared" si="1"/>
        <v>112957.297</v>
      </c>
      <c r="E691" s="4">
        <f t="shared" si="2"/>
        <v>0.004449580187</v>
      </c>
    </row>
    <row r="692" ht="15.75" customHeight="1">
      <c r="B692" s="3" t="s">
        <v>418</v>
      </c>
      <c r="C692" s="2">
        <v>-1166.963</v>
      </c>
      <c r="D692" s="2">
        <f t="shared" si="1"/>
        <v>111790.334</v>
      </c>
      <c r="E692" s="4">
        <f t="shared" si="2"/>
        <v>-0.01038474561</v>
      </c>
    </row>
    <row r="693" ht="15.75" customHeight="1">
      <c r="B693" s="3" t="s">
        <v>419</v>
      </c>
      <c r="C693" s="2">
        <v>1970.711</v>
      </c>
      <c r="D693" s="2">
        <f t="shared" si="1"/>
        <v>113761.045</v>
      </c>
      <c r="E693" s="4">
        <f t="shared" si="2"/>
        <v>0.017475053</v>
      </c>
    </row>
    <row r="694" ht="15.75" customHeight="1">
      <c r="B694" s="3" t="s">
        <v>420</v>
      </c>
      <c r="C694" s="2">
        <v>2293.915</v>
      </c>
      <c r="D694" s="2">
        <f t="shared" si="1"/>
        <v>116054.96</v>
      </c>
      <c r="E694" s="4">
        <f t="shared" si="2"/>
        <v>0.01996371999</v>
      </c>
    </row>
    <row r="695" ht="15.75" customHeight="1">
      <c r="B695" s="3">
        <v>43840.0</v>
      </c>
      <c r="C695" s="2">
        <v>-1441.389</v>
      </c>
      <c r="D695" s="2">
        <f t="shared" si="1"/>
        <v>114613.571</v>
      </c>
      <c r="E695" s="4">
        <f t="shared" si="2"/>
        <v>-0.01249765414</v>
      </c>
    </row>
    <row r="696" ht="15.75" customHeight="1">
      <c r="B696" s="3">
        <v>43871.0</v>
      </c>
      <c r="C696" s="2">
        <v>-4398.034</v>
      </c>
      <c r="D696" s="2">
        <f t="shared" si="1"/>
        <v>110215.537</v>
      </c>
      <c r="E696" s="4">
        <f t="shared" si="2"/>
        <v>-0.03912834197</v>
      </c>
    </row>
    <row r="697" ht="15.75" customHeight="1">
      <c r="B697" s="3">
        <v>43961.0</v>
      </c>
      <c r="C697" s="2">
        <v>-367.168</v>
      </c>
      <c r="D697" s="2">
        <f t="shared" si="1"/>
        <v>109848.369</v>
      </c>
      <c r="E697" s="4">
        <f t="shared" si="2"/>
        <v>-0.00333692469</v>
      </c>
    </row>
    <row r="698" ht="15.75" customHeight="1">
      <c r="B698" s="3">
        <v>43992.0</v>
      </c>
      <c r="C698" s="2">
        <v>611.683</v>
      </c>
      <c r="D698" s="2">
        <f t="shared" si="1"/>
        <v>110460.052</v>
      </c>
      <c r="E698" s="4">
        <f t="shared" si="2"/>
        <v>0.005552984031</v>
      </c>
    </row>
    <row r="699" ht="15.75" customHeight="1">
      <c r="B699" s="3">
        <v>44022.0</v>
      </c>
      <c r="C699" s="2">
        <v>-469.115</v>
      </c>
      <c r="D699" s="2">
        <f t="shared" si="1"/>
        <v>109990.937</v>
      </c>
      <c r="E699" s="4">
        <f t="shared" si="2"/>
        <v>-0.004255963743</v>
      </c>
    </row>
    <row r="700" ht="15.75" customHeight="1">
      <c r="B700" s="3">
        <v>44053.0</v>
      </c>
      <c r="C700" s="2">
        <v>-443.195</v>
      </c>
      <c r="D700" s="2">
        <f t="shared" si="1"/>
        <v>109547.742</v>
      </c>
      <c r="E700" s="4">
        <f t="shared" si="2"/>
        <v>-0.004037517253</v>
      </c>
    </row>
    <row r="701" ht="15.75" customHeight="1">
      <c r="B701" s="3">
        <v>44084.0</v>
      </c>
      <c r="C701" s="2">
        <v>807.815</v>
      </c>
      <c r="D701" s="2">
        <f t="shared" si="1"/>
        <v>110355.557</v>
      </c>
      <c r="E701" s="4">
        <f t="shared" si="2"/>
        <v>0.007347035151</v>
      </c>
    </row>
    <row r="702" ht="15.75" customHeight="1">
      <c r="B702" s="3">
        <v>44175.0</v>
      </c>
      <c r="C702" s="2">
        <v>1993.962</v>
      </c>
      <c r="D702" s="2">
        <f t="shared" si="1"/>
        <v>112349.519</v>
      </c>
      <c r="E702" s="4">
        <f t="shared" si="2"/>
        <v>0.01790722797</v>
      </c>
    </row>
    <row r="703" ht="15.75" customHeight="1">
      <c r="B703" s="3" t="s">
        <v>421</v>
      </c>
      <c r="C703" s="2">
        <v>-1198.385</v>
      </c>
      <c r="D703" s="2">
        <f t="shared" si="1"/>
        <v>111151.134</v>
      </c>
      <c r="E703" s="4">
        <f t="shared" si="2"/>
        <v>-0.01072387457</v>
      </c>
    </row>
    <row r="704" ht="15.75" customHeight="1">
      <c r="B704" s="3" t="s">
        <v>422</v>
      </c>
      <c r="C704" s="2">
        <v>-2048.925</v>
      </c>
      <c r="D704" s="2">
        <f t="shared" si="1"/>
        <v>109102.209</v>
      </c>
      <c r="E704" s="4">
        <f t="shared" si="2"/>
        <v>-0.01860570267</v>
      </c>
    </row>
    <row r="705" ht="15.75" customHeight="1">
      <c r="B705" s="3" t="s">
        <v>423</v>
      </c>
      <c r="C705" s="2">
        <v>-52.194</v>
      </c>
      <c r="D705" s="2">
        <f t="shared" si="1"/>
        <v>109050.015</v>
      </c>
      <c r="E705" s="4">
        <f t="shared" si="2"/>
        <v>-0.0004785099142</v>
      </c>
    </row>
    <row r="706" ht="15.75" customHeight="1">
      <c r="B706" s="3" t="s">
        <v>424</v>
      </c>
      <c r="C706" s="2">
        <v>1615.569</v>
      </c>
      <c r="D706" s="2">
        <f t="shared" si="1"/>
        <v>110665.584</v>
      </c>
      <c r="E706" s="4">
        <f t="shared" si="2"/>
        <v>0.01470626687</v>
      </c>
    </row>
    <row r="707" ht="15.75" customHeight="1">
      <c r="B707" s="3" t="s">
        <v>425</v>
      </c>
      <c r="C707" s="2">
        <v>4413.044</v>
      </c>
      <c r="D707" s="2">
        <f t="shared" si="1"/>
        <v>115078.628</v>
      </c>
      <c r="E707" s="4">
        <f t="shared" si="2"/>
        <v>0.0391027194</v>
      </c>
    </row>
    <row r="708" ht="15.75" customHeight="1">
      <c r="B708" s="3" t="s">
        <v>426</v>
      </c>
      <c r="C708" s="2">
        <v>-102.543</v>
      </c>
      <c r="D708" s="2">
        <f t="shared" si="1"/>
        <v>114976.085</v>
      </c>
      <c r="E708" s="4">
        <f t="shared" si="2"/>
        <v>-0.0008914662556</v>
      </c>
    </row>
    <row r="709" ht="15.75" customHeight="1">
      <c r="B709" s="3" t="s">
        <v>427</v>
      </c>
      <c r="C709" s="2">
        <v>-601.004</v>
      </c>
      <c r="D709" s="2">
        <f t="shared" si="1"/>
        <v>114375.081</v>
      </c>
      <c r="E709" s="4">
        <f t="shared" si="2"/>
        <v>-0.005240918423</v>
      </c>
    </row>
    <row r="710" ht="15.75" customHeight="1">
      <c r="B710" s="3" t="s">
        <v>428</v>
      </c>
      <c r="C710" s="2">
        <v>-1490.675</v>
      </c>
      <c r="D710" s="2">
        <f t="shared" si="1"/>
        <v>112884.406</v>
      </c>
      <c r="E710" s="4">
        <f t="shared" si="2"/>
        <v>-0.01311889241</v>
      </c>
    </row>
    <row r="711" ht="15.75" customHeight="1">
      <c r="B711" s="3" t="s">
        <v>429</v>
      </c>
      <c r="C711" s="2">
        <v>-241.149</v>
      </c>
      <c r="D711" s="2">
        <f t="shared" si="1"/>
        <v>112643.257</v>
      </c>
      <c r="E711" s="4">
        <f t="shared" si="2"/>
        <v>-0.002138532264</v>
      </c>
    </row>
    <row r="712" ht="15.75" customHeight="1">
      <c r="B712" s="3" t="s">
        <v>430</v>
      </c>
      <c r="C712" s="2">
        <v>-449.396</v>
      </c>
      <c r="D712" s="2">
        <f t="shared" si="1"/>
        <v>112193.861</v>
      </c>
      <c r="E712" s="4">
        <f t="shared" si="2"/>
        <v>-0.003997530323</v>
      </c>
    </row>
    <row r="713" ht="15.75" customHeight="1">
      <c r="B713" s="3" t="s">
        <v>431</v>
      </c>
      <c r="C713" s="2">
        <v>-848.174</v>
      </c>
      <c r="D713" s="2">
        <f t="shared" si="1"/>
        <v>111345.687</v>
      </c>
      <c r="E713" s="4">
        <f t="shared" si="2"/>
        <v>-0.007588617566</v>
      </c>
    </row>
    <row r="714" ht="15.75" customHeight="1">
      <c r="B714" s="3" t="s">
        <v>432</v>
      </c>
      <c r="C714" s="2">
        <v>862.534</v>
      </c>
      <c r="D714" s="2">
        <f t="shared" si="1"/>
        <v>112208.221</v>
      </c>
      <c r="E714" s="4">
        <f t="shared" si="2"/>
        <v>0.007716602118</v>
      </c>
    </row>
    <row r="715" ht="15.75" customHeight="1">
      <c r="B715" s="3" t="s">
        <v>433</v>
      </c>
      <c r="C715" s="2">
        <v>-3507.957</v>
      </c>
      <c r="D715" s="2">
        <f t="shared" si="1"/>
        <v>108700.264</v>
      </c>
      <c r="E715" s="4">
        <f t="shared" si="2"/>
        <v>-0.03176203852</v>
      </c>
    </row>
    <row r="716" ht="15.75" customHeight="1">
      <c r="B716" s="3" t="s">
        <v>434</v>
      </c>
      <c r="C716" s="2">
        <v>-2658.468</v>
      </c>
      <c r="D716" s="2">
        <f t="shared" si="1"/>
        <v>106041.796</v>
      </c>
      <c r="E716" s="4">
        <f t="shared" si="2"/>
        <v>-0.02476090454</v>
      </c>
    </row>
    <row r="717" ht="15.75" customHeight="1">
      <c r="B717" s="3">
        <v>43872.0</v>
      </c>
      <c r="C717" s="2">
        <v>522.04</v>
      </c>
      <c r="D717" s="2">
        <f t="shared" si="1"/>
        <v>106563.836</v>
      </c>
      <c r="E717" s="4">
        <f t="shared" si="2"/>
        <v>0.00491088636</v>
      </c>
    </row>
    <row r="718" ht="15.75" customHeight="1">
      <c r="B718" s="3">
        <v>43901.0</v>
      </c>
      <c r="C718" s="2">
        <v>4392.873</v>
      </c>
      <c r="D718" s="2">
        <f t="shared" si="1"/>
        <v>110956.709</v>
      </c>
      <c r="E718" s="4">
        <f t="shared" si="2"/>
        <v>0.04039591159</v>
      </c>
    </row>
    <row r="719" ht="15.75" customHeight="1">
      <c r="B719" s="3">
        <v>43932.0</v>
      </c>
      <c r="C719" s="2">
        <v>235.315</v>
      </c>
      <c r="D719" s="2">
        <f t="shared" si="1"/>
        <v>111192.024</v>
      </c>
      <c r="E719" s="4">
        <f t="shared" si="2"/>
        <v>0.002118536395</v>
      </c>
    </row>
    <row r="720" ht="15.75" customHeight="1">
      <c r="B720" s="3">
        <v>43962.0</v>
      </c>
      <c r="C720" s="2">
        <v>1580.431</v>
      </c>
      <c r="D720" s="2">
        <f t="shared" si="1"/>
        <v>112772.455</v>
      </c>
      <c r="E720" s="4">
        <f t="shared" si="2"/>
        <v>0.01411346336</v>
      </c>
    </row>
    <row r="721" ht="15.75" customHeight="1">
      <c r="B721" s="3">
        <v>43993.0</v>
      </c>
      <c r="C721" s="2">
        <v>-1523.873</v>
      </c>
      <c r="D721" s="2">
        <f t="shared" si="1"/>
        <v>111248.582</v>
      </c>
      <c r="E721" s="4">
        <f t="shared" si="2"/>
        <v>-0.01360494108</v>
      </c>
    </row>
    <row r="722" ht="15.75" customHeight="1">
      <c r="B722" s="3">
        <v>44085.0</v>
      </c>
      <c r="C722" s="2">
        <v>2189.101</v>
      </c>
      <c r="D722" s="2">
        <f t="shared" si="1"/>
        <v>113437.683</v>
      </c>
      <c r="E722" s="4">
        <f t="shared" si="2"/>
        <v>0.01948646278</v>
      </c>
    </row>
    <row r="723" ht="15.75" customHeight="1">
      <c r="B723" s="3">
        <v>44115.0</v>
      </c>
      <c r="C723" s="2">
        <v>9780.94</v>
      </c>
      <c r="D723" s="2">
        <f t="shared" si="1"/>
        <v>123218.623</v>
      </c>
      <c r="E723" s="4">
        <f t="shared" si="2"/>
        <v>0.08270656271</v>
      </c>
    </row>
    <row r="724" ht="15.75" customHeight="1">
      <c r="B724" s="3">
        <v>44146.0</v>
      </c>
      <c r="C724" s="2">
        <v>1539.656</v>
      </c>
      <c r="D724" s="2">
        <f t="shared" si="1"/>
        <v>124758.279</v>
      </c>
      <c r="E724" s="4">
        <f t="shared" si="2"/>
        <v>0.01241789677</v>
      </c>
    </row>
    <row r="725" ht="15.75" customHeight="1">
      <c r="B725" s="3">
        <v>44176.0</v>
      </c>
      <c r="C725" s="2">
        <v>-320.982</v>
      </c>
      <c r="D725" s="2">
        <f t="shared" si="1"/>
        <v>124437.297</v>
      </c>
      <c r="E725" s="4">
        <f t="shared" si="2"/>
        <v>-0.002576146677</v>
      </c>
    </row>
    <row r="726" ht="15.75" customHeight="1">
      <c r="B726" s="3" t="s">
        <v>435</v>
      </c>
      <c r="C726" s="2">
        <v>-3337.419</v>
      </c>
      <c r="D726" s="2">
        <f t="shared" si="1"/>
        <v>121099.878</v>
      </c>
      <c r="E726" s="4">
        <f t="shared" si="2"/>
        <v>-0.02718630736</v>
      </c>
    </row>
    <row r="727" ht="15.75" customHeight="1">
      <c r="B727" s="3" t="s">
        <v>436</v>
      </c>
      <c r="C727" s="2">
        <v>-1682.572</v>
      </c>
      <c r="D727" s="2">
        <f t="shared" si="1"/>
        <v>119417.306</v>
      </c>
      <c r="E727" s="4">
        <f t="shared" si="2"/>
        <v>-0.0139915113</v>
      </c>
    </row>
    <row r="728" ht="15.75" customHeight="1">
      <c r="B728" s="3" t="s">
        <v>437</v>
      </c>
      <c r="C728" s="2">
        <v>2969.707</v>
      </c>
      <c r="D728" s="2">
        <f t="shared" si="1"/>
        <v>122387.013</v>
      </c>
      <c r="E728" s="4">
        <f t="shared" si="2"/>
        <v>0.02456412968</v>
      </c>
    </row>
    <row r="729" ht="15.75" customHeight="1">
      <c r="B729" s="3" t="s">
        <v>438</v>
      </c>
      <c r="C729" s="2">
        <v>468.623</v>
      </c>
      <c r="D729" s="2">
        <f t="shared" si="1"/>
        <v>122855.636</v>
      </c>
      <c r="E729" s="4">
        <f t="shared" si="2"/>
        <v>0.003821713493</v>
      </c>
    </row>
    <row r="730" ht="15.75" customHeight="1">
      <c r="B730" s="3" t="s">
        <v>439</v>
      </c>
      <c r="C730" s="2">
        <v>-2744.23</v>
      </c>
      <c r="D730" s="2">
        <f t="shared" si="1"/>
        <v>120111.406</v>
      </c>
      <c r="E730" s="4">
        <f t="shared" si="2"/>
        <v>-0.02259027957</v>
      </c>
    </row>
    <row r="731" ht="15.75" customHeight="1">
      <c r="B731" s="3" t="s">
        <v>440</v>
      </c>
      <c r="C731" s="2">
        <v>-1395.494</v>
      </c>
      <c r="D731" s="2">
        <f t="shared" si="1"/>
        <v>118715.912</v>
      </c>
      <c r="E731" s="4">
        <f t="shared" si="2"/>
        <v>-0.01168635057</v>
      </c>
    </row>
    <row r="732" ht="15.75" customHeight="1">
      <c r="B732" s="3" t="s">
        <v>441</v>
      </c>
      <c r="C732" s="2">
        <v>-995.105</v>
      </c>
      <c r="D732" s="2">
        <f t="shared" si="1"/>
        <v>117720.807</v>
      </c>
      <c r="E732" s="4">
        <f t="shared" si="2"/>
        <v>-0.008417566272</v>
      </c>
    </row>
    <row r="733" ht="15.75" customHeight="1">
      <c r="B733" s="3" t="s">
        <v>442</v>
      </c>
      <c r="C733" s="2">
        <v>1501.213</v>
      </c>
      <c r="D733" s="2">
        <f t="shared" si="1"/>
        <v>119222.02</v>
      </c>
      <c r="E733" s="4">
        <f t="shared" si="2"/>
        <v>0.01267169052</v>
      </c>
    </row>
    <row r="734" ht="15.75" customHeight="1">
      <c r="B734" s="3" t="s">
        <v>443</v>
      </c>
      <c r="C734" s="2">
        <v>853.518</v>
      </c>
      <c r="D734" s="2">
        <f t="shared" si="1"/>
        <v>120075.538</v>
      </c>
      <c r="E734" s="4">
        <f t="shared" si="2"/>
        <v>0.00713355896</v>
      </c>
    </row>
    <row r="735" ht="15.75" customHeight="1">
      <c r="B735" s="3" t="s">
        <v>444</v>
      </c>
      <c r="C735" s="2">
        <v>634.612</v>
      </c>
      <c r="D735" s="2">
        <f t="shared" si="1"/>
        <v>120710.15</v>
      </c>
      <c r="E735" s="4">
        <f t="shared" si="2"/>
        <v>0.005271189286</v>
      </c>
    </row>
    <row r="736" ht="15.75" customHeight="1">
      <c r="B736" s="3" t="s">
        <v>445</v>
      </c>
      <c r="C736" s="2">
        <v>-781.603</v>
      </c>
      <c r="D736" s="2">
        <f t="shared" si="1"/>
        <v>119928.547</v>
      </c>
      <c r="E736" s="4">
        <f t="shared" si="2"/>
        <v>-0.00649609359</v>
      </c>
    </row>
    <row r="737" ht="15.75" customHeight="1">
      <c r="B737" s="3">
        <v>43842.0</v>
      </c>
      <c r="C737" s="2">
        <v>1737.242</v>
      </c>
      <c r="D737" s="2">
        <f t="shared" si="1"/>
        <v>121665.789</v>
      </c>
      <c r="E737" s="4">
        <f t="shared" si="2"/>
        <v>0.01438172742</v>
      </c>
    </row>
    <row r="738" ht="15.75" customHeight="1">
      <c r="B738" s="3">
        <v>43873.0</v>
      </c>
      <c r="C738" s="2">
        <v>-91.501</v>
      </c>
      <c r="D738" s="2">
        <f t="shared" si="1"/>
        <v>121574.288</v>
      </c>
      <c r="E738" s="4">
        <f t="shared" si="2"/>
        <v>-0.0007523513842</v>
      </c>
    </row>
    <row r="739" ht="15.75" customHeight="1">
      <c r="B739" s="3">
        <v>43902.0</v>
      </c>
      <c r="C739" s="2">
        <v>-1760.125</v>
      </c>
      <c r="D739" s="2">
        <f t="shared" si="1"/>
        <v>119814.163</v>
      </c>
      <c r="E739" s="4">
        <f t="shared" si="2"/>
        <v>-0.01458359908</v>
      </c>
    </row>
    <row r="740" ht="15.75" customHeight="1">
      <c r="B740" s="3">
        <v>43933.0</v>
      </c>
      <c r="C740" s="2">
        <v>-989.63</v>
      </c>
      <c r="D740" s="2">
        <f t="shared" si="1"/>
        <v>118824.533</v>
      </c>
      <c r="E740" s="4">
        <f t="shared" si="2"/>
        <v>-0.008294008387</v>
      </c>
    </row>
    <row r="741" ht="15.75" customHeight="1">
      <c r="B741" s="3">
        <v>44024.0</v>
      </c>
      <c r="C741" s="2">
        <v>-3309.513</v>
      </c>
      <c r="D741" s="2">
        <f t="shared" si="1"/>
        <v>115515.02</v>
      </c>
      <c r="E741" s="4">
        <f t="shared" si="2"/>
        <v>-0.02824732755</v>
      </c>
    </row>
    <row r="742" ht="15.75" customHeight="1">
      <c r="B742" s="3">
        <v>44055.0</v>
      </c>
      <c r="C742" s="2">
        <v>-1882.218</v>
      </c>
      <c r="D742" s="2">
        <f t="shared" si="1"/>
        <v>113632.802</v>
      </c>
      <c r="E742" s="4">
        <f t="shared" si="2"/>
        <v>-0.01642835019</v>
      </c>
    </row>
    <row r="743" ht="15.75" customHeight="1">
      <c r="B743" s="3">
        <v>44086.0</v>
      </c>
      <c r="C743" s="2">
        <v>-1054.767</v>
      </c>
      <c r="D743" s="2">
        <f t="shared" si="1"/>
        <v>112578.035</v>
      </c>
      <c r="E743" s="4">
        <f t="shared" si="2"/>
        <v>-0.009325588978</v>
      </c>
    </row>
    <row r="744" ht="15.75" customHeight="1">
      <c r="B744" s="3">
        <v>44116.0</v>
      </c>
      <c r="C744" s="2">
        <v>917.947</v>
      </c>
      <c r="D744" s="2">
        <f t="shared" si="1"/>
        <v>113495.982</v>
      </c>
      <c r="E744" s="4">
        <f t="shared" si="2"/>
        <v>0.008120809785</v>
      </c>
    </row>
    <row r="745" ht="15.75" customHeight="1">
      <c r="B745" s="3">
        <v>44147.0</v>
      </c>
      <c r="C745" s="2">
        <v>-2035.377</v>
      </c>
      <c r="D745" s="2">
        <f t="shared" si="1"/>
        <v>111460.605</v>
      </c>
      <c r="E745" s="4">
        <f t="shared" si="2"/>
        <v>-0.01809622533</v>
      </c>
    </row>
    <row r="746" ht="15.75" customHeight="1">
      <c r="B746" s="3" t="s">
        <v>446</v>
      </c>
      <c r="C746" s="2">
        <v>-2655.518</v>
      </c>
      <c r="D746" s="2">
        <f t="shared" si="1"/>
        <v>108805.087</v>
      </c>
      <c r="E746" s="4">
        <f t="shared" si="2"/>
        <v>-0.02411312124</v>
      </c>
    </row>
    <row r="747" ht="15.75" customHeight="1">
      <c r="B747" s="3" t="s">
        <v>447</v>
      </c>
      <c r="C747" s="2">
        <v>-784.216</v>
      </c>
      <c r="D747" s="2">
        <f t="shared" si="1"/>
        <v>108020.871</v>
      </c>
      <c r="E747" s="4">
        <f t="shared" si="2"/>
        <v>-0.00723363039</v>
      </c>
    </row>
    <row r="748" ht="15.75" customHeight="1">
      <c r="B748" s="3" t="s">
        <v>448</v>
      </c>
      <c r="C748" s="2">
        <v>-4193.274</v>
      </c>
      <c r="D748" s="2">
        <f t="shared" si="1"/>
        <v>103827.597</v>
      </c>
      <c r="E748" s="4">
        <f t="shared" si="2"/>
        <v>-0.03959265601</v>
      </c>
    </row>
    <row r="749" ht="15.75" customHeight="1">
      <c r="B749" s="3" t="s">
        <v>449</v>
      </c>
      <c r="C749" s="2">
        <v>2738.775</v>
      </c>
      <c r="D749" s="2">
        <f t="shared" si="1"/>
        <v>106566.372</v>
      </c>
      <c r="E749" s="4">
        <f t="shared" si="2"/>
        <v>0.02603619985</v>
      </c>
    </row>
    <row r="750" ht="15.75" customHeight="1">
      <c r="B750" s="3" t="s">
        <v>450</v>
      </c>
      <c r="C750" s="2">
        <v>2642.939</v>
      </c>
      <c r="D750" s="2">
        <f t="shared" si="1"/>
        <v>109209.311</v>
      </c>
      <c r="E750" s="4">
        <f t="shared" si="2"/>
        <v>0.02449832294</v>
      </c>
    </row>
    <row r="751" ht="15.75" customHeight="1">
      <c r="B751" s="3" t="s">
        <v>451</v>
      </c>
      <c r="C751" s="2">
        <v>2142.443</v>
      </c>
      <c r="D751" s="2">
        <f t="shared" si="1"/>
        <v>111351.754</v>
      </c>
      <c r="E751" s="4">
        <f t="shared" si="2"/>
        <v>0.01942782047</v>
      </c>
    </row>
    <row r="752" ht="15.75" customHeight="1">
      <c r="B752" s="3" t="s">
        <v>452</v>
      </c>
      <c r="C752" s="2">
        <v>4507.407</v>
      </c>
      <c r="D752" s="2">
        <f t="shared" si="1"/>
        <v>115859.161</v>
      </c>
      <c r="E752" s="4">
        <f t="shared" si="2"/>
        <v>0.03968117843</v>
      </c>
    </row>
    <row r="753" ht="15.75" customHeight="1">
      <c r="B753" s="3" t="s">
        <v>453</v>
      </c>
      <c r="C753" s="2">
        <v>2111.472</v>
      </c>
      <c r="D753" s="2">
        <f t="shared" si="1"/>
        <v>117970.633</v>
      </c>
      <c r="E753" s="4">
        <f t="shared" si="2"/>
        <v>0.01806039647</v>
      </c>
    </row>
    <row r="754" ht="15.75" customHeight="1">
      <c r="B754" s="3" t="s">
        <v>454</v>
      </c>
      <c r="C754" s="2">
        <v>-1800.712</v>
      </c>
      <c r="D754" s="2">
        <f t="shared" si="1"/>
        <v>116169.921</v>
      </c>
      <c r="E754" s="4">
        <f t="shared" si="2"/>
        <v>-0.01538176512</v>
      </c>
    </row>
    <row r="755" ht="15.75" customHeight="1">
      <c r="B755" s="3" t="s">
        <v>455</v>
      </c>
      <c r="C755" s="2">
        <v>-55.324</v>
      </c>
      <c r="D755" s="2">
        <f t="shared" si="1"/>
        <v>116114.597</v>
      </c>
      <c r="E755" s="4">
        <f t="shared" si="2"/>
        <v>-0.0004763468657</v>
      </c>
    </row>
    <row r="756" ht="15.75" customHeight="1">
      <c r="B756" s="3" t="s">
        <v>456</v>
      </c>
      <c r="C756" s="2">
        <v>911.51</v>
      </c>
      <c r="D756" s="2">
        <f t="shared" si="1"/>
        <v>117026.107</v>
      </c>
      <c r="E756" s="4">
        <f t="shared" si="2"/>
        <v>0.007819438037</v>
      </c>
    </row>
    <row r="757" ht="15.75" customHeight="1">
      <c r="B757" s="3" t="s">
        <v>457</v>
      </c>
      <c r="C757" s="2">
        <v>1262.132</v>
      </c>
      <c r="D757" s="2">
        <f t="shared" si="1"/>
        <v>118288.239</v>
      </c>
      <c r="E757" s="4">
        <f t="shared" si="2"/>
        <v>0.01072730265</v>
      </c>
    </row>
    <row r="758" ht="15.75" customHeight="1">
      <c r="B758" s="3" t="s">
        <v>458</v>
      </c>
      <c r="C758" s="2">
        <v>-2658.036</v>
      </c>
      <c r="D758" s="2">
        <f t="shared" si="1"/>
        <v>115630.203</v>
      </c>
      <c r="E758" s="4">
        <f t="shared" si="2"/>
        <v>-0.02272715557</v>
      </c>
    </row>
    <row r="759" ht="15.75" customHeight="1">
      <c r="B759" s="3">
        <v>44287.0</v>
      </c>
      <c r="C759" s="2">
        <v>3311.456</v>
      </c>
      <c r="D759" s="2">
        <f t="shared" si="1"/>
        <v>118941.659</v>
      </c>
      <c r="E759" s="4">
        <f t="shared" si="2"/>
        <v>0.02823591865</v>
      </c>
    </row>
    <row r="760" ht="15.75" customHeight="1">
      <c r="B760" s="3">
        <v>44317.0</v>
      </c>
      <c r="C760" s="2">
        <v>-608.306</v>
      </c>
      <c r="D760" s="2">
        <f t="shared" si="1"/>
        <v>118333.353</v>
      </c>
      <c r="E760" s="4">
        <f t="shared" si="2"/>
        <v>-0.005127445386</v>
      </c>
    </row>
    <row r="761" ht="15.75" customHeight="1">
      <c r="B761" s="3">
        <v>44348.0</v>
      </c>
      <c r="C761" s="2">
        <v>-2209.392</v>
      </c>
      <c r="D761" s="2">
        <f t="shared" si="1"/>
        <v>116123.961</v>
      </c>
      <c r="E761" s="4">
        <f t="shared" si="2"/>
        <v>-0.01884741717</v>
      </c>
    </row>
    <row r="762" ht="15.75" customHeight="1">
      <c r="B762" s="3">
        <v>44378.0</v>
      </c>
      <c r="C762" s="2">
        <v>2371.424</v>
      </c>
      <c r="D762" s="2">
        <f t="shared" si="1"/>
        <v>118495.385</v>
      </c>
      <c r="E762" s="4">
        <f t="shared" si="2"/>
        <v>0.02021576483</v>
      </c>
    </row>
    <row r="763" ht="15.75" customHeight="1">
      <c r="B763" s="3">
        <v>44409.0</v>
      </c>
      <c r="C763" s="2">
        <v>-2843.076</v>
      </c>
      <c r="D763" s="2">
        <f t="shared" si="1"/>
        <v>115652.309</v>
      </c>
      <c r="E763" s="4">
        <f t="shared" si="2"/>
        <v>-0.02428566078</v>
      </c>
    </row>
    <row r="764" ht="15.75" customHeight="1">
      <c r="B764" s="3">
        <v>44501.0</v>
      </c>
      <c r="C764" s="2">
        <v>-400.264</v>
      </c>
      <c r="D764" s="2">
        <f t="shared" si="1"/>
        <v>115252.045</v>
      </c>
      <c r="E764" s="4">
        <f t="shared" si="2"/>
        <v>-0.003466928137</v>
      </c>
    </row>
    <row r="765" ht="15.75" customHeight="1">
      <c r="B765" s="3">
        <v>44531.0</v>
      </c>
      <c r="C765" s="2">
        <v>700.603</v>
      </c>
      <c r="D765" s="2">
        <f t="shared" si="1"/>
        <v>115952.648</v>
      </c>
      <c r="E765" s="4">
        <f t="shared" si="2"/>
        <v>0.006060475117</v>
      </c>
    </row>
    <row r="766" ht="15.75" customHeight="1">
      <c r="B766" s="3" t="s">
        <v>459</v>
      </c>
      <c r="C766" s="2">
        <v>227.317</v>
      </c>
      <c r="D766" s="2">
        <f t="shared" si="1"/>
        <v>116179.965</v>
      </c>
      <c r="E766" s="4">
        <f t="shared" si="2"/>
        <v>0.001958510437</v>
      </c>
    </row>
    <row r="767" ht="15.75" customHeight="1">
      <c r="B767" s="3" t="s">
        <v>460</v>
      </c>
      <c r="C767" s="2">
        <v>-816.417</v>
      </c>
      <c r="D767" s="2">
        <f t="shared" si="1"/>
        <v>115363.548</v>
      </c>
      <c r="E767" s="4">
        <f t="shared" si="2"/>
        <v>-0.007051982349</v>
      </c>
    </row>
    <row r="768" ht="15.75" customHeight="1">
      <c r="B768" s="3" t="s">
        <v>461</v>
      </c>
      <c r="C768" s="2">
        <v>2024.152</v>
      </c>
      <c r="D768" s="2">
        <f t="shared" si="1"/>
        <v>117387.7</v>
      </c>
      <c r="E768" s="4">
        <f t="shared" si="2"/>
        <v>0.01739370293</v>
      </c>
    </row>
    <row r="769" ht="15.75" customHeight="1">
      <c r="B769" s="3" t="s">
        <v>462</v>
      </c>
      <c r="C769" s="2">
        <v>2122.303</v>
      </c>
      <c r="D769" s="2">
        <f t="shared" si="1"/>
        <v>119510.003</v>
      </c>
      <c r="E769" s="4">
        <f t="shared" si="2"/>
        <v>0.01791794309</v>
      </c>
    </row>
    <row r="770" ht="15.75" customHeight="1">
      <c r="B770" s="3" t="s">
        <v>463</v>
      </c>
      <c r="C770" s="2">
        <v>-4070.996</v>
      </c>
      <c r="D770" s="2">
        <f t="shared" si="1"/>
        <v>115439.007</v>
      </c>
      <c r="E770" s="4">
        <f t="shared" si="2"/>
        <v>-0.03465776242</v>
      </c>
    </row>
    <row r="771" ht="15.75" customHeight="1">
      <c r="B771" s="3" t="s">
        <v>464</v>
      </c>
      <c r="C771" s="2">
        <v>-2745.398</v>
      </c>
      <c r="D771" s="2">
        <f t="shared" si="1"/>
        <v>112693.609</v>
      </c>
      <c r="E771" s="4">
        <f t="shared" si="2"/>
        <v>-0.02406960119</v>
      </c>
    </row>
    <row r="772" ht="15.75" customHeight="1">
      <c r="B772" s="3" t="s">
        <v>465</v>
      </c>
      <c r="C772" s="2">
        <v>-1306.022</v>
      </c>
      <c r="D772" s="2">
        <f t="shared" si="1"/>
        <v>111387.587</v>
      </c>
      <c r="E772" s="4">
        <f t="shared" si="2"/>
        <v>-0.01165681737</v>
      </c>
    </row>
    <row r="773" ht="15.75" customHeight="1">
      <c r="B773" s="3" t="s">
        <v>466</v>
      </c>
      <c r="C773" s="2">
        <v>555.305</v>
      </c>
      <c r="D773" s="2">
        <f t="shared" si="1"/>
        <v>111942.892</v>
      </c>
      <c r="E773" s="4">
        <f t="shared" si="2"/>
        <v>0.004972954403</v>
      </c>
    </row>
    <row r="774" ht="15.75" customHeight="1">
      <c r="B774" s="3" t="s">
        <v>467</v>
      </c>
      <c r="C774" s="2">
        <v>-403.57</v>
      </c>
      <c r="D774" s="2">
        <f t="shared" si="1"/>
        <v>111539.322</v>
      </c>
      <c r="E774" s="4">
        <f t="shared" si="2"/>
        <v>-0.003611655992</v>
      </c>
    </row>
    <row r="775" ht="15.75" customHeight="1">
      <c r="B775" s="3" t="s">
        <v>468</v>
      </c>
      <c r="C775" s="2">
        <v>-652.429</v>
      </c>
      <c r="D775" s="2">
        <f t="shared" si="1"/>
        <v>110886.893</v>
      </c>
      <c r="E775" s="4">
        <f t="shared" si="2"/>
        <v>-0.005866492591</v>
      </c>
    </row>
    <row r="776" ht="15.75" customHeight="1">
      <c r="B776" s="3" t="s">
        <v>469</v>
      </c>
      <c r="C776" s="2">
        <v>-2337.08</v>
      </c>
      <c r="D776" s="2">
        <f t="shared" si="1"/>
        <v>108549.813</v>
      </c>
      <c r="E776" s="4">
        <f t="shared" si="2"/>
        <v>-0.0213015262</v>
      </c>
    </row>
    <row r="777" ht="15.75" customHeight="1">
      <c r="B777" s="3" t="s">
        <v>470</v>
      </c>
      <c r="C777" s="2">
        <v>-2416.749</v>
      </c>
      <c r="D777" s="2">
        <f t="shared" si="1"/>
        <v>106133.064</v>
      </c>
      <c r="E777" s="4">
        <f t="shared" si="2"/>
        <v>-0.022515546</v>
      </c>
    </row>
    <row r="778" ht="15.75" customHeight="1">
      <c r="B778" s="3">
        <v>44198.0</v>
      </c>
      <c r="C778" s="2">
        <v>1018.534</v>
      </c>
      <c r="D778" s="2">
        <f t="shared" si="1"/>
        <v>107151.598</v>
      </c>
      <c r="E778" s="4">
        <f t="shared" si="2"/>
        <v>0.00955100787</v>
      </c>
    </row>
    <row r="779" ht="15.75" customHeight="1">
      <c r="B779" s="3">
        <v>44229.0</v>
      </c>
      <c r="C779" s="2">
        <v>-3819.6</v>
      </c>
      <c r="D779" s="2">
        <f t="shared" si="1"/>
        <v>103331.998</v>
      </c>
      <c r="E779" s="4">
        <f t="shared" si="2"/>
        <v>-0.03629754933</v>
      </c>
    </row>
    <row r="780" ht="15.75" customHeight="1">
      <c r="B780" s="3">
        <v>44257.0</v>
      </c>
      <c r="C780" s="2">
        <v>-763.089</v>
      </c>
      <c r="D780" s="2">
        <f t="shared" si="1"/>
        <v>102568.909</v>
      </c>
      <c r="E780" s="4">
        <f t="shared" si="2"/>
        <v>-0.007412230523</v>
      </c>
    </row>
    <row r="781" ht="15.75" customHeight="1">
      <c r="B781" s="3">
        <v>44288.0</v>
      </c>
      <c r="C781" s="2">
        <v>1947.833</v>
      </c>
      <c r="D781" s="2">
        <f t="shared" si="1"/>
        <v>104516.742</v>
      </c>
      <c r="E781" s="4">
        <f t="shared" si="2"/>
        <v>0.01881241347</v>
      </c>
    </row>
    <row r="782" ht="15.75" customHeight="1">
      <c r="B782" s="3">
        <v>44318.0</v>
      </c>
      <c r="C782" s="2">
        <v>888.046</v>
      </c>
      <c r="D782" s="2">
        <f t="shared" si="1"/>
        <v>105404.788</v>
      </c>
      <c r="E782" s="4">
        <f t="shared" si="2"/>
        <v>0.008460792922</v>
      </c>
    </row>
    <row r="783" ht="15.75" customHeight="1">
      <c r="B783" s="3">
        <v>44410.0</v>
      </c>
      <c r="C783" s="2">
        <v>58.147</v>
      </c>
      <c r="D783" s="2">
        <f t="shared" si="1"/>
        <v>105462.935</v>
      </c>
      <c r="E783" s="4">
        <f t="shared" si="2"/>
        <v>0.0005515021516</v>
      </c>
    </row>
    <row r="784" ht="15.75" customHeight="1">
      <c r="B784" s="3">
        <v>44441.0</v>
      </c>
      <c r="C784" s="2">
        <v>1405.874</v>
      </c>
      <c r="D784" s="2">
        <f t="shared" si="1"/>
        <v>106868.809</v>
      </c>
      <c r="E784" s="4">
        <f t="shared" si="2"/>
        <v>0.01324243392</v>
      </c>
    </row>
    <row r="785" ht="15.75" customHeight="1">
      <c r="B785" s="3">
        <v>44471.0</v>
      </c>
      <c r="C785" s="2">
        <v>214.584</v>
      </c>
      <c r="D785" s="2">
        <f t="shared" si="1"/>
        <v>107083.393</v>
      </c>
      <c r="E785" s="4">
        <f t="shared" si="2"/>
        <v>0.002005906646</v>
      </c>
    </row>
    <row r="786" ht="15.75" customHeight="1">
      <c r="B786" s="3">
        <v>44502.0</v>
      </c>
      <c r="C786" s="2">
        <v>3042.213</v>
      </c>
      <c r="D786" s="2">
        <f t="shared" si="1"/>
        <v>110125.606</v>
      </c>
      <c r="E786" s="4">
        <f t="shared" si="2"/>
        <v>0.02801368234</v>
      </c>
    </row>
    <row r="787" ht="15.75" customHeight="1">
      <c r="B787" s="3">
        <v>44532.0</v>
      </c>
      <c r="C787" s="2">
        <v>1543.473</v>
      </c>
      <c r="D787" s="2">
        <f t="shared" si="1"/>
        <v>111669.079</v>
      </c>
      <c r="E787" s="4">
        <f t="shared" si="2"/>
        <v>0.01391825883</v>
      </c>
    </row>
    <row r="788" ht="15.75" customHeight="1">
      <c r="B788" s="3" t="s">
        <v>471</v>
      </c>
      <c r="C788" s="2">
        <v>-1668.576</v>
      </c>
      <c r="D788" s="2">
        <f t="shared" si="1"/>
        <v>110000.503</v>
      </c>
      <c r="E788" s="4">
        <f t="shared" si="2"/>
        <v>-0.0150549074</v>
      </c>
    </row>
    <row r="789" ht="15.75" customHeight="1">
      <c r="B789" s="3" t="s">
        <v>472</v>
      </c>
      <c r="C789" s="2">
        <v>313.945</v>
      </c>
      <c r="D789" s="2">
        <f t="shared" si="1"/>
        <v>110314.448</v>
      </c>
      <c r="E789" s="4">
        <f t="shared" si="2"/>
        <v>0.002849967386</v>
      </c>
    </row>
    <row r="790" ht="15.75" customHeight="1">
      <c r="B790" s="3" t="s">
        <v>473</v>
      </c>
      <c r="C790" s="2">
        <v>882.83</v>
      </c>
      <c r="D790" s="2">
        <f t="shared" si="1"/>
        <v>111197.278</v>
      </c>
      <c r="E790" s="4">
        <f t="shared" si="2"/>
        <v>0.007970997204</v>
      </c>
    </row>
    <row r="791" ht="15.75" customHeight="1">
      <c r="B791" s="3" t="s">
        <v>474</v>
      </c>
      <c r="C791" s="2">
        <v>-117.196</v>
      </c>
      <c r="D791" s="2">
        <f t="shared" si="1"/>
        <v>111080.082</v>
      </c>
      <c r="E791" s="4">
        <f t="shared" si="2"/>
        <v>-0.001054502455</v>
      </c>
    </row>
    <row r="792" ht="15.75" customHeight="1">
      <c r="B792" s="3" t="s">
        <v>475</v>
      </c>
      <c r="C792" s="2">
        <v>818.894</v>
      </c>
      <c r="D792" s="2">
        <f t="shared" si="1"/>
        <v>111898.976</v>
      </c>
      <c r="E792" s="4">
        <f t="shared" si="2"/>
        <v>0.007345063603</v>
      </c>
    </row>
    <row r="793" ht="15.75" customHeight="1">
      <c r="B793" s="3" t="s">
        <v>476</v>
      </c>
      <c r="C793" s="2">
        <v>928.732</v>
      </c>
      <c r="D793" s="2">
        <f t="shared" si="1"/>
        <v>112827.708</v>
      </c>
      <c r="E793" s="4">
        <f t="shared" si="2"/>
        <v>0.008265482949</v>
      </c>
    </row>
    <row r="794" ht="15.75" customHeight="1">
      <c r="B794" s="3" t="s">
        <v>477</v>
      </c>
      <c r="C794" s="2">
        <v>-368.09</v>
      </c>
      <c r="D794" s="2">
        <f t="shared" si="1"/>
        <v>112459.618</v>
      </c>
      <c r="E794" s="4">
        <f t="shared" si="2"/>
        <v>-0.003267741103</v>
      </c>
    </row>
    <row r="795" ht="15.75" customHeight="1">
      <c r="B795" s="3" t="s">
        <v>478</v>
      </c>
      <c r="C795" s="2">
        <v>-744.527</v>
      </c>
      <c r="D795" s="2">
        <f t="shared" si="1"/>
        <v>111715.091</v>
      </c>
      <c r="E795" s="4">
        <f t="shared" si="2"/>
        <v>-0.006642406191</v>
      </c>
    </row>
    <row r="796" ht="15.75" customHeight="1">
      <c r="B796" s="3" t="s">
        <v>479</v>
      </c>
      <c r="C796" s="2">
        <v>1280.829</v>
      </c>
      <c r="D796" s="2">
        <f t="shared" si="1"/>
        <v>112995.92</v>
      </c>
      <c r="E796" s="4">
        <f t="shared" si="2"/>
        <v>0.01139991196</v>
      </c>
    </row>
    <row r="797" ht="15.75" customHeight="1">
      <c r="B797" s="3">
        <v>44199.0</v>
      </c>
      <c r="C797" s="2">
        <v>-3006.45</v>
      </c>
      <c r="D797" s="2">
        <f t="shared" si="1"/>
        <v>109989.47</v>
      </c>
      <c r="E797" s="4">
        <f t="shared" si="2"/>
        <v>-0.02696707793</v>
      </c>
    </row>
    <row r="798" ht="15.75" customHeight="1">
      <c r="B798" s="3">
        <v>44230.0</v>
      </c>
      <c r="C798" s="2">
        <v>-448.048</v>
      </c>
      <c r="D798" s="2">
        <f t="shared" si="1"/>
        <v>109541.422</v>
      </c>
      <c r="E798" s="4">
        <f t="shared" si="2"/>
        <v>-0.004081873107</v>
      </c>
    </row>
    <row r="799" ht="15.75" customHeight="1">
      <c r="B799" s="3">
        <v>44258.0</v>
      </c>
      <c r="C799" s="2">
        <v>-637.669</v>
      </c>
      <c r="D799" s="2">
        <f t="shared" si="1"/>
        <v>108903.753</v>
      </c>
      <c r="E799" s="4">
        <f t="shared" si="2"/>
        <v>-0.005838268676</v>
      </c>
    </row>
    <row r="800" ht="15.75" customHeight="1">
      <c r="B800" s="3">
        <v>44289.0</v>
      </c>
      <c r="C800" s="2">
        <v>2517.554</v>
      </c>
      <c r="D800" s="2">
        <f t="shared" si="1"/>
        <v>111421.307</v>
      </c>
      <c r="E800" s="4">
        <f t="shared" si="2"/>
        <v>0.02285408276</v>
      </c>
    </row>
    <row r="801" ht="15.75" customHeight="1">
      <c r="B801" s="3">
        <v>44319.0</v>
      </c>
      <c r="C801" s="2">
        <v>-2954.799</v>
      </c>
      <c r="D801" s="2">
        <f t="shared" si="1"/>
        <v>108466.508</v>
      </c>
      <c r="E801" s="4">
        <f t="shared" si="2"/>
        <v>-0.02687713161</v>
      </c>
    </row>
    <row r="802" ht="15.75" customHeight="1">
      <c r="B802" s="3">
        <v>44411.0</v>
      </c>
      <c r="C802" s="2">
        <v>1055.29</v>
      </c>
      <c r="D802" s="2">
        <f t="shared" si="1"/>
        <v>109521.798</v>
      </c>
      <c r="E802" s="4">
        <f t="shared" si="2"/>
        <v>0.009682154637</v>
      </c>
    </row>
    <row r="803" ht="15.75" customHeight="1">
      <c r="B803" s="3">
        <v>44442.0</v>
      </c>
      <c r="C803" s="2">
        <v>1278.681</v>
      </c>
      <c r="D803" s="2">
        <f t="shared" si="1"/>
        <v>110800.479</v>
      </c>
      <c r="E803" s="4">
        <f t="shared" si="2"/>
        <v>0.01160749947</v>
      </c>
    </row>
    <row r="804" ht="15.75" customHeight="1">
      <c r="B804" s="3">
        <v>44472.0</v>
      </c>
      <c r="C804" s="2">
        <v>-2574.336</v>
      </c>
      <c r="D804" s="2">
        <f t="shared" si="1"/>
        <v>108226.143</v>
      </c>
      <c r="E804" s="4">
        <f t="shared" si="2"/>
        <v>-0.02350814281</v>
      </c>
    </row>
    <row r="805" ht="15.75" customHeight="1">
      <c r="B805" s="3">
        <v>44503.0</v>
      </c>
      <c r="C805" s="2">
        <v>-876.3</v>
      </c>
      <c r="D805" s="2">
        <f t="shared" si="1"/>
        <v>107349.843</v>
      </c>
      <c r="E805" s="4">
        <f t="shared" si="2"/>
        <v>-0.008129892785</v>
      </c>
    </row>
    <row r="806" ht="15.75" customHeight="1">
      <c r="B806" s="3">
        <v>44533.0</v>
      </c>
      <c r="C806" s="2">
        <v>-846.087</v>
      </c>
      <c r="D806" s="2">
        <f t="shared" si="1"/>
        <v>106503.756</v>
      </c>
      <c r="E806" s="4">
        <f t="shared" si="2"/>
        <v>-0.007912809685</v>
      </c>
    </row>
    <row r="807" ht="15.75" customHeight="1">
      <c r="B807" s="3" t="s">
        <v>480</v>
      </c>
      <c r="C807" s="2">
        <v>531.93</v>
      </c>
      <c r="D807" s="2">
        <f t="shared" si="1"/>
        <v>107035.686</v>
      </c>
      <c r="E807" s="4">
        <f t="shared" si="2"/>
        <v>0.004982040744</v>
      </c>
    </row>
    <row r="808" ht="15.75" customHeight="1">
      <c r="B808" s="3" t="s">
        <v>481</v>
      </c>
      <c r="C808" s="2">
        <v>-2498.51</v>
      </c>
      <c r="D808" s="2">
        <f t="shared" si="1"/>
        <v>104537.176</v>
      </c>
      <c r="E808" s="4">
        <f t="shared" si="2"/>
        <v>-0.02361953354</v>
      </c>
    </row>
    <row r="809" ht="15.75" customHeight="1">
      <c r="B809" s="3" t="s">
        <v>482</v>
      </c>
      <c r="C809" s="2">
        <v>-178.191</v>
      </c>
      <c r="D809" s="2">
        <f t="shared" si="1"/>
        <v>104358.985</v>
      </c>
      <c r="E809" s="4">
        <f t="shared" si="2"/>
        <v>-0.001706025064</v>
      </c>
    </row>
    <row r="810" ht="15.75" customHeight="1">
      <c r="B810" s="3" t="s">
        <v>483</v>
      </c>
      <c r="C810" s="2">
        <v>2442.274</v>
      </c>
      <c r="D810" s="2">
        <f t="shared" si="1"/>
        <v>106801.259</v>
      </c>
      <c r="E810" s="4">
        <f t="shared" si="2"/>
        <v>0.02313298057</v>
      </c>
    </row>
    <row r="811" ht="15.75" customHeight="1">
      <c r="B811" s="3" t="s">
        <v>484</v>
      </c>
      <c r="C811" s="2">
        <v>4656.385</v>
      </c>
      <c r="D811" s="2">
        <f t="shared" si="1"/>
        <v>111457.644</v>
      </c>
      <c r="E811" s="4">
        <f t="shared" si="2"/>
        <v>0.04267492944</v>
      </c>
    </row>
    <row r="812" ht="15.75" customHeight="1">
      <c r="B812" s="3" t="s">
        <v>485</v>
      </c>
      <c r="C812" s="2">
        <v>116.945</v>
      </c>
      <c r="D812" s="2">
        <f t="shared" si="1"/>
        <v>111574.589</v>
      </c>
      <c r="E812" s="4">
        <f t="shared" si="2"/>
        <v>0.001048682598</v>
      </c>
    </row>
    <row r="813" ht="15.75" customHeight="1">
      <c r="B813" s="3" t="s">
        <v>486</v>
      </c>
      <c r="C813" s="2">
        <v>-1295.436</v>
      </c>
      <c r="D813" s="2">
        <f t="shared" si="1"/>
        <v>110279.153</v>
      </c>
      <c r="E813" s="4">
        <f t="shared" si="2"/>
        <v>-0.01167842121</v>
      </c>
    </row>
    <row r="814" ht="15.75" customHeight="1">
      <c r="B814" s="3" t="s">
        <v>487</v>
      </c>
      <c r="C814" s="2">
        <v>4265.675</v>
      </c>
      <c r="D814" s="2">
        <f t="shared" si="1"/>
        <v>114544.828</v>
      </c>
      <c r="E814" s="4">
        <f t="shared" si="2"/>
        <v>0.03795135161</v>
      </c>
    </row>
    <row r="815" ht="15.75" customHeight="1">
      <c r="B815" s="3" t="s">
        <v>488</v>
      </c>
      <c r="C815" s="2">
        <v>1104.24</v>
      </c>
      <c r="D815" s="2">
        <f t="shared" si="1"/>
        <v>115649.068</v>
      </c>
      <c r="E815" s="4">
        <f t="shared" si="2"/>
        <v>0.009594072556</v>
      </c>
    </row>
    <row r="816" ht="15.75" customHeight="1">
      <c r="B816" s="3" t="s">
        <v>489</v>
      </c>
      <c r="C816" s="2">
        <v>662.142</v>
      </c>
      <c r="D816" s="2">
        <f t="shared" si="1"/>
        <v>116311.21</v>
      </c>
      <c r="E816" s="4">
        <f t="shared" si="2"/>
        <v>0.005709113683</v>
      </c>
    </row>
    <row r="817" ht="15.75" customHeight="1">
      <c r="B817" s="3" t="s">
        <v>490</v>
      </c>
      <c r="C817" s="2">
        <v>-6909.752</v>
      </c>
      <c r="D817" s="2">
        <f t="shared" si="1"/>
        <v>109401.458</v>
      </c>
      <c r="E817" s="4">
        <f t="shared" si="2"/>
        <v>-0.06124522639</v>
      </c>
    </row>
    <row r="818" ht="15.75" customHeight="1">
      <c r="B818" s="3" t="s">
        <v>491</v>
      </c>
      <c r="C818" s="2">
        <v>949.514</v>
      </c>
      <c r="D818" s="2">
        <f t="shared" si="1"/>
        <v>110350.972</v>
      </c>
      <c r="E818" s="4">
        <f t="shared" si="2"/>
        <v>0.008641723862</v>
      </c>
    </row>
    <row r="819" ht="15.75" customHeight="1">
      <c r="B819" s="3" t="s">
        <v>492</v>
      </c>
      <c r="C819" s="2">
        <v>2484.848</v>
      </c>
      <c r="D819" s="2">
        <f t="shared" si="1"/>
        <v>112835.82</v>
      </c>
      <c r="E819" s="4">
        <f t="shared" si="2"/>
        <v>0.02226790085</v>
      </c>
    </row>
    <row r="820" ht="15.75" customHeight="1">
      <c r="B820" s="3">
        <v>44200.0</v>
      </c>
      <c r="C820" s="2">
        <v>3741.054</v>
      </c>
      <c r="D820" s="2">
        <f t="shared" si="1"/>
        <v>116576.874</v>
      </c>
      <c r="E820" s="4">
        <f t="shared" si="2"/>
        <v>0.03261707621</v>
      </c>
    </row>
    <row r="821" ht="15.75" customHeight="1">
      <c r="B821" s="3">
        <v>44320.0</v>
      </c>
      <c r="C821" s="2">
        <v>-3384.7</v>
      </c>
      <c r="D821" s="2">
        <f t="shared" si="1"/>
        <v>113192.174</v>
      </c>
      <c r="E821" s="4">
        <f t="shared" si="2"/>
        <v>-0.02946388895</v>
      </c>
    </row>
    <row r="822" ht="15.75" customHeight="1">
      <c r="B822" s="3">
        <v>44351.0</v>
      </c>
      <c r="C822" s="2">
        <v>-2722.836</v>
      </c>
      <c r="D822" s="2">
        <f t="shared" si="1"/>
        <v>110469.338</v>
      </c>
      <c r="E822" s="4">
        <f t="shared" si="2"/>
        <v>-0.02434903081</v>
      </c>
    </row>
    <row r="823" ht="15.75" customHeight="1">
      <c r="B823" s="3">
        <v>44381.0</v>
      </c>
      <c r="C823" s="2">
        <v>1319.548</v>
      </c>
      <c r="D823" s="2">
        <f t="shared" si="1"/>
        <v>111788.886</v>
      </c>
      <c r="E823" s="4">
        <f t="shared" si="2"/>
        <v>0.01187414783</v>
      </c>
    </row>
    <row r="824" ht="15.75" customHeight="1">
      <c r="B824" s="3">
        <v>44412.0</v>
      </c>
      <c r="C824" s="2">
        <v>894.566</v>
      </c>
      <c r="D824" s="2">
        <f t="shared" si="1"/>
        <v>112683.452</v>
      </c>
      <c r="E824" s="4">
        <f t="shared" si="2"/>
        <v>0.007970431847</v>
      </c>
    </row>
    <row r="825" ht="15.75" customHeight="1">
      <c r="B825" s="3">
        <v>44443.0</v>
      </c>
      <c r="C825" s="2">
        <v>-1204.867</v>
      </c>
      <c r="D825" s="2">
        <f t="shared" si="1"/>
        <v>111478.585</v>
      </c>
      <c r="E825" s="4">
        <f t="shared" si="2"/>
        <v>-0.01075006829</v>
      </c>
    </row>
    <row r="826" ht="15.75" customHeight="1">
      <c r="B826" s="3">
        <v>44534.0</v>
      </c>
      <c r="C826" s="2">
        <v>-1543.436</v>
      </c>
      <c r="D826" s="2">
        <f t="shared" si="1"/>
        <v>109935.149</v>
      </c>
      <c r="E826" s="4">
        <f t="shared" si="2"/>
        <v>-0.01394187228</v>
      </c>
    </row>
    <row r="827" ht="15.75" customHeight="1">
      <c r="B827" s="3" t="s">
        <v>493</v>
      </c>
      <c r="C827" s="2">
        <v>2078.116</v>
      </c>
      <c r="D827" s="2">
        <f t="shared" si="1"/>
        <v>112013.265</v>
      </c>
      <c r="E827" s="4">
        <f t="shared" si="2"/>
        <v>0.01872666439</v>
      </c>
    </row>
    <row r="828" ht="15.75" customHeight="1">
      <c r="B828" s="3" t="s">
        <v>494</v>
      </c>
      <c r="C828" s="2">
        <v>330.289</v>
      </c>
      <c r="D828" s="2">
        <f t="shared" si="1"/>
        <v>112343.554</v>
      </c>
      <c r="E828" s="4">
        <f t="shared" si="2"/>
        <v>0.002944320927</v>
      </c>
    </row>
    <row r="829" ht="15.75" customHeight="1">
      <c r="B829" s="3" t="s">
        <v>495</v>
      </c>
      <c r="C829" s="2">
        <v>925.253</v>
      </c>
      <c r="D829" s="2">
        <f t="shared" si="1"/>
        <v>113268.807</v>
      </c>
      <c r="E829" s="4">
        <f t="shared" si="2"/>
        <v>0.008202194092</v>
      </c>
    </row>
    <row r="830" ht="15.75" customHeight="1">
      <c r="B830" s="3" t="s">
        <v>496</v>
      </c>
      <c r="C830" s="2">
        <v>810.793</v>
      </c>
      <c r="D830" s="2">
        <f t="shared" si="1"/>
        <v>114079.6</v>
      </c>
      <c r="E830" s="4">
        <f t="shared" si="2"/>
        <v>0.007132633548</v>
      </c>
    </row>
    <row r="831" ht="15.75" customHeight="1">
      <c r="B831" s="3" t="s">
        <v>497</v>
      </c>
      <c r="C831" s="2">
        <v>834.574</v>
      </c>
      <c r="D831" s="2">
        <f t="shared" si="1"/>
        <v>114914.174</v>
      </c>
      <c r="E831" s="4">
        <f t="shared" si="2"/>
        <v>0.007289086341</v>
      </c>
    </row>
    <row r="832" ht="15.75" customHeight="1">
      <c r="B832" s="3" t="s">
        <v>498</v>
      </c>
      <c r="C832" s="2">
        <v>-975.422</v>
      </c>
      <c r="D832" s="2">
        <f t="shared" si="1"/>
        <v>113938.752</v>
      </c>
      <c r="E832" s="4">
        <f t="shared" si="2"/>
        <v>-0.008524495831</v>
      </c>
    </row>
    <row r="833" ht="15.75" customHeight="1">
      <c r="B833" s="3" t="s">
        <v>499</v>
      </c>
      <c r="C833" s="2">
        <v>1010.047</v>
      </c>
      <c r="D833" s="2">
        <f t="shared" si="1"/>
        <v>114948.799</v>
      </c>
      <c r="E833" s="4">
        <f t="shared" si="2"/>
        <v>0.008825762275</v>
      </c>
    </row>
    <row r="834" ht="15.75" customHeight="1">
      <c r="B834" s="3" t="s">
        <v>500</v>
      </c>
      <c r="C834" s="2">
        <v>-3765.678</v>
      </c>
      <c r="D834" s="2">
        <f t="shared" si="1"/>
        <v>111183.121</v>
      </c>
      <c r="E834" s="4">
        <f t="shared" si="2"/>
        <v>-0.03330822241</v>
      </c>
    </row>
    <row r="835" ht="15.75" customHeight="1">
      <c r="B835" s="3" t="s">
        <v>501</v>
      </c>
      <c r="C835" s="2">
        <v>-2185.192</v>
      </c>
      <c r="D835" s="2">
        <f t="shared" si="1"/>
        <v>108997.929</v>
      </c>
      <c r="E835" s="4">
        <f t="shared" si="2"/>
        <v>-0.01984969868</v>
      </c>
    </row>
    <row r="836" ht="15.75" customHeight="1">
      <c r="B836" s="3" t="s">
        <v>502</v>
      </c>
      <c r="C836" s="2">
        <v>-2771.801</v>
      </c>
      <c r="D836" s="2">
        <f t="shared" si="1"/>
        <v>106226.128</v>
      </c>
      <c r="E836" s="4">
        <f t="shared" si="2"/>
        <v>-0.02575877713</v>
      </c>
    </row>
    <row r="837" ht="15.75" customHeight="1">
      <c r="B837" s="3" t="s">
        <v>503</v>
      </c>
      <c r="C837" s="2">
        <v>2651.46</v>
      </c>
      <c r="D837" s="2">
        <f t="shared" si="1"/>
        <v>108877.588</v>
      </c>
      <c r="E837" s="4">
        <f t="shared" si="2"/>
        <v>0.02465410036</v>
      </c>
    </row>
    <row r="838" ht="15.75" customHeight="1">
      <c r="B838" s="3" t="s">
        <v>504</v>
      </c>
      <c r="C838" s="2">
        <v>1440.255</v>
      </c>
      <c r="D838" s="2">
        <f t="shared" si="1"/>
        <v>110317.843</v>
      </c>
      <c r="E838" s="4">
        <f t="shared" si="2"/>
        <v>0.01314147581</v>
      </c>
    </row>
    <row r="839" ht="15.75" customHeight="1">
      <c r="B839" s="3" t="s">
        <v>505</v>
      </c>
      <c r="C839" s="2">
        <v>-83.423</v>
      </c>
      <c r="D839" s="2">
        <f t="shared" si="1"/>
        <v>110234.42</v>
      </c>
      <c r="E839" s="4">
        <f t="shared" si="2"/>
        <v>-0.0007564919339</v>
      </c>
    </row>
    <row r="840" ht="15.75" customHeight="1">
      <c r="B840" s="3" t="s">
        <v>506</v>
      </c>
      <c r="C840" s="2">
        <v>3191.662</v>
      </c>
      <c r="D840" s="2">
        <f t="shared" si="1"/>
        <v>113426.082</v>
      </c>
      <c r="E840" s="4">
        <f t="shared" si="2"/>
        <v>0.0285421757</v>
      </c>
    </row>
    <row r="841" ht="15.75" customHeight="1">
      <c r="B841" s="3">
        <v>44260.0</v>
      </c>
      <c r="C841" s="2">
        <v>3127.265</v>
      </c>
      <c r="D841" s="2">
        <f t="shared" si="1"/>
        <v>116553.347</v>
      </c>
      <c r="E841" s="4">
        <f t="shared" si="2"/>
        <v>0.02719771751</v>
      </c>
    </row>
    <row r="842" ht="15.75" customHeight="1">
      <c r="B842" s="3">
        <v>44291.0</v>
      </c>
      <c r="C842" s="2">
        <v>2550.485</v>
      </c>
      <c r="D842" s="2">
        <f t="shared" si="1"/>
        <v>119103.832</v>
      </c>
      <c r="E842" s="4">
        <f t="shared" si="2"/>
        <v>0.02164656813</v>
      </c>
    </row>
    <row r="843" ht="15.75" customHeight="1">
      <c r="B843" s="3">
        <v>44321.0</v>
      </c>
      <c r="C843" s="2">
        <v>-5503.014</v>
      </c>
      <c r="D843" s="2">
        <f t="shared" si="1"/>
        <v>113600.818</v>
      </c>
      <c r="E843" s="4">
        <f t="shared" si="2"/>
        <v>-0.04730494352</v>
      </c>
    </row>
    <row r="844" ht="15.75" customHeight="1">
      <c r="B844" s="3">
        <v>44352.0</v>
      </c>
      <c r="C844" s="2">
        <v>-1142.941</v>
      </c>
      <c r="D844" s="2">
        <f t="shared" si="1"/>
        <v>112457.877</v>
      </c>
      <c r="E844" s="4">
        <f t="shared" si="2"/>
        <v>-0.0101119821</v>
      </c>
    </row>
    <row r="845" ht="15.75" customHeight="1">
      <c r="B845" s="3">
        <v>44382.0</v>
      </c>
      <c r="C845" s="2">
        <v>-356.211</v>
      </c>
      <c r="D845" s="2">
        <f t="shared" si="1"/>
        <v>112101.666</v>
      </c>
      <c r="E845" s="4">
        <f t="shared" si="2"/>
        <v>-0.003172533164</v>
      </c>
    </row>
    <row r="846" ht="15.75" customHeight="1">
      <c r="B846" s="3">
        <v>44474.0</v>
      </c>
      <c r="C846" s="2">
        <v>-527.781</v>
      </c>
      <c r="D846" s="2">
        <f t="shared" si="1"/>
        <v>111573.885</v>
      </c>
      <c r="E846" s="4">
        <f t="shared" si="2"/>
        <v>-0.004719174511</v>
      </c>
    </row>
    <row r="847" ht="15.75" customHeight="1">
      <c r="B847" s="3">
        <v>44505.0</v>
      </c>
      <c r="C847" s="2">
        <v>1399.738</v>
      </c>
      <c r="D847" s="2">
        <f t="shared" si="1"/>
        <v>112973.623</v>
      </c>
      <c r="E847" s="4">
        <f t="shared" si="2"/>
        <v>0.0124673495</v>
      </c>
    </row>
    <row r="848" ht="15.75" customHeight="1">
      <c r="B848" s="3">
        <v>44535.0</v>
      </c>
      <c r="C848" s="2">
        <v>869.858</v>
      </c>
      <c r="D848" s="2">
        <f t="shared" si="1"/>
        <v>113843.481</v>
      </c>
      <c r="E848" s="4">
        <f t="shared" si="2"/>
        <v>0.007670164633</v>
      </c>
    </row>
    <row r="849" ht="15.75" customHeight="1">
      <c r="B849" s="3" t="s">
        <v>507</v>
      </c>
      <c r="C849" s="2">
        <v>-202.7</v>
      </c>
      <c r="D849" s="2">
        <f t="shared" si="1"/>
        <v>113640.781</v>
      </c>
      <c r="E849" s="4">
        <f t="shared" si="2"/>
        <v>-0.001782101776</v>
      </c>
    </row>
    <row r="850" ht="15.75" customHeight="1">
      <c r="B850" s="3" t="s">
        <v>508</v>
      </c>
      <c r="C850" s="2">
        <v>-287.278</v>
      </c>
      <c r="D850" s="2">
        <f t="shared" si="1"/>
        <v>113353.503</v>
      </c>
      <c r="E850" s="4">
        <f t="shared" si="2"/>
        <v>-0.002531148788</v>
      </c>
    </row>
    <row r="851" ht="15.75" customHeight="1">
      <c r="B851" s="3" t="s">
        <v>509</v>
      </c>
      <c r="C851" s="2">
        <v>-2936.597</v>
      </c>
      <c r="D851" s="2">
        <f t="shared" si="1"/>
        <v>110416.906</v>
      </c>
      <c r="E851" s="4">
        <f t="shared" si="2"/>
        <v>-0.02624802458</v>
      </c>
    </row>
    <row r="852" ht="15.75" customHeight="1">
      <c r="B852" s="3" t="s">
        <v>510</v>
      </c>
      <c r="C852" s="2">
        <v>-1952.783</v>
      </c>
      <c r="D852" s="2">
        <f t="shared" si="1"/>
        <v>108464.123</v>
      </c>
      <c r="E852" s="4">
        <f t="shared" si="2"/>
        <v>-0.01784380147</v>
      </c>
    </row>
    <row r="853" ht="15.75" customHeight="1">
      <c r="B853" s="3" t="s">
        <v>511</v>
      </c>
      <c r="C853" s="2">
        <v>-762.203</v>
      </c>
      <c r="D853" s="2">
        <f t="shared" si="1"/>
        <v>107701.92</v>
      </c>
      <c r="E853" s="4">
        <f t="shared" si="2"/>
        <v>-0.007052043403</v>
      </c>
    </row>
    <row r="854" ht="15.75" customHeight="1">
      <c r="B854" s="3" t="s">
        <v>512</v>
      </c>
      <c r="C854" s="2">
        <v>-3389.503</v>
      </c>
      <c r="D854" s="2">
        <f t="shared" si="1"/>
        <v>104312.417</v>
      </c>
      <c r="E854" s="4">
        <f t="shared" si="2"/>
        <v>-0.03197700557</v>
      </c>
    </row>
    <row r="855" ht="15.75" customHeight="1">
      <c r="B855" s="3" t="s">
        <v>513</v>
      </c>
      <c r="C855" s="2">
        <v>2159.107</v>
      </c>
      <c r="D855" s="2">
        <f t="shared" si="1"/>
        <v>106471.524</v>
      </c>
      <c r="E855" s="4">
        <f t="shared" si="2"/>
        <v>0.02048716338</v>
      </c>
    </row>
    <row r="856" ht="15.75" customHeight="1">
      <c r="B856" s="3" t="s">
        <v>514</v>
      </c>
      <c r="C856" s="2">
        <v>-1286.195</v>
      </c>
      <c r="D856" s="2">
        <f t="shared" si="1"/>
        <v>105185.329</v>
      </c>
      <c r="E856" s="4">
        <f t="shared" si="2"/>
        <v>-0.01215373671</v>
      </c>
    </row>
    <row r="857" ht="15.75" customHeight="1">
      <c r="B857" s="3" t="s">
        <v>515</v>
      </c>
      <c r="C857" s="2">
        <v>-62.857</v>
      </c>
      <c r="D857" s="2">
        <f t="shared" si="1"/>
        <v>105122.472</v>
      </c>
      <c r="E857" s="4">
        <f t="shared" si="2"/>
        <v>-0.000597761962</v>
      </c>
    </row>
    <row r="858" ht="15.75" customHeight="1">
      <c r="B858" s="3" t="s">
        <v>516</v>
      </c>
      <c r="C858" s="2">
        <v>1756.28</v>
      </c>
      <c r="D858" s="2">
        <f t="shared" si="1"/>
        <v>106878.752</v>
      </c>
      <c r="E858" s="4">
        <f t="shared" si="2"/>
        <v>0.01656896263</v>
      </c>
    </row>
    <row r="859" ht="15.75" customHeight="1">
      <c r="B859" s="3" t="s">
        <v>517</v>
      </c>
      <c r="C859" s="2">
        <v>439.896</v>
      </c>
      <c r="D859" s="2">
        <f t="shared" si="1"/>
        <v>107318.648</v>
      </c>
      <c r="E859" s="4">
        <f t="shared" si="2"/>
        <v>0.004107394566</v>
      </c>
    </row>
    <row r="860" ht="15.75" customHeight="1">
      <c r="B860" s="3" t="s">
        <v>518</v>
      </c>
      <c r="C860" s="2">
        <v>1719.834</v>
      </c>
      <c r="D860" s="2">
        <f t="shared" si="1"/>
        <v>109038.482</v>
      </c>
      <c r="E860" s="4">
        <f t="shared" si="2"/>
        <v>0.01589843815</v>
      </c>
    </row>
    <row r="861" ht="15.75" customHeight="1">
      <c r="B861" s="3">
        <v>44202.0</v>
      </c>
      <c r="C861" s="2">
        <v>-3064.839</v>
      </c>
      <c r="D861" s="2">
        <f t="shared" si="1"/>
        <v>105973.643</v>
      </c>
      <c r="E861" s="4">
        <f t="shared" si="2"/>
        <v>-0.02851045354</v>
      </c>
    </row>
    <row r="862" ht="15.75" customHeight="1">
      <c r="B862" s="3">
        <v>44233.0</v>
      </c>
      <c r="C862" s="2">
        <v>2496.899</v>
      </c>
      <c r="D862" s="2">
        <f t="shared" si="1"/>
        <v>108470.542</v>
      </c>
      <c r="E862" s="4">
        <f t="shared" si="2"/>
        <v>0.02328822156</v>
      </c>
    </row>
    <row r="863" ht="15.75" customHeight="1">
      <c r="B863" s="3">
        <v>44261.0</v>
      </c>
      <c r="C863" s="2">
        <v>-2143.503</v>
      </c>
      <c r="D863" s="2">
        <f t="shared" si="1"/>
        <v>106327.039</v>
      </c>
      <c r="E863" s="4">
        <f t="shared" si="2"/>
        <v>-0.01995901581</v>
      </c>
    </row>
    <row r="864" ht="15.75" customHeight="1">
      <c r="B864" s="3">
        <v>44292.0</v>
      </c>
      <c r="C864" s="2">
        <v>2073.262</v>
      </c>
      <c r="D864" s="2">
        <f t="shared" si="1"/>
        <v>108400.301</v>
      </c>
      <c r="E864" s="4">
        <f t="shared" si="2"/>
        <v>0.01931124775</v>
      </c>
    </row>
    <row r="865" ht="15.75" customHeight="1">
      <c r="B865" s="3">
        <v>44383.0</v>
      </c>
      <c r="C865" s="2">
        <v>-929.571</v>
      </c>
      <c r="D865" s="2">
        <f t="shared" si="1"/>
        <v>107470.73</v>
      </c>
      <c r="E865" s="4">
        <f t="shared" si="2"/>
        <v>-0.008612334331</v>
      </c>
    </row>
    <row r="866" ht="15.75" customHeight="1">
      <c r="B866" s="3">
        <v>44414.0</v>
      </c>
      <c r="C866" s="2">
        <v>-1161.064</v>
      </c>
      <c r="D866" s="2">
        <f t="shared" si="1"/>
        <v>106309.666</v>
      </c>
      <c r="E866" s="4">
        <f t="shared" si="2"/>
        <v>-0.01086231888</v>
      </c>
    </row>
    <row r="867" ht="15.75" customHeight="1">
      <c r="B867" s="3">
        <v>44445.0</v>
      </c>
      <c r="C867" s="2">
        <v>380.058</v>
      </c>
      <c r="D867" s="2">
        <f t="shared" si="1"/>
        <v>106689.724</v>
      </c>
      <c r="E867" s="4">
        <f t="shared" si="2"/>
        <v>0.003568633726</v>
      </c>
    </row>
    <row r="868" ht="15.75" customHeight="1">
      <c r="B868" s="3">
        <v>44475.0</v>
      </c>
      <c r="C868" s="2">
        <v>2213.05</v>
      </c>
      <c r="D868" s="2">
        <f t="shared" si="1"/>
        <v>108902.774</v>
      </c>
      <c r="E868" s="4">
        <f t="shared" si="2"/>
        <v>0.02053065626</v>
      </c>
    </row>
    <row r="869" ht="15.75" customHeight="1">
      <c r="B869" s="3">
        <v>44506.0</v>
      </c>
      <c r="C869" s="2">
        <v>-1291.704</v>
      </c>
      <c r="D869" s="2">
        <f t="shared" si="1"/>
        <v>107611.07</v>
      </c>
      <c r="E869" s="4">
        <f t="shared" si="2"/>
        <v>-0.01193197905</v>
      </c>
    </row>
    <row r="870" ht="15.75" customHeight="1">
      <c r="B870" s="3" t="s">
        <v>519</v>
      </c>
      <c r="C870" s="2">
        <v>-700.16</v>
      </c>
      <c r="D870" s="2">
        <f t="shared" si="1"/>
        <v>106910.91</v>
      </c>
      <c r="E870" s="4">
        <f t="shared" si="2"/>
        <v>-0.006527652655</v>
      </c>
    </row>
    <row r="871" ht="15.75" customHeight="1">
      <c r="B871" s="3" t="s">
        <v>520</v>
      </c>
      <c r="C871" s="2">
        <v>1063.027</v>
      </c>
      <c r="D871" s="2">
        <f t="shared" si="1"/>
        <v>107973.937</v>
      </c>
      <c r="E871" s="4">
        <f t="shared" si="2"/>
        <v>0.009894003105</v>
      </c>
    </row>
    <row r="872" ht="15.75" customHeight="1">
      <c r="B872" s="3" t="s">
        <v>521</v>
      </c>
      <c r="C872" s="2">
        <v>-827.525</v>
      </c>
      <c r="D872" s="2">
        <f t="shared" si="1"/>
        <v>107146.412</v>
      </c>
      <c r="E872" s="4">
        <f t="shared" si="2"/>
        <v>-0.007693638335</v>
      </c>
    </row>
    <row r="873" ht="15.75" customHeight="1">
      <c r="B873" s="3" t="s">
        <v>522</v>
      </c>
      <c r="C873" s="2">
        <v>-633.149</v>
      </c>
      <c r="D873" s="2">
        <f t="shared" si="1"/>
        <v>106513.263</v>
      </c>
      <c r="E873" s="4">
        <f t="shared" si="2"/>
        <v>-0.005926722984</v>
      </c>
    </row>
    <row r="874" ht="15.75" customHeight="1">
      <c r="B874" s="3" t="s">
        <v>523</v>
      </c>
      <c r="C874" s="2">
        <v>822.756</v>
      </c>
      <c r="D874" s="2">
        <f t="shared" si="1"/>
        <v>107336.019</v>
      </c>
      <c r="E874" s="4">
        <f t="shared" si="2"/>
        <v>0.007694765696</v>
      </c>
    </row>
    <row r="875" ht="15.75" customHeight="1">
      <c r="B875" s="3" t="s">
        <v>524</v>
      </c>
      <c r="C875" s="2">
        <v>-2967.59</v>
      </c>
      <c r="D875" s="2">
        <f t="shared" si="1"/>
        <v>104368.429</v>
      </c>
      <c r="E875" s="4">
        <f t="shared" si="2"/>
        <v>-0.0280370528</v>
      </c>
    </row>
    <row r="876" ht="15.75" customHeight="1">
      <c r="B876" s="3" t="s">
        <v>525</v>
      </c>
      <c r="C876" s="2">
        <v>2399.0</v>
      </c>
      <c r="D876" s="2">
        <f t="shared" si="1"/>
        <v>106767.429</v>
      </c>
      <c r="E876" s="4">
        <f t="shared" si="2"/>
        <v>0.0227256826</v>
      </c>
    </row>
    <row r="877" ht="15.75" customHeight="1">
      <c r="B877" s="3" t="s">
        <v>526</v>
      </c>
      <c r="C877" s="2">
        <v>3278.507</v>
      </c>
      <c r="D877" s="2">
        <f t="shared" si="1"/>
        <v>110045.936</v>
      </c>
      <c r="E877" s="4">
        <f t="shared" si="2"/>
        <v>0.03024497052</v>
      </c>
    </row>
    <row r="878" ht="15.75" customHeight="1">
      <c r="B878" s="3" t="s">
        <v>527</v>
      </c>
      <c r="C878" s="2">
        <v>1225.465</v>
      </c>
      <c r="D878" s="2">
        <f t="shared" si="1"/>
        <v>111271.401</v>
      </c>
      <c r="E878" s="4">
        <f t="shared" si="2"/>
        <v>0.01107439246</v>
      </c>
    </row>
    <row r="879" ht="15.75" customHeight="1">
      <c r="B879" s="3" t="s">
        <v>528</v>
      </c>
      <c r="C879" s="2">
        <v>488.826</v>
      </c>
      <c r="D879" s="2">
        <f t="shared" si="1"/>
        <v>111760.227</v>
      </c>
      <c r="E879" s="4">
        <f t="shared" si="2"/>
        <v>0.004383475</v>
      </c>
    </row>
    <row r="880" ht="15.75" customHeight="1">
      <c r="B880" s="3" t="s">
        <v>529</v>
      </c>
      <c r="C880" s="2">
        <v>1876.54</v>
      </c>
      <c r="D880" s="2">
        <f t="shared" si="1"/>
        <v>113636.767</v>
      </c>
      <c r="E880" s="4">
        <f t="shared" si="2"/>
        <v>0.01665136101</v>
      </c>
    </row>
    <row r="881" ht="15.75" customHeight="1">
      <c r="B881" s="3" t="s">
        <v>530</v>
      </c>
      <c r="C881" s="2">
        <v>-1218.297</v>
      </c>
      <c r="D881" s="2">
        <f t="shared" si="1"/>
        <v>112418.47</v>
      </c>
      <c r="E881" s="4">
        <f t="shared" si="2"/>
        <v>-0.01077885929</v>
      </c>
    </row>
    <row r="882" ht="15.75" customHeight="1">
      <c r="B882" s="3" t="s">
        <v>531</v>
      </c>
      <c r="C882" s="2">
        <v>1496.699</v>
      </c>
      <c r="D882" s="2">
        <f t="shared" si="1"/>
        <v>113915.169</v>
      </c>
      <c r="E882" s="4">
        <f t="shared" si="2"/>
        <v>0.01322579201</v>
      </c>
    </row>
    <row r="883" ht="15.75" customHeight="1">
      <c r="B883" s="3">
        <v>44203.0</v>
      </c>
      <c r="C883" s="2">
        <v>2654.885</v>
      </c>
      <c r="D883" s="2">
        <f t="shared" si="1"/>
        <v>116570.054</v>
      </c>
      <c r="E883" s="4">
        <f t="shared" si="2"/>
        <v>0.02303837436</v>
      </c>
    </row>
    <row r="884" ht="15.75" customHeight="1">
      <c r="B884" s="3">
        <v>44234.0</v>
      </c>
      <c r="C884" s="2">
        <v>-64.571</v>
      </c>
      <c r="D884" s="2">
        <f t="shared" si="1"/>
        <v>116505.483</v>
      </c>
      <c r="E884" s="4">
        <f t="shared" si="2"/>
        <v>-0.0005540778967</v>
      </c>
    </row>
    <row r="885" ht="15.75" customHeight="1">
      <c r="B885" s="3">
        <v>44354.0</v>
      </c>
      <c r="C885" s="2">
        <v>216.875</v>
      </c>
      <c r="D885" s="2">
        <f t="shared" si="1"/>
        <v>116722.358</v>
      </c>
      <c r="E885" s="4">
        <f t="shared" si="2"/>
        <v>0.001859769928</v>
      </c>
    </row>
    <row r="886" ht="15.75" customHeight="1">
      <c r="B886" s="3">
        <v>44384.0</v>
      </c>
      <c r="C886" s="2">
        <v>259.735</v>
      </c>
      <c r="D886" s="2">
        <f t="shared" si="1"/>
        <v>116982.093</v>
      </c>
      <c r="E886" s="4">
        <f t="shared" si="2"/>
        <v>0.002222765598</v>
      </c>
    </row>
    <row r="887" ht="15.75" customHeight="1">
      <c r="B887" s="3">
        <v>44415.0</v>
      </c>
      <c r="C887" s="2">
        <v>-3887.394</v>
      </c>
      <c r="D887" s="2">
        <f t="shared" si="1"/>
        <v>113094.699</v>
      </c>
      <c r="E887" s="4">
        <f t="shared" si="2"/>
        <v>-0.03379535981</v>
      </c>
    </row>
    <row r="888" ht="15.75" customHeight="1">
      <c r="B888" s="3">
        <v>44446.0</v>
      </c>
      <c r="C888" s="2">
        <v>2885.767</v>
      </c>
      <c r="D888" s="2">
        <f t="shared" si="1"/>
        <v>115980.466</v>
      </c>
      <c r="E888" s="4">
        <f t="shared" si="2"/>
        <v>0.02519626838</v>
      </c>
    </row>
    <row r="889" ht="15.75" customHeight="1">
      <c r="B889" s="3">
        <v>44537.0</v>
      </c>
      <c r="C889" s="2">
        <v>827.581</v>
      </c>
      <c r="D889" s="2">
        <f t="shared" si="1"/>
        <v>116808.047</v>
      </c>
      <c r="E889" s="4">
        <f t="shared" si="2"/>
        <v>0.007110183195</v>
      </c>
    </row>
    <row r="890" ht="15.75" customHeight="1">
      <c r="B890" s="3" t="s">
        <v>532</v>
      </c>
      <c r="C890" s="2">
        <v>-327.802</v>
      </c>
      <c r="D890" s="2">
        <f t="shared" si="1"/>
        <v>116480.245</v>
      </c>
      <c r="E890" s="4">
        <f t="shared" si="2"/>
        <v>-0.002810275757</v>
      </c>
    </row>
    <row r="891" ht="15.75" customHeight="1">
      <c r="B891" s="3" t="s">
        <v>533</v>
      </c>
      <c r="C891" s="2">
        <v>21.777</v>
      </c>
      <c r="D891" s="2">
        <f t="shared" si="1"/>
        <v>116502.022</v>
      </c>
      <c r="E891" s="4">
        <f t="shared" si="2"/>
        <v>0.0001869412668</v>
      </c>
    </row>
    <row r="892" ht="15.75" customHeight="1">
      <c r="B892" s="3" t="s">
        <v>534</v>
      </c>
      <c r="C892" s="2">
        <v>1090.232</v>
      </c>
      <c r="D892" s="2">
        <f t="shared" si="1"/>
        <v>117592.254</v>
      </c>
      <c r="E892" s="4">
        <f t="shared" si="2"/>
        <v>0.00931453687</v>
      </c>
    </row>
    <row r="893" ht="15.75" customHeight="1">
      <c r="B893" s="3" t="s">
        <v>535</v>
      </c>
      <c r="C893" s="2">
        <v>-2064.731</v>
      </c>
      <c r="D893" s="2">
        <f t="shared" si="1"/>
        <v>115527.523</v>
      </c>
      <c r="E893" s="4">
        <f t="shared" si="2"/>
        <v>-0.01771437</v>
      </c>
    </row>
    <row r="894" ht="15.75" customHeight="1">
      <c r="B894" s="3" t="s">
        <v>536</v>
      </c>
      <c r="C894" s="2">
        <v>-2135.444</v>
      </c>
      <c r="D894" s="2">
        <f t="shared" si="1"/>
        <v>113392.079</v>
      </c>
      <c r="E894" s="4">
        <f t="shared" si="2"/>
        <v>-0.01865725718</v>
      </c>
    </row>
    <row r="895" ht="15.75" customHeight="1">
      <c r="B895" s="3" t="s">
        <v>537</v>
      </c>
      <c r="C895" s="2">
        <v>1761.96</v>
      </c>
      <c r="D895" s="2">
        <f t="shared" si="1"/>
        <v>115154.039</v>
      </c>
      <c r="E895" s="4">
        <f t="shared" si="2"/>
        <v>0.01541916287</v>
      </c>
    </row>
    <row r="896" ht="15.75" customHeight="1">
      <c r="B896" s="3" t="s">
        <v>538</v>
      </c>
      <c r="C896" s="2">
        <v>-2392.117</v>
      </c>
      <c r="D896" s="2">
        <f t="shared" si="1"/>
        <v>112761.922</v>
      </c>
      <c r="E896" s="4">
        <f t="shared" si="2"/>
        <v>-0.02099199049</v>
      </c>
    </row>
    <row r="897" ht="15.75" customHeight="1">
      <c r="B897" s="3" t="s">
        <v>539</v>
      </c>
      <c r="C897" s="2">
        <v>-1303.681</v>
      </c>
      <c r="D897" s="2">
        <f t="shared" si="1"/>
        <v>111458.241</v>
      </c>
      <c r="E897" s="4">
        <f t="shared" si="2"/>
        <v>-0.01162871058</v>
      </c>
    </row>
    <row r="898" ht="15.75" customHeight="1">
      <c r="B898" s="3" t="s">
        <v>540</v>
      </c>
      <c r="C898" s="2">
        <v>-1393.498</v>
      </c>
      <c r="D898" s="2">
        <f t="shared" si="1"/>
        <v>110064.743</v>
      </c>
      <c r="E898" s="4">
        <f t="shared" si="2"/>
        <v>-0.01258123519</v>
      </c>
    </row>
    <row r="899" ht="15.75" customHeight="1">
      <c r="B899" s="3" t="s">
        <v>541</v>
      </c>
      <c r="C899" s="2">
        <v>-329.925</v>
      </c>
      <c r="D899" s="2">
        <f t="shared" si="1"/>
        <v>109734.818</v>
      </c>
      <c r="E899" s="4">
        <f t="shared" si="2"/>
        <v>-0.003002055566</v>
      </c>
    </row>
    <row r="900" ht="15.75" customHeight="1">
      <c r="B900" s="3" t="s">
        <v>542</v>
      </c>
      <c r="C900" s="2">
        <v>-132.285</v>
      </c>
      <c r="D900" s="2">
        <f t="shared" si="1"/>
        <v>109602.533</v>
      </c>
      <c r="E900" s="4">
        <f t="shared" si="2"/>
        <v>-0.001206224252</v>
      </c>
    </row>
    <row r="901" ht="15.75" customHeight="1">
      <c r="B901" s="3" t="s">
        <v>543</v>
      </c>
      <c r="C901" s="2">
        <v>3554.885</v>
      </c>
      <c r="D901" s="2">
        <f t="shared" si="1"/>
        <v>113157.418</v>
      </c>
      <c r="E901" s="4">
        <f t="shared" si="2"/>
        <v>0.03191944336</v>
      </c>
    </row>
    <row r="902" ht="15.75" customHeight="1">
      <c r="B902" s="3" t="s">
        <v>544</v>
      </c>
      <c r="C902" s="2">
        <v>-219.397</v>
      </c>
      <c r="D902" s="2">
        <f t="shared" si="1"/>
        <v>112938.021</v>
      </c>
      <c r="E902" s="4">
        <f t="shared" si="2"/>
        <v>-0.00194074741</v>
      </c>
    </row>
    <row r="903" ht="15.75" customHeight="1">
      <c r="B903" s="3" t="s">
        <v>545</v>
      </c>
      <c r="C903" s="2">
        <v>572.896</v>
      </c>
      <c r="D903" s="2">
        <f t="shared" si="1"/>
        <v>113510.917</v>
      </c>
      <c r="E903" s="4">
        <f t="shared" si="2"/>
        <v>0.005059835805</v>
      </c>
    </row>
    <row r="904" ht="15.75" customHeight="1">
      <c r="B904" s="3">
        <v>44235.0</v>
      </c>
      <c r="C904" s="2">
        <v>1775.284</v>
      </c>
      <c r="D904" s="2">
        <f t="shared" si="1"/>
        <v>115286.201</v>
      </c>
      <c r="E904" s="4">
        <f t="shared" si="2"/>
        <v>0.0155187237</v>
      </c>
    </row>
    <row r="905" ht="15.75" customHeight="1">
      <c r="B905" s="3">
        <v>44263.0</v>
      </c>
      <c r="C905" s="2">
        <v>-1531.368</v>
      </c>
      <c r="D905" s="2">
        <f t="shared" si="1"/>
        <v>113754.833</v>
      </c>
      <c r="E905" s="4">
        <f t="shared" si="2"/>
        <v>-0.01337219617</v>
      </c>
    </row>
    <row r="906" ht="15.75" customHeight="1">
      <c r="B906" s="3">
        <v>44294.0</v>
      </c>
      <c r="C906" s="2">
        <v>-573.457</v>
      </c>
      <c r="D906" s="2">
        <f t="shared" si="1"/>
        <v>113181.376</v>
      </c>
      <c r="E906" s="4">
        <f t="shared" si="2"/>
        <v>-0.005053915575</v>
      </c>
    </row>
    <row r="907" ht="15.75" customHeight="1">
      <c r="B907" s="3">
        <v>44324.0</v>
      </c>
      <c r="C907" s="2">
        <v>-1953.922</v>
      </c>
      <c r="D907" s="2">
        <f t="shared" si="1"/>
        <v>111227.454</v>
      </c>
      <c r="E907" s="4">
        <f t="shared" si="2"/>
        <v>-0.01741438943</v>
      </c>
    </row>
    <row r="908" ht="15.75" customHeight="1">
      <c r="B908" s="3">
        <v>44355.0</v>
      </c>
      <c r="C908" s="2">
        <v>-463.834</v>
      </c>
      <c r="D908" s="2">
        <f t="shared" si="1"/>
        <v>110763.62</v>
      </c>
      <c r="E908" s="4">
        <f t="shared" si="2"/>
        <v>-0.004178858786</v>
      </c>
    </row>
    <row r="909" ht="15.75" customHeight="1">
      <c r="B909" s="3">
        <v>44447.0</v>
      </c>
      <c r="C909" s="2">
        <v>1593.121</v>
      </c>
      <c r="D909" s="2">
        <f t="shared" si="1"/>
        <v>112356.741</v>
      </c>
      <c r="E909" s="4">
        <f t="shared" si="2"/>
        <v>0.01428061578</v>
      </c>
    </row>
    <row r="910" ht="15.75" customHeight="1">
      <c r="B910" s="3">
        <v>44477.0</v>
      </c>
      <c r="C910" s="2">
        <v>574.8</v>
      </c>
      <c r="D910" s="2">
        <f t="shared" si="1"/>
        <v>112931.541</v>
      </c>
      <c r="E910" s="4">
        <f t="shared" si="2"/>
        <v>0.005102806432</v>
      </c>
    </row>
    <row r="911" ht="15.75" customHeight="1">
      <c r="B911" s="3">
        <v>44508.0</v>
      </c>
      <c r="C911" s="2">
        <v>265.554</v>
      </c>
      <c r="D911" s="2">
        <f t="shared" si="1"/>
        <v>113197.095</v>
      </c>
      <c r="E911" s="4">
        <f t="shared" si="2"/>
        <v>0.002348699632</v>
      </c>
    </row>
    <row r="912" ht="15.75" customHeight="1">
      <c r="B912" s="3">
        <v>44538.0</v>
      </c>
      <c r="C912" s="2">
        <v>266.218</v>
      </c>
      <c r="D912" s="2">
        <f t="shared" si="1"/>
        <v>113463.313</v>
      </c>
      <c r="E912" s="4">
        <f t="shared" si="2"/>
        <v>0.002349048294</v>
      </c>
    </row>
    <row r="913" ht="15.75" customHeight="1">
      <c r="B913" s="3" t="s">
        <v>546</v>
      </c>
      <c r="C913" s="2">
        <v>445.121</v>
      </c>
      <c r="D913" s="2">
        <f t="shared" si="1"/>
        <v>113908.434</v>
      </c>
      <c r="E913" s="4">
        <f t="shared" si="2"/>
        <v>0.003915363932</v>
      </c>
    </row>
    <row r="914" ht="15.75" customHeight="1">
      <c r="B914" s="3" t="s">
        <v>547</v>
      </c>
      <c r="C914" s="2">
        <v>757.945</v>
      </c>
      <c r="D914" s="2">
        <f t="shared" si="1"/>
        <v>114666.379</v>
      </c>
      <c r="E914" s="4">
        <f t="shared" si="2"/>
        <v>0.006631944859</v>
      </c>
    </row>
    <row r="915" ht="15.75" customHeight="1">
      <c r="B915" s="3" t="s">
        <v>548</v>
      </c>
      <c r="C915" s="2">
        <v>6034.892</v>
      </c>
      <c r="D915" s="2">
        <f t="shared" si="1"/>
        <v>120701.271</v>
      </c>
      <c r="E915" s="4">
        <f t="shared" si="2"/>
        <v>0.05129179831</v>
      </c>
    </row>
    <row r="916" ht="15.75" customHeight="1">
      <c r="B916" s="3" t="s">
        <v>549</v>
      </c>
      <c r="C916" s="2">
        <v>865.616</v>
      </c>
      <c r="D916" s="2">
        <f t="shared" si="1"/>
        <v>121566.887</v>
      </c>
      <c r="E916" s="4">
        <f t="shared" si="2"/>
        <v>0.007145963305</v>
      </c>
    </row>
    <row r="917" ht="15.75" customHeight="1">
      <c r="B917" s="3" t="s">
        <v>550</v>
      </c>
      <c r="C917" s="2">
        <v>-2854.965</v>
      </c>
      <c r="D917" s="2">
        <f t="shared" si="1"/>
        <v>118711.922</v>
      </c>
      <c r="E917" s="4">
        <f t="shared" si="2"/>
        <v>-0.02376488694</v>
      </c>
    </row>
    <row r="918" ht="15.75" customHeight="1">
      <c r="B918" s="3" t="s">
        <v>551</v>
      </c>
      <c r="C918" s="2">
        <v>307.864</v>
      </c>
      <c r="D918" s="2">
        <f t="shared" si="1"/>
        <v>119019.786</v>
      </c>
      <c r="E918" s="4">
        <f t="shared" si="2"/>
        <v>0.002590013547</v>
      </c>
    </row>
    <row r="919" ht="15.75" customHeight="1">
      <c r="B919" s="3" t="s">
        <v>552</v>
      </c>
      <c r="C919" s="2">
        <v>-1817.927</v>
      </c>
      <c r="D919" s="2">
        <f t="shared" si="1"/>
        <v>117201.859</v>
      </c>
      <c r="E919" s="4">
        <f t="shared" si="2"/>
        <v>-0.01539200941</v>
      </c>
    </row>
    <row r="920" ht="15.75" customHeight="1">
      <c r="B920" s="3" t="s">
        <v>553</v>
      </c>
      <c r="C920" s="2">
        <v>-178.883</v>
      </c>
      <c r="D920" s="2">
        <f t="shared" si="1"/>
        <v>117022.976</v>
      </c>
      <c r="E920" s="4">
        <f t="shared" si="2"/>
        <v>-0.001527447205</v>
      </c>
    </row>
    <row r="921" ht="15.75" customHeight="1">
      <c r="B921" s="3" t="s">
        <v>554</v>
      </c>
      <c r="C921" s="2">
        <v>-783.781</v>
      </c>
      <c r="D921" s="2">
        <f t="shared" si="1"/>
        <v>116239.195</v>
      </c>
      <c r="E921" s="4">
        <f t="shared" si="2"/>
        <v>-0.006720197676</v>
      </c>
    </row>
    <row r="922" ht="15.75" customHeight="1">
      <c r="B922" s="3" t="s">
        <v>555</v>
      </c>
      <c r="C922" s="2">
        <v>-224.436</v>
      </c>
      <c r="D922" s="2">
        <f t="shared" si="1"/>
        <v>116014.759</v>
      </c>
      <c r="E922" s="4">
        <f t="shared" si="2"/>
        <v>-0.00193267814</v>
      </c>
    </row>
    <row r="923" ht="15.75" customHeight="1">
      <c r="B923" s="3" t="s">
        <v>556</v>
      </c>
      <c r="C923" s="2">
        <v>-22.314</v>
      </c>
      <c r="D923" s="2">
        <f t="shared" si="1"/>
        <v>115992.445</v>
      </c>
      <c r="E923" s="4">
        <f t="shared" si="2"/>
        <v>-0.0001923560966</v>
      </c>
    </row>
    <row r="924" ht="15.75" customHeight="1">
      <c r="B924" s="3" t="s">
        <v>557</v>
      </c>
      <c r="C924" s="2">
        <v>472.722</v>
      </c>
      <c r="D924" s="2">
        <f t="shared" si="1"/>
        <v>116465.167</v>
      </c>
      <c r="E924" s="4">
        <f t="shared" si="2"/>
        <v>0.004067172914</v>
      </c>
    </row>
    <row r="925" ht="15.75" customHeight="1">
      <c r="B925" s="3" t="s">
        <v>558</v>
      </c>
      <c r="C925" s="2">
        <v>2170.439</v>
      </c>
      <c r="D925" s="2">
        <f t="shared" si="1"/>
        <v>118635.606</v>
      </c>
      <c r="E925" s="4">
        <f t="shared" si="2"/>
        <v>0.01846442814</v>
      </c>
    </row>
    <row r="926" ht="15.75" customHeight="1">
      <c r="B926" s="3">
        <v>44205.0</v>
      </c>
      <c r="C926" s="2">
        <v>4470.994</v>
      </c>
      <c r="D926" s="2">
        <f t="shared" si="1"/>
        <v>123106.6</v>
      </c>
      <c r="E926" s="4">
        <f t="shared" si="2"/>
        <v>0.03699398597</v>
      </c>
    </row>
    <row r="927" ht="15.75" customHeight="1">
      <c r="B927" s="3">
        <v>44236.0</v>
      </c>
      <c r="C927" s="2">
        <v>-1942.677</v>
      </c>
      <c r="D927" s="2">
        <f t="shared" si="1"/>
        <v>121163.923</v>
      </c>
      <c r="E927" s="4">
        <f t="shared" si="2"/>
        <v>-0.01590628239</v>
      </c>
    </row>
    <row r="928" ht="15.75" customHeight="1">
      <c r="B928" s="3">
        <v>44264.0</v>
      </c>
      <c r="C928" s="2">
        <v>747.674</v>
      </c>
      <c r="D928" s="2">
        <f t="shared" si="1"/>
        <v>121911.597</v>
      </c>
      <c r="E928" s="4">
        <f t="shared" si="2"/>
        <v>0.006151803011</v>
      </c>
    </row>
    <row r="929" ht="15.75" customHeight="1">
      <c r="B929" s="3">
        <v>44386.0</v>
      </c>
      <c r="C929" s="2">
        <v>430.343</v>
      </c>
      <c r="D929" s="2">
        <f t="shared" si="1"/>
        <v>122341.94</v>
      </c>
      <c r="E929" s="4">
        <f t="shared" si="2"/>
        <v>0.003523743816</v>
      </c>
    </row>
    <row r="930" ht="15.75" customHeight="1">
      <c r="B930" s="3">
        <v>44417.0</v>
      </c>
      <c r="C930" s="2">
        <v>4627.576</v>
      </c>
      <c r="D930" s="2">
        <f t="shared" si="1"/>
        <v>126969.516</v>
      </c>
      <c r="E930" s="4">
        <f t="shared" si="2"/>
        <v>0.03712711502</v>
      </c>
    </row>
    <row r="931" ht="15.75" customHeight="1">
      <c r="B931" s="3">
        <v>44448.0</v>
      </c>
      <c r="C931" s="2">
        <v>-4351.1</v>
      </c>
      <c r="D931" s="2">
        <f t="shared" si="1"/>
        <v>122618.416</v>
      </c>
      <c r="E931" s="4">
        <f t="shared" si="2"/>
        <v>-0.03486980186</v>
      </c>
    </row>
    <row r="932" ht="15.75" customHeight="1">
      <c r="B932" s="3">
        <v>44478.0</v>
      </c>
      <c r="C932" s="2">
        <v>763.055</v>
      </c>
      <c r="D932" s="2">
        <f t="shared" si="1"/>
        <v>123381.471</v>
      </c>
      <c r="E932" s="4">
        <f t="shared" si="2"/>
        <v>0.006203721933</v>
      </c>
    </row>
    <row r="933" ht="15.75" customHeight="1">
      <c r="B933" s="3" t="s">
        <v>559</v>
      </c>
      <c r="C933" s="2">
        <v>2338.437</v>
      </c>
      <c r="D933" s="2">
        <f t="shared" si="1"/>
        <v>125719.908</v>
      </c>
      <c r="E933" s="4">
        <f t="shared" si="2"/>
        <v>0.01877553392</v>
      </c>
    </row>
    <row r="934" ht="15.75" customHeight="1">
      <c r="B934" s="3" t="s">
        <v>560</v>
      </c>
      <c r="C934" s="2">
        <v>2723.229</v>
      </c>
      <c r="D934" s="2">
        <f t="shared" si="1"/>
        <v>128443.137</v>
      </c>
      <c r="E934" s="4">
        <f t="shared" si="2"/>
        <v>0.02142981263</v>
      </c>
    </row>
    <row r="935" ht="15.75" customHeight="1">
      <c r="B935" s="3" t="s">
        <v>561</v>
      </c>
      <c r="C935" s="2">
        <v>1442.96</v>
      </c>
      <c r="D935" s="2">
        <f t="shared" si="1"/>
        <v>129886.097</v>
      </c>
      <c r="E935" s="4">
        <f t="shared" si="2"/>
        <v>0.01117159669</v>
      </c>
    </row>
    <row r="936" ht="15.75" customHeight="1">
      <c r="B936" s="3" t="s">
        <v>562</v>
      </c>
      <c r="C936" s="2">
        <v>3313.346</v>
      </c>
      <c r="D936" s="2">
        <f t="shared" si="1"/>
        <v>133199.443</v>
      </c>
      <c r="E936" s="4">
        <f t="shared" si="2"/>
        <v>0.02518968695</v>
      </c>
    </row>
    <row r="937" ht="15.75" customHeight="1">
      <c r="B937" s="3" t="s">
        <v>563</v>
      </c>
      <c r="C937" s="2">
        <v>-402.363</v>
      </c>
      <c r="D937" s="2">
        <f t="shared" si="1"/>
        <v>132797.08</v>
      </c>
      <c r="E937" s="4">
        <f t="shared" si="2"/>
        <v>-0.003025327567</v>
      </c>
    </row>
    <row r="938" ht="15.75" customHeight="1">
      <c r="B938" s="3" t="s">
        <v>564</v>
      </c>
      <c r="C938" s="2">
        <v>-2450.762</v>
      </c>
      <c r="D938" s="2">
        <f t="shared" si="1"/>
        <v>130346.318</v>
      </c>
      <c r="E938" s="4">
        <f t="shared" si="2"/>
        <v>-0.0186273559</v>
      </c>
    </row>
    <row r="939" ht="15.75" customHeight="1">
      <c r="B939" s="3" t="s">
        <v>565</v>
      </c>
      <c r="C939" s="2">
        <v>-3060.275</v>
      </c>
      <c r="D939" s="2">
        <f t="shared" si="1"/>
        <v>127286.043</v>
      </c>
      <c r="E939" s="4">
        <f t="shared" si="2"/>
        <v>-0.02375803205</v>
      </c>
    </row>
    <row r="940" ht="15.75" customHeight="1">
      <c r="B940" s="3" t="s">
        <v>566</v>
      </c>
      <c r="C940" s="2">
        <v>0.0</v>
      </c>
      <c r="D940" s="2">
        <f t="shared" si="1"/>
        <v>127286.043</v>
      </c>
      <c r="E940" s="4">
        <f t="shared" si="2"/>
        <v>0</v>
      </c>
    </row>
    <row r="941" ht="15.75" customHeight="1">
      <c r="B941" s="3" t="s">
        <v>567</v>
      </c>
      <c r="C941" s="2">
        <v>109.469</v>
      </c>
      <c r="D941" s="2">
        <f t="shared" si="1"/>
        <v>127395.512</v>
      </c>
      <c r="E941" s="4">
        <f t="shared" si="2"/>
        <v>0.0008596539843</v>
      </c>
    </row>
    <row r="942" ht="15.75" customHeight="1">
      <c r="B942" s="3" t="s">
        <v>568</v>
      </c>
      <c r="C942" s="2">
        <v>66.481</v>
      </c>
      <c r="D942" s="2">
        <f t="shared" si="1"/>
        <v>127461.993</v>
      </c>
      <c r="E942" s="4">
        <f t="shared" si="2"/>
        <v>0.0005217111539</v>
      </c>
    </row>
    <row r="943" ht="15.75" customHeight="1">
      <c r="B943" s="3" t="s">
        <v>569</v>
      </c>
      <c r="C943" s="2">
        <v>-66.579</v>
      </c>
      <c r="D943" s="2">
        <f t="shared" si="1"/>
        <v>127395.414</v>
      </c>
      <c r="E943" s="4">
        <f t="shared" si="2"/>
        <v>-0.0005224804121</v>
      </c>
    </row>
    <row r="944" ht="15.75" customHeight="1">
      <c r="B944" s="3" t="s">
        <v>570</v>
      </c>
      <c r="C944" s="2">
        <v>-442.634</v>
      </c>
      <c r="D944" s="2">
        <f t="shared" si="1"/>
        <v>126952.78</v>
      </c>
      <c r="E944" s="4">
        <f t="shared" si="2"/>
        <v>-0.003480539334</v>
      </c>
    </row>
    <row r="945" ht="15.75" customHeight="1">
      <c r="B945" s="3" t="s">
        <v>571</v>
      </c>
      <c r="C945" s="2">
        <v>563.735</v>
      </c>
      <c r="D945" s="2">
        <f t="shared" si="1"/>
        <v>127516.515</v>
      </c>
      <c r="E945" s="4">
        <f t="shared" si="2"/>
        <v>0.004430679326</v>
      </c>
    </row>
    <row r="946" ht="15.75" customHeight="1">
      <c r="B946" s="3" t="s">
        <v>572</v>
      </c>
      <c r="C946" s="2">
        <v>-1433.407</v>
      </c>
      <c r="D946" s="2">
        <f t="shared" si="1"/>
        <v>126083.108</v>
      </c>
      <c r="E946" s="4">
        <f t="shared" si="2"/>
        <v>-0.0113046088</v>
      </c>
    </row>
    <row r="947" ht="15.75" customHeight="1">
      <c r="B947" s="3">
        <v>44206.0</v>
      </c>
      <c r="C947" s="2">
        <v>-1502.27</v>
      </c>
      <c r="D947" s="2">
        <f t="shared" si="1"/>
        <v>124580.838</v>
      </c>
      <c r="E947" s="4">
        <f t="shared" si="2"/>
        <v>-0.01198647042</v>
      </c>
    </row>
    <row r="948" ht="15.75" customHeight="1">
      <c r="B948" s="3">
        <v>44296.0</v>
      </c>
      <c r="C948" s="2">
        <v>-1519.528</v>
      </c>
      <c r="D948" s="2">
        <f t="shared" si="1"/>
        <v>123061.31</v>
      </c>
      <c r="E948" s="4">
        <f t="shared" si="2"/>
        <v>-0.01227211994</v>
      </c>
    </row>
    <row r="949" ht="15.75" customHeight="1">
      <c r="B949" s="3">
        <v>44326.0</v>
      </c>
      <c r="C949" s="2">
        <v>-107.135</v>
      </c>
      <c r="D949" s="2">
        <f t="shared" si="1"/>
        <v>122954.175</v>
      </c>
      <c r="E949" s="4">
        <f t="shared" si="2"/>
        <v>-0.0008709614907</v>
      </c>
    </row>
    <row r="950" ht="15.75" customHeight="1">
      <c r="B950" s="3">
        <v>44357.0</v>
      </c>
      <c r="C950" s="2">
        <v>1407.567</v>
      </c>
      <c r="D950" s="2">
        <f t="shared" si="1"/>
        <v>124361.742</v>
      </c>
      <c r="E950" s="4">
        <f t="shared" si="2"/>
        <v>0.01138286783</v>
      </c>
    </row>
    <row r="951" ht="15.75" customHeight="1">
      <c r="B951" s="3">
        <v>44387.0</v>
      </c>
      <c r="C951" s="2">
        <v>-2196.117</v>
      </c>
      <c r="D951" s="2">
        <f t="shared" si="1"/>
        <v>122165.625</v>
      </c>
      <c r="E951" s="4">
        <f t="shared" si="2"/>
        <v>-0.01781688679</v>
      </c>
    </row>
    <row r="952" ht="15.75" customHeight="1">
      <c r="B952" s="3">
        <v>44418.0</v>
      </c>
      <c r="C952" s="2">
        <v>-745.588</v>
      </c>
      <c r="D952" s="2">
        <f t="shared" si="1"/>
        <v>121420.037</v>
      </c>
      <c r="E952" s="4">
        <f t="shared" si="2"/>
        <v>-0.00612179159</v>
      </c>
    </row>
    <row r="953" ht="15.75" customHeight="1">
      <c r="B953" s="3">
        <v>44510.0</v>
      </c>
      <c r="C953" s="2">
        <v>1466.45</v>
      </c>
      <c r="D953" s="2">
        <f t="shared" si="1"/>
        <v>122886.487</v>
      </c>
      <c r="E953" s="4">
        <f t="shared" si="2"/>
        <v>0.01200514492</v>
      </c>
    </row>
    <row r="954" ht="15.75" customHeight="1">
      <c r="B954" s="3">
        <v>44540.0</v>
      </c>
      <c r="C954" s="2">
        <v>-695.586</v>
      </c>
      <c r="D954" s="2">
        <f t="shared" si="1"/>
        <v>122190.901</v>
      </c>
      <c r="E954" s="4">
        <f t="shared" si="2"/>
        <v>-0.005676475284</v>
      </c>
    </row>
    <row r="955" ht="15.75" customHeight="1">
      <c r="B955" s="3" t="s">
        <v>573</v>
      </c>
      <c r="C955" s="2">
        <v>1040.852</v>
      </c>
      <c r="D955" s="2">
        <f t="shared" si="1"/>
        <v>123231.753</v>
      </c>
      <c r="E955" s="4">
        <f t="shared" si="2"/>
        <v>0.008482169218</v>
      </c>
    </row>
    <row r="956" ht="15.75" customHeight="1">
      <c r="B956" s="3" t="s">
        <v>574</v>
      </c>
      <c r="C956" s="2">
        <v>587.259</v>
      </c>
      <c r="D956" s="2">
        <f t="shared" si="1"/>
        <v>123819.012</v>
      </c>
      <c r="E956" s="4">
        <f t="shared" si="2"/>
        <v>0.004754165453</v>
      </c>
    </row>
    <row r="957" ht="15.75" customHeight="1">
      <c r="B957" s="3" t="s">
        <v>575</v>
      </c>
      <c r="C957" s="2">
        <v>464.598</v>
      </c>
      <c r="D957" s="2">
        <f t="shared" si="1"/>
        <v>124283.61</v>
      </c>
      <c r="E957" s="4">
        <f t="shared" si="2"/>
        <v>0.003745212681</v>
      </c>
    </row>
    <row r="958" ht="15.75" customHeight="1">
      <c r="B958" s="3" t="s">
        <v>576</v>
      </c>
      <c r="C958" s="2">
        <v>1983.679</v>
      </c>
      <c r="D958" s="2">
        <f t="shared" si="1"/>
        <v>126267.289</v>
      </c>
      <c r="E958" s="4">
        <f t="shared" si="2"/>
        <v>0.01583486994</v>
      </c>
    </row>
    <row r="959" ht="15.75" customHeight="1">
      <c r="B959" s="3" t="s">
        <v>577</v>
      </c>
      <c r="C959" s="2">
        <v>-1028.728</v>
      </c>
      <c r="D959" s="2">
        <f t="shared" si="1"/>
        <v>125238.561</v>
      </c>
      <c r="E959" s="4">
        <f t="shared" si="2"/>
        <v>-0.008180594901</v>
      </c>
    </row>
    <row r="960" ht="15.75" customHeight="1">
      <c r="B960" s="3" t="s">
        <v>578</v>
      </c>
      <c r="C960" s="2">
        <v>608.288</v>
      </c>
      <c r="D960" s="2">
        <f t="shared" si="1"/>
        <v>125846.849</v>
      </c>
      <c r="E960" s="4">
        <f t="shared" si="2"/>
        <v>0.004845277072</v>
      </c>
    </row>
    <row r="961" ht="15.75" customHeight="1">
      <c r="B961" s="3" t="s">
        <v>579</v>
      </c>
      <c r="C961" s="2">
        <v>1130.594</v>
      </c>
      <c r="D961" s="2">
        <f t="shared" si="1"/>
        <v>126977.443</v>
      </c>
      <c r="E961" s="4">
        <f t="shared" si="2"/>
        <v>0.008943772986</v>
      </c>
    </row>
    <row r="962" ht="15.75" customHeight="1">
      <c r="B962" s="3" t="s">
        <v>580</v>
      </c>
      <c r="C962" s="2">
        <v>657.755</v>
      </c>
      <c r="D962" s="2">
        <f t="shared" si="1"/>
        <v>127635.198</v>
      </c>
      <c r="E962" s="4">
        <f t="shared" si="2"/>
        <v>0.005166722757</v>
      </c>
    </row>
    <row r="963" ht="15.75" customHeight="1">
      <c r="B963" s="3" t="s">
        <v>581</v>
      </c>
      <c r="C963" s="2">
        <v>-2220.393</v>
      </c>
      <c r="D963" s="2">
        <f t="shared" si="1"/>
        <v>125414.805</v>
      </c>
      <c r="E963" s="4">
        <f t="shared" si="2"/>
        <v>-0.01754949584</v>
      </c>
    </row>
    <row r="964" ht="15.75" customHeight="1">
      <c r="B964" s="3" t="s">
        <v>582</v>
      </c>
      <c r="C964" s="2">
        <v>1752.873</v>
      </c>
      <c r="D964" s="2">
        <f t="shared" si="1"/>
        <v>127167.678</v>
      </c>
      <c r="E964" s="4">
        <f t="shared" si="2"/>
        <v>0.01387983141</v>
      </c>
    </row>
    <row r="965" ht="15.75" customHeight="1">
      <c r="B965" s="3" t="s">
        <v>583</v>
      </c>
      <c r="C965" s="2">
        <v>2143.767</v>
      </c>
      <c r="D965" s="2">
        <f t="shared" si="1"/>
        <v>129311.445</v>
      </c>
      <c r="E965" s="4">
        <f t="shared" si="2"/>
        <v>0.0167172821</v>
      </c>
    </row>
    <row r="966" ht="15.75" customHeight="1">
      <c r="B966" s="3" t="s">
        <v>584</v>
      </c>
      <c r="C966" s="2">
        <v>-363.059</v>
      </c>
      <c r="D966" s="2">
        <f t="shared" si="1"/>
        <v>128948.386</v>
      </c>
      <c r="E966" s="4">
        <f t="shared" si="2"/>
        <v>-0.002811581172</v>
      </c>
    </row>
    <row r="967" ht="15.75" customHeight="1">
      <c r="B967" s="3" t="s">
        <v>585</v>
      </c>
      <c r="C967" s="2">
        <v>1099.926</v>
      </c>
      <c r="D967" s="2">
        <f t="shared" si="1"/>
        <v>130048.312</v>
      </c>
      <c r="E967" s="4">
        <f t="shared" si="2"/>
        <v>0.008493796417</v>
      </c>
    </row>
    <row r="968" ht="15.75" customHeight="1">
      <c r="B968" s="3">
        <v>44207.0</v>
      </c>
      <c r="C968" s="2">
        <v>2112.516</v>
      </c>
      <c r="D968" s="2">
        <f t="shared" si="1"/>
        <v>132160.828</v>
      </c>
      <c r="E968" s="4">
        <f t="shared" si="2"/>
        <v>0.0161135627</v>
      </c>
    </row>
    <row r="969" ht="15.75" customHeight="1">
      <c r="B969" s="3">
        <v>44238.0</v>
      </c>
      <c r="C969" s="2">
        <v>-23.004</v>
      </c>
      <c r="D969" s="2">
        <f t="shared" si="1"/>
        <v>132137.824</v>
      </c>
      <c r="E969" s="4">
        <f t="shared" si="2"/>
        <v>-0.0001740758031</v>
      </c>
    </row>
    <row r="970" ht="15.75" customHeight="1">
      <c r="B970" s="3">
        <v>44266.0</v>
      </c>
      <c r="C970" s="2">
        <v>-623.379</v>
      </c>
      <c r="D970" s="2">
        <f t="shared" si="1"/>
        <v>131514.445</v>
      </c>
      <c r="E970" s="4">
        <f t="shared" si="2"/>
        <v>-0.004728805589</v>
      </c>
    </row>
    <row r="971" ht="15.75" customHeight="1">
      <c r="B971" s="3">
        <v>44297.0</v>
      </c>
      <c r="C971" s="2">
        <v>1115.381</v>
      </c>
      <c r="D971" s="2">
        <f t="shared" si="1"/>
        <v>132629.826</v>
      </c>
      <c r="E971" s="4">
        <f t="shared" si="2"/>
        <v>0.008445291091</v>
      </c>
    </row>
    <row r="972" ht="15.75" customHeight="1">
      <c r="B972" s="3">
        <v>44327.0</v>
      </c>
      <c r="C972" s="2">
        <v>-210.035</v>
      </c>
      <c r="D972" s="2">
        <f t="shared" si="1"/>
        <v>132419.791</v>
      </c>
      <c r="E972" s="4">
        <f t="shared" si="2"/>
        <v>-0.001584873401</v>
      </c>
    </row>
    <row r="973" ht="15.75" customHeight="1">
      <c r="B973" s="3">
        <v>44419.0</v>
      </c>
      <c r="C973" s="2">
        <v>327.97</v>
      </c>
      <c r="D973" s="2">
        <f t="shared" si="1"/>
        <v>132747.761</v>
      </c>
      <c r="E973" s="4">
        <f t="shared" si="2"/>
        <v>0.002473682506</v>
      </c>
    </row>
    <row r="974" ht="15.75" customHeight="1">
      <c r="B974" s="3">
        <v>44450.0</v>
      </c>
      <c r="C974" s="2">
        <v>-1172.373</v>
      </c>
      <c r="D974" s="2">
        <f t="shared" si="1"/>
        <v>131575.388</v>
      </c>
      <c r="E974" s="4">
        <f t="shared" si="2"/>
        <v>-0.008870813566</v>
      </c>
    </row>
    <row r="975" ht="15.75" customHeight="1">
      <c r="B975" s="3">
        <v>44480.0</v>
      </c>
      <c r="C975" s="2">
        <v>1238.456</v>
      </c>
      <c r="D975" s="2">
        <f t="shared" si="1"/>
        <v>132813.844</v>
      </c>
      <c r="E975" s="4">
        <f t="shared" si="2"/>
        <v>0.009368498473</v>
      </c>
    </row>
    <row r="976" ht="15.75" customHeight="1">
      <c r="B976" s="3">
        <v>44511.0</v>
      </c>
      <c r="C976" s="2">
        <v>579.508</v>
      </c>
      <c r="D976" s="2">
        <f t="shared" si="1"/>
        <v>133393.352</v>
      </c>
      <c r="E976" s="4">
        <f t="shared" si="2"/>
        <v>0.00435381856</v>
      </c>
    </row>
    <row r="977" ht="15.75" customHeight="1">
      <c r="B977" s="3">
        <v>44541.0</v>
      </c>
      <c r="C977" s="2">
        <v>-2504.84</v>
      </c>
      <c r="D977" s="2">
        <f t="shared" si="1"/>
        <v>130888.512</v>
      </c>
      <c r="E977" s="4">
        <f t="shared" si="2"/>
        <v>-0.01895638974</v>
      </c>
    </row>
    <row r="978" ht="15.75" customHeight="1">
      <c r="B978" s="3" t="s">
        <v>586</v>
      </c>
      <c r="C978" s="2">
        <v>327.071</v>
      </c>
      <c r="D978" s="2">
        <f t="shared" si="1"/>
        <v>131215.583</v>
      </c>
      <c r="E978" s="4">
        <f t="shared" si="2"/>
        <v>0.002495734908</v>
      </c>
    </row>
    <row r="979" ht="15.75" customHeight="1">
      <c r="B979" s="3" t="s">
        <v>587</v>
      </c>
      <c r="C979" s="2">
        <v>-2266.196</v>
      </c>
      <c r="D979" s="2">
        <f t="shared" si="1"/>
        <v>128949.387</v>
      </c>
      <c r="E979" s="4">
        <f t="shared" si="2"/>
        <v>-0.01742166379</v>
      </c>
    </row>
    <row r="980" ht="15.75" customHeight="1">
      <c r="B980" s="3" t="s">
        <v>588</v>
      </c>
      <c r="C980" s="2">
        <v>750.535</v>
      </c>
      <c r="D980" s="2">
        <f t="shared" si="1"/>
        <v>129699.922</v>
      </c>
      <c r="E980" s="4">
        <f t="shared" si="2"/>
        <v>0.005803511399</v>
      </c>
    </row>
    <row r="981" ht="15.75" customHeight="1">
      <c r="B981" s="3" t="s">
        <v>589</v>
      </c>
      <c r="C981" s="2">
        <v>-1029.509</v>
      </c>
      <c r="D981" s="2">
        <f t="shared" si="1"/>
        <v>128670.413</v>
      </c>
      <c r="E981" s="4">
        <f t="shared" si="2"/>
        <v>-0.007969292981</v>
      </c>
    </row>
    <row r="982" ht="15.75" customHeight="1">
      <c r="B982" s="3" t="s">
        <v>590</v>
      </c>
      <c r="C982" s="2">
        <v>-774.81</v>
      </c>
      <c r="D982" s="2">
        <f t="shared" si="1"/>
        <v>127895.603</v>
      </c>
      <c r="E982" s="4">
        <f t="shared" si="2"/>
        <v>-0.00603986738</v>
      </c>
    </row>
    <row r="983" ht="15.75" customHeight="1">
      <c r="B983" s="3" t="s">
        <v>591</v>
      </c>
      <c r="C983" s="2">
        <v>-3282.539</v>
      </c>
      <c r="D983" s="2">
        <f t="shared" si="1"/>
        <v>124613.064</v>
      </c>
      <c r="E983" s="4">
        <f t="shared" si="2"/>
        <v>-0.0260008812</v>
      </c>
    </row>
    <row r="984" ht="15.75" customHeight="1">
      <c r="B984" s="3" t="s">
        <v>592</v>
      </c>
      <c r="C984" s="2">
        <v>1963.423</v>
      </c>
      <c r="D984" s="2">
        <f t="shared" si="1"/>
        <v>126576.487</v>
      </c>
      <c r="E984" s="4">
        <f t="shared" si="2"/>
        <v>0.01563331739</v>
      </c>
    </row>
    <row r="985" ht="15.75" customHeight="1">
      <c r="B985" s="3" t="s">
        <v>593</v>
      </c>
      <c r="C985" s="2">
        <v>-374.608</v>
      </c>
      <c r="D985" s="2">
        <f t="shared" si="1"/>
        <v>126201.879</v>
      </c>
      <c r="E985" s="4">
        <f t="shared" si="2"/>
        <v>-0.002963926701</v>
      </c>
    </row>
    <row r="986" ht="15.75" customHeight="1">
      <c r="B986" s="3" t="s">
        <v>594</v>
      </c>
      <c r="C986" s="2">
        <v>586.687</v>
      </c>
      <c r="D986" s="2">
        <f t="shared" si="1"/>
        <v>126788.566</v>
      </c>
      <c r="E986" s="4">
        <f t="shared" si="2"/>
        <v>0.004638025374</v>
      </c>
    </row>
    <row r="987" ht="15.75" customHeight="1">
      <c r="B987" s="3" t="s">
        <v>595</v>
      </c>
      <c r="C987" s="2">
        <v>91.743</v>
      </c>
      <c r="D987" s="2">
        <f t="shared" si="1"/>
        <v>126880.309</v>
      </c>
      <c r="E987" s="4">
        <f t="shared" si="2"/>
        <v>0.0007233288199</v>
      </c>
    </row>
    <row r="988" ht="15.75" customHeight="1">
      <c r="B988" s="3" t="s">
        <v>596</v>
      </c>
      <c r="C988" s="2">
        <v>3090.816</v>
      </c>
      <c r="D988" s="2">
        <f t="shared" si="1"/>
        <v>129971.125</v>
      </c>
      <c r="E988" s="4">
        <f t="shared" si="2"/>
        <v>0.02406811714</v>
      </c>
    </row>
    <row r="989" ht="15.75" customHeight="1">
      <c r="B989" s="3">
        <v>44208.0</v>
      </c>
      <c r="C989" s="2">
        <v>3465.982</v>
      </c>
      <c r="D989" s="2">
        <f t="shared" si="1"/>
        <v>133437.107</v>
      </c>
      <c r="E989" s="4">
        <f t="shared" si="2"/>
        <v>0.02631794782</v>
      </c>
    </row>
    <row r="990" ht="15.75" customHeight="1">
      <c r="B990" s="3">
        <v>44239.0</v>
      </c>
      <c r="C990" s="2">
        <v>-3154.998</v>
      </c>
      <c r="D990" s="2">
        <f t="shared" si="1"/>
        <v>130282.109</v>
      </c>
      <c r="E990" s="4">
        <f t="shared" si="2"/>
        <v>-0.02392808973</v>
      </c>
    </row>
    <row r="991" ht="15.75" customHeight="1">
      <c r="B991" s="3">
        <v>44267.0</v>
      </c>
      <c r="C991" s="2">
        <v>2994.446</v>
      </c>
      <c r="D991" s="2">
        <f t="shared" si="1"/>
        <v>133276.555</v>
      </c>
      <c r="E991" s="4">
        <f t="shared" si="2"/>
        <v>0.02272416176</v>
      </c>
    </row>
    <row r="992" ht="15.75" customHeight="1">
      <c r="B992" s="3">
        <v>44359.0</v>
      </c>
      <c r="C992" s="2">
        <v>-3037.332</v>
      </c>
      <c r="D992" s="2">
        <f t="shared" si="1"/>
        <v>130239.223</v>
      </c>
      <c r="E992" s="4">
        <f t="shared" si="2"/>
        <v>-0.02305339392</v>
      </c>
    </row>
    <row r="993" ht="15.75" customHeight="1">
      <c r="B993" s="3">
        <v>44389.0</v>
      </c>
      <c r="C993" s="2">
        <v>2637.235</v>
      </c>
      <c r="D993" s="2">
        <f t="shared" si="1"/>
        <v>132876.458</v>
      </c>
      <c r="E993" s="4">
        <f t="shared" si="2"/>
        <v>0.02004687299</v>
      </c>
    </row>
    <row r="994" ht="15.75" customHeight="1">
      <c r="B994" s="3">
        <v>44420.0</v>
      </c>
      <c r="C994" s="2">
        <v>2106.569</v>
      </c>
      <c r="D994" s="2">
        <f t="shared" si="1"/>
        <v>134983.027</v>
      </c>
      <c r="E994" s="4">
        <f t="shared" si="2"/>
        <v>0.01572923529</v>
      </c>
    </row>
    <row r="995" ht="15.75" customHeight="1">
      <c r="B995" s="3">
        <v>44451.0</v>
      </c>
      <c r="C995" s="2">
        <v>-1737.425</v>
      </c>
      <c r="D995" s="2">
        <f t="shared" si="1"/>
        <v>133245.602</v>
      </c>
      <c r="E995" s="4">
        <f t="shared" si="2"/>
        <v>-0.01295498774</v>
      </c>
    </row>
    <row r="996" ht="15.75" customHeight="1">
      <c r="B996" s="3">
        <v>44481.0</v>
      </c>
      <c r="C996" s="2">
        <v>4452.859</v>
      </c>
      <c r="D996" s="2">
        <f t="shared" si="1"/>
        <v>137698.461</v>
      </c>
      <c r="E996" s="4">
        <f t="shared" si="2"/>
        <v>0.03287217233</v>
      </c>
    </row>
    <row r="997" ht="15.75" customHeight="1">
      <c r="B997" s="3" t="s">
        <v>597</v>
      </c>
      <c r="C997" s="2">
        <v>2259.423</v>
      </c>
      <c r="D997" s="2">
        <f t="shared" si="1"/>
        <v>139957.884</v>
      </c>
      <c r="E997" s="4">
        <f t="shared" si="2"/>
        <v>0.01627531958</v>
      </c>
    </row>
    <row r="998" ht="15.75" customHeight="1">
      <c r="B998" s="3" t="s">
        <v>598</v>
      </c>
      <c r="C998" s="2">
        <v>6343.496</v>
      </c>
      <c r="D998" s="2">
        <f t="shared" si="1"/>
        <v>146301.38</v>
      </c>
      <c r="E998" s="4">
        <f t="shared" si="2"/>
        <v>0.04432719187</v>
      </c>
    </row>
    <row r="999" ht="15.75" customHeight="1">
      <c r="B999" s="3" t="s">
        <v>599</v>
      </c>
      <c r="C999" s="2">
        <v>2731.844</v>
      </c>
      <c r="D999" s="2">
        <f t="shared" si="1"/>
        <v>149033.224</v>
      </c>
      <c r="E999" s="4">
        <f t="shared" si="2"/>
        <v>0.0185005203</v>
      </c>
    </row>
    <row r="1000" ht="15.75" customHeight="1">
      <c r="B1000" s="3" t="s">
        <v>600</v>
      </c>
      <c r="C1000" s="2">
        <v>-6658.713</v>
      </c>
      <c r="D1000" s="2">
        <f t="shared" si="1"/>
        <v>142374.511</v>
      </c>
      <c r="E1000" s="4">
        <f t="shared" si="2"/>
        <v>-0.04570827379</v>
      </c>
    </row>
    <row r="1001" ht="15.75" customHeight="1">
      <c r="B1001" s="3" t="s">
        <v>601</v>
      </c>
      <c r="C1001" s="2">
        <v>3195.516</v>
      </c>
      <c r="D1001" s="2">
        <f t="shared" si="1"/>
        <v>145570.027</v>
      </c>
      <c r="E1001" s="4">
        <f t="shared" si="2"/>
        <v>0.02219626888</v>
      </c>
    </row>
    <row r="1002" ht="15.75" customHeight="1">
      <c r="B1002" s="3" t="s">
        <v>602</v>
      </c>
      <c r="C1002" s="2">
        <v>-1886.398</v>
      </c>
      <c r="D1002" s="2">
        <f t="shared" si="1"/>
        <v>143683.629</v>
      </c>
      <c r="E1002" s="4">
        <f t="shared" si="2"/>
        <v>-0.0130433943</v>
      </c>
    </row>
    <row r="1003" ht="15.75" customHeight="1">
      <c r="B1003" s="3" t="s">
        <v>603</v>
      </c>
      <c r="C1003" s="2">
        <v>955.195</v>
      </c>
      <c r="D1003" s="2">
        <f t="shared" si="1"/>
        <v>144638.824</v>
      </c>
      <c r="E1003" s="4">
        <f t="shared" si="2"/>
        <v>0.006625904328</v>
      </c>
    </row>
    <row r="1004" ht="15.75" customHeight="1">
      <c r="B1004" s="3" t="s">
        <v>604</v>
      </c>
      <c r="C1004" s="2">
        <v>2801.023</v>
      </c>
      <c r="D1004" s="2">
        <f t="shared" si="1"/>
        <v>147439.847</v>
      </c>
      <c r="E1004" s="4">
        <f t="shared" si="2"/>
        <v>0.01918050957</v>
      </c>
    </row>
    <row r="1005" ht="15.75" customHeight="1">
      <c r="B1005" s="3" t="s">
        <v>605</v>
      </c>
      <c r="C1005" s="2">
        <v>-1333.074</v>
      </c>
      <c r="D1005" s="2">
        <f t="shared" si="1"/>
        <v>146106.773</v>
      </c>
      <c r="E1005" s="4">
        <f t="shared" si="2"/>
        <v>-0.00908259931</v>
      </c>
    </row>
    <row r="1006" ht="15.75" customHeight="1">
      <c r="B1006" s="3" t="s">
        <v>606</v>
      </c>
      <c r="C1006" s="2">
        <v>-2518.039</v>
      </c>
      <c r="D1006" s="2">
        <f t="shared" si="1"/>
        <v>143588.734</v>
      </c>
      <c r="E1006" s="4">
        <f t="shared" si="2"/>
        <v>-0.01738447684</v>
      </c>
    </row>
    <row r="1007" ht="15.75" customHeight="1">
      <c r="B1007" s="3" t="s">
        <v>607</v>
      </c>
      <c r="C1007" s="2">
        <v>3054.039</v>
      </c>
      <c r="D1007" s="2">
        <f t="shared" si="1"/>
        <v>146642.773</v>
      </c>
      <c r="E1007" s="4">
        <f t="shared" si="2"/>
        <v>0.02104631411</v>
      </c>
    </row>
    <row r="1008" ht="15.75" customHeight="1">
      <c r="B1008" s="3" t="s">
        <v>608</v>
      </c>
      <c r="C1008" s="2">
        <v>2836.432</v>
      </c>
      <c r="D1008" s="2">
        <f t="shared" si="1"/>
        <v>149479.205</v>
      </c>
      <c r="E1008" s="4">
        <f t="shared" si="2"/>
        <v>0.01915777256</v>
      </c>
    </row>
    <row r="1009" ht="15.75" customHeight="1">
      <c r="B1009" s="3" t="s">
        <v>609</v>
      </c>
      <c r="C1009" s="2">
        <v>1360.536</v>
      </c>
      <c r="D1009" s="2">
        <f t="shared" si="1"/>
        <v>150839.741</v>
      </c>
      <c r="E1009" s="4">
        <f t="shared" si="2"/>
        <v>0.009060669172</v>
      </c>
    </row>
    <row r="1010" ht="15.75" customHeight="1">
      <c r="B1010" s="3" t="s">
        <v>610</v>
      </c>
      <c r="C1010" s="2">
        <v>2689.37</v>
      </c>
      <c r="D1010" s="2">
        <f t="shared" si="1"/>
        <v>153529.111</v>
      </c>
      <c r="E1010" s="4">
        <f t="shared" si="2"/>
        <v>0.01767224192</v>
      </c>
    </row>
    <row r="1011" ht="15.75" customHeight="1">
      <c r="B1011" s="3">
        <v>44621.0</v>
      </c>
      <c r="C1011" s="2">
        <v>5554.761</v>
      </c>
      <c r="D1011" s="2">
        <f t="shared" si="1"/>
        <v>159083.872</v>
      </c>
      <c r="E1011" s="4">
        <f t="shared" si="2"/>
        <v>0.03554136274</v>
      </c>
    </row>
    <row r="1012" ht="15.75" customHeight="1">
      <c r="B1012" s="3">
        <v>44652.0</v>
      </c>
      <c r="C1012" s="2">
        <v>-2962.314</v>
      </c>
      <c r="D1012" s="2">
        <f t="shared" si="1"/>
        <v>156121.558</v>
      </c>
      <c r="E1012" s="4">
        <f t="shared" si="2"/>
        <v>-0.01879663823</v>
      </c>
    </row>
    <row r="1013" ht="15.75" customHeight="1">
      <c r="B1013" s="3">
        <v>44682.0</v>
      </c>
      <c r="C1013" s="2">
        <v>-2578.635</v>
      </c>
      <c r="D1013" s="2">
        <f t="shared" si="1"/>
        <v>153542.923</v>
      </c>
      <c r="E1013" s="4">
        <f t="shared" si="2"/>
        <v>-0.01665476516</v>
      </c>
    </row>
    <row r="1014" ht="15.75" customHeight="1">
      <c r="B1014" s="3">
        <v>44713.0</v>
      </c>
      <c r="C1014" s="2">
        <v>1498.562</v>
      </c>
      <c r="D1014" s="2">
        <f t="shared" si="1"/>
        <v>155041.485</v>
      </c>
      <c r="E1014" s="4">
        <f t="shared" si="2"/>
        <v>0.009712569667</v>
      </c>
    </row>
    <row r="1015" ht="15.75" customHeight="1">
      <c r="B1015" s="3">
        <v>44743.0</v>
      </c>
      <c r="C1015" s="2">
        <v>-2877.496</v>
      </c>
      <c r="D1015" s="2">
        <f t="shared" si="1"/>
        <v>152163.989</v>
      </c>
      <c r="E1015" s="4">
        <f t="shared" si="2"/>
        <v>-0.01873391199</v>
      </c>
    </row>
    <row r="1016" ht="15.75" customHeight="1">
      <c r="B1016" s="3">
        <v>44835.0</v>
      </c>
      <c r="C1016" s="2">
        <v>396.161</v>
      </c>
      <c r="D1016" s="2">
        <f t="shared" si="1"/>
        <v>152560.15</v>
      </c>
      <c r="E1016" s="4">
        <f t="shared" si="2"/>
        <v>0.002600130232</v>
      </c>
    </row>
    <row r="1017" ht="15.75" customHeight="1">
      <c r="B1017" s="3">
        <v>44866.0</v>
      </c>
      <c r="C1017" s="2">
        <v>581.748</v>
      </c>
      <c r="D1017" s="2">
        <f t="shared" si="1"/>
        <v>153141.898</v>
      </c>
      <c r="E1017" s="4">
        <f t="shared" si="2"/>
        <v>0.003805984985</v>
      </c>
    </row>
    <row r="1018" ht="15.75" customHeight="1">
      <c r="B1018" s="3">
        <v>44896.0</v>
      </c>
      <c r="C1018" s="2">
        <v>-305.278</v>
      </c>
      <c r="D1018" s="2">
        <f t="shared" si="1"/>
        <v>152836.62</v>
      </c>
      <c r="E1018" s="4">
        <f t="shared" si="2"/>
        <v>-0.001995421792</v>
      </c>
    </row>
    <row r="1019" ht="15.75" customHeight="1">
      <c r="B1019" s="3" t="s">
        <v>611</v>
      </c>
      <c r="C1019" s="2">
        <v>-1412.961</v>
      </c>
      <c r="D1019" s="2">
        <f t="shared" si="1"/>
        <v>151423.659</v>
      </c>
      <c r="E1019" s="4">
        <f t="shared" si="2"/>
        <v>-0.009287910746</v>
      </c>
    </row>
    <row r="1020" ht="15.75" customHeight="1">
      <c r="B1020" s="3" t="s">
        <v>612</v>
      </c>
      <c r="C1020" s="2">
        <v>-905.45</v>
      </c>
      <c r="D1020" s="2">
        <f t="shared" si="1"/>
        <v>150518.209</v>
      </c>
      <c r="E1020" s="4">
        <f t="shared" si="2"/>
        <v>-0.005997530055</v>
      </c>
    </row>
    <row r="1021" ht="15.75" customHeight="1">
      <c r="B1021" s="3" t="s">
        <v>613</v>
      </c>
      <c r="C1021" s="2">
        <v>-209.123</v>
      </c>
      <c r="D1021" s="2">
        <f t="shared" si="1"/>
        <v>150309.086</v>
      </c>
      <c r="E1021" s="4">
        <f t="shared" si="2"/>
        <v>-0.001390319543</v>
      </c>
    </row>
    <row r="1022" ht="15.75" customHeight="1">
      <c r="B1022" s="3" t="s">
        <v>614</v>
      </c>
      <c r="C1022" s="2">
        <v>-4265.287</v>
      </c>
      <c r="D1022" s="2">
        <f t="shared" si="1"/>
        <v>146043.799</v>
      </c>
      <c r="E1022" s="4">
        <f t="shared" si="2"/>
        <v>-0.02878717749</v>
      </c>
    </row>
    <row r="1023" ht="15.75" customHeight="1">
      <c r="B1023" s="3" t="s">
        <v>615</v>
      </c>
      <c r="C1023" s="2">
        <v>-1061.656</v>
      </c>
      <c r="D1023" s="2">
        <f t="shared" si="1"/>
        <v>144982.143</v>
      </c>
      <c r="E1023" s="4">
        <f t="shared" si="2"/>
        <v>-0.007295986757</v>
      </c>
    </row>
    <row r="1024" ht="15.75" customHeight="1">
      <c r="B1024" s="3" t="s">
        <v>616</v>
      </c>
      <c r="C1024" s="2">
        <v>89.363</v>
      </c>
      <c r="D1024" s="2">
        <f t="shared" si="1"/>
        <v>145071.506</v>
      </c>
      <c r="E1024" s="4">
        <f t="shared" si="2"/>
        <v>0.0006161825796</v>
      </c>
    </row>
    <row r="1025" ht="15.75" customHeight="1">
      <c r="B1025" s="3" t="s">
        <v>617</v>
      </c>
      <c r="C1025" s="2">
        <v>-1884.985</v>
      </c>
      <c r="D1025" s="2">
        <f t="shared" si="1"/>
        <v>143186.521</v>
      </c>
      <c r="E1025" s="4">
        <f t="shared" si="2"/>
        <v>-0.01307864269</v>
      </c>
    </row>
    <row r="1026" ht="15.75" customHeight="1">
      <c r="B1026" s="3" t="s">
        <v>618</v>
      </c>
      <c r="C1026" s="2">
        <v>351.667</v>
      </c>
      <c r="D1026" s="2">
        <f t="shared" si="1"/>
        <v>143538.188</v>
      </c>
      <c r="E1026" s="4">
        <f t="shared" si="2"/>
        <v>0.002452995262</v>
      </c>
    </row>
    <row r="1027" ht="15.75" customHeight="1">
      <c r="B1027" s="3" t="s">
        <v>619</v>
      </c>
      <c r="C1027" s="2">
        <v>-1172.442</v>
      </c>
      <c r="D1027" s="2">
        <f t="shared" si="1"/>
        <v>142365.746</v>
      </c>
      <c r="E1027" s="4">
        <f t="shared" si="2"/>
        <v>-0.008201695975</v>
      </c>
    </row>
    <row r="1028" ht="15.75" customHeight="1">
      <c r="B1028" s="3" t="s">
        <v>620</v>
      </c>
      <c r="C1028" s="2">
        <v>-1430.857</v>
      </c>
      <c r="D1028" s="2">
        <f t="shared" si="1"/>
        <v>140934.889</v>
      </c>
      <c r="E1028" s="4">
        <f t="shared" si="2"/>
        <v>-0.01010141871</v>
      </c>
    </row>
    <row r="1029" ht="15.75" customHeight="1">
      <c r="B1029" s="3" t="s">
        <v>621</v>
      </c>
      <c r="C1029" s="2">
        <v>-3665.935</v>
      </c>
      <c r="D1029" s="2">
        <f t="shared" si="1"/>
        <v>137268.954</v>
      </c>
      <c r="E1029" s="4">
        <f t="shared" si="2"/>
        <v>-0.02635583437</v>
      </c>
    </row>
    <row r="1030" ht="15.75" customHeight="1">
      <c r="B1030" s="3" t="s">
        <v>622</v>
      </c>
      <c r="C1030" s="2">
        <v>-1789.404</v>
      </c>
      <c r="D1030" s="2">
        <f t="shared" si="1"/>
        <v>135479.55</v>
      </c>
      <c r="E1030" s="4">
        <f t="shared" si="2"/>
        <v>-0.0131214628</v>
      </c>
    </row>
    <row r="1031" ht="15.75" customHeight="1">
      <c r="B1031" s="3">
        <v>44563.0</v>
      </c>
      <c r="C1031" s="2">
        <v>-6955.154</v>
      </c>
      <c r="D1031" s="2">
        <f t="shared" si="1"/>
        <v>128524.396</v>
      </c>
      <c r="E1031" s="4">
        <f t="shared" si="2"/>
        <v>-0.05270196796</v>
      </c>
    </row>
    <row r="1032" ht="15.75" customHeight="1">
      <c r="B1032" s="3">
        <v>44594.0</v>
      </c>
      <c r="C1032" s="2">
        <v>-1450.437</v>
      </c>
      <c r="D1032" s="2">
        <f t="shared" si="1"/>
        <v>127073.959</v>
      </c>
      <c r="E1032" s="4">
        <f t="shared" si="2"/>
        <v>-0.01134946717</v>
      </c>
    </row>
    <row r="1033" ht="15.75" customHeight="1">
      <c r="B1033" s="3">
        <v>44622.0</v>
      </c>
      <c r="C1033" s="2">
        <v>3523.005</v>
      </c>
      <c r="D1033" s="2">
        <f t="shared" si="1"/>
        <v>130596.964</v>
      </c>
      <c r="E1033" s="4">
        <f t="shared" si="2"/>
        <v>0.02734669873</v>
      </c>
    </row>
    <row r="1034" ht="15.75" customHeight="1">
      <c r="B1034" s="3">
        <v>44653.0</v>
      </c>
      <c r="C1034" s="2">
        <v>1517.763</v>
      </c>
      <c r="D1034" s="2">
        <f t="shared" si="1"/>
        <v>132114.727</v>
      </c>
      <c r="E1034" s="4">
        <f t="shared" si="2"/>
        <v>0.01155471902</v>
      </c>
    </row>
    <row r="1035" ht="15.75" customHeight="1">
      <c r="B1035" s="3">
        <v>44744.0</v>
      </c>
      <c r="C1035" s="2">
        <v>-875.108</v>
      </c>
      <c r="D1035" s="2">
        <f t="shared" si="1"/>
        <v>131239.619</v>
      </c>
      <c r="E1035" s="4">
        <f t="shared" si="2"/>
        <v>-0.006645884029</v>
      </c>
    </row>
    <row r="1036" ht="15.75" customHeight="1">
      <c r="B1036" s="3">
        <v>44775.0</v>
      </c>
      <c r="C1036" s="2">
        <v>290.629</v>
      </c>
      <c r="D1036" s="2">
        <f t="shared" si="1"/>
        <v>131530.248</v>
      </c>
      <c r="E1036" s="4">
        <f t="shared" si="2"/>
        <v>0.00221204297</v>
      </c>
    </row>
    <row r="1037" ht="15.75" customHeight="1">
      <c r="B1037" s="3">
        <v>44806.0</v>
      </c>
      <c r="C1037" s="2">
        <v>-1645.719</v>
      </c>
      <c r="D1037" s="2">
        <f t="shared" si="1"/>
        <v>129884.529</v>
      </c>
      <c r="E1037" s="4">
        <f t="shared" si="2"/>
        <v>-0.0125910307</v>
      </c>
    </row>
    <row r="1038" ht="15.75" customHeight="1">
      <c r="B1038" s="3">
        <v>44836.0</v>
      </c>
      <c r="C1038" s="2">
        <v>709.085</v>
      </c>
      <c r="D1038" s="2">
        <f t="shared" si="1"/>
        <v>130593.614</v>
      </c>
      <c r="E1038" s="4">
        <f t="shared" si="2"/>
        <v>0.005444500974</v>
      </c>
    </row>
    <row r="1039" ht="15.75" customHeight="1">
      <c r="B1039" s="3">
        <v>44867.0</v>
      </c>
      <c r="C1039" s="2">
        <v>0.0</v>
      </c>
      <c r="D1039" s="2">
        <f t="shared" si="1"/>
        <v>130593.614</v>
      </c>
      <c r="E1039" s="4">
        <f t="shared" si="2"/>
        <v>0</v>
      </c>
    </row>
    <row r="1040" ht="15.75" customHeight="1">
      <c r="B1040" s="3" t="s">
        <v>623</v>
      </c>
      <c r="C1040" s="2">
        <v>-1344.307</v>
      </c>
      <c r="D1040" s="2">
        <f t="shared" si="1"/>
        <v>129249.307</v>
      </c>
      <c r="E1040" s="4">
        <f t="shared" si="2"/>
        <v>-0.01034716658</v>
      </c>
    </row>
    <row r="1041" ht="15.75" customHeight="1">
      <c r="B1041" s="3" t="s">
        <v>624</v>
      </c>
      <c r="C1041" s="2">
        <v>-2458.941</v>
      </c>
      <c r="D1041" s="2">
        <f t="shared" si="1"/>
        <v>126790.366</v>
      </c>
      <c r="E1041" s="4">
        <f t="shared" si="2"/>
        <v>-0.01920809047</v>
      </c>
    </row>
    <row r="1042" ht="15.75" customHeight="1">
      <c r="B1042" s="3" t="s">
        <v>625</v>
      </c>
      <c r="C1042" s="2">
        <v>-736.001</v>
      </c>
      <c r="D1042" s="2">
        <f t="shared" si="1"/>
        <v>126054.365</v>
      </c>
      <c r="E1042" s="4">
        <f t="shared" si="2"/>
        <v>-0.005821779049</v>
      </c>
    </row>
    <row r="1043" ht="15.75" customHeight="1">
      <c r="B1043" s="3" t="s">
        <v>626</v>
      </c>
      <c r="C1043" s="2">
        <v>357.21</v>
      </c>
      <c r="D1043" s="2">
        <f t="shared" si="1"/>
        <v>126411.575</v>
      </c>
      <c r="E1043" s="4">
        <f t="shared" si="2"/>
        <v>0.002829769737</v>
      </c>
    </row>
    <row r="1044" ht="15.75" customHeight="1">
      <c r="B1044" s="3" t="s">
        <v>627</v>
      </c>
      <c r="C1044" s="2">
        <v>1857.778</v>
      </c>
      <c r="D1044" s="2">
        <f t="shared" si="1"/>
        <v>128269.353</v>
      </c>
      <c r="E1044" s="4">
        <f t="shared" si="2"/>
        <v>0.01458932136</v>
      </c>
    </row>
    <row r="1045" ht="15.75" customHeight="1">
      <c r="B1045" s="3" t="s">
        <v>628</v>
      </c>
      <c r="C1045" s="2">
        <v>-5664.442</v>
      </c>
      <c r="D1045" s="2">
        <f t="shared" si="1"/>
        <v>122604.911</v>
      </c>
      <c r="E1045" s="4">
        <f t="shared" si="2"/>
        <v>-0.04516529346</v>
      </c>
    </row>
    <row r="1046" ht="15.75" customHeight="1">
      <c r="B1046" s="3" t="s">
        <v>629</v>
      </c>
      <c r="C1046" s="2">
        <v>4876.709</v>
      </c>
      <c r="D1046" s="2">
        <f t="shared" si="1"/>
        <v>127481.62</v>
      </c>
      <c r="E1046" s="4">
        <f t="shared" si="2"/>
        <v>0.03900511755</v>
      </c>
    </row>
    <row r="1047" ht="15.75" customHeight="1">
      <c r="B1047" s="3" t="s">
        <v>630</v>
      </c>
      <c r="C1047" s="2">
        <v>1940.137</v>
      </c>
      <c r="D1047" s="2">
        <f t="shared" si="1"/>
        <v>129421.757</v>
      </c>
      <c r="E1047" s="4">
        <f t="shared" si="2"/>
        <v>0.01510430815</v>
      </c>
    </row>
    <row r="1048" ht="15.75" customHeight="1">
      <c r="B1048" s="3" t="s">
        <v>631</v>
      </c>
      <c r="C1048" s="2">
        <v>-3125.106</v>
      </c>
      <c r="D1048" s="2">
        <f t="shared" si="1"/>
        <v>126296.651</v>
      </c>
      <c r="E1048" s="4">
        <f t="shared" si="2"/>
        <v>-0.02444299272</v>
      </c>
    </row>
    <row r="1049" ht="15.75" customHeight="1">
      <c r="B1049" s="3" t="s">
        <v>632</v>
      </c>
      <c r="C1049" s="2">
        <v>6981.368</v>
      </c>
      <c r="D1049" s="2">
        <f t="shared" si="1"/>
        <v>133278.019</v>
      </c>
      <c r="E1049" s="4">
        <f t="shared" si="2"/>
        <v>0.05380380209</v>
      </c>
    </row>
    <row r="1050" ht="15.75" customHeight="1">
      <c r="B1050" s="3">
        <v>44564.0</v>
      </c>
      <c r="C1050" s="2">
        <v>-1244.549</v>
      </c>
      <c r="D1050" s="2">
        <f t="shared" si="1"/>
        <v>132033.47</v>
      </c>
      <c r="E1050" s="4">
        <f t="shared" si="2"/>
        <v>-0.009381863811</v>
      </c>
    </row>
    <row r="1051" ht="15.75" customHeight="1">
      <c r="B1051" s="3">
        <v>44595.0</v>
      </c>
      <c r="C1051" s="2">
        <v>-2149.75</v>
      </c>
      <c r="D1051" s="2">
        <f t="shared" si="1"/>
        <v>129883.72</v>
      </c>
      <c r="E1051" s="4">
        <f t="shared" si="2"/>
        <v>-0.0164158624</v>
      </c>
    </row>
    <row r="1052" ht="15.75" customHeight="1">
      <c r="B1052" s="3">
        <v>44623.0</v>
      </c>
      <c r="C1052" s="2">
        <v>-328.473</v>
      </c>
      <c r="D1052" s="2">
        <f t="shared" si="1"/>
        <v>129555.247</v>
      </c>
      <c r="E1052" s="4">
        <f t="shared" si="2"/>
        <v>-0.002532180723</v>
      </c>
    </row>
    <row r="1053" ht="15.75" customHeight="1">
      <c r="B1053" s="3">
        <v>44654.0</v>
      </c>
      <c r="C1053" s="2">
        <v>1437.874</v>
      </c>
      <c r="D1053" s="2">
        <f t="shared" si="1"/>
        <v>130993.121</v>
      </c>
      <c r="E1053" s="4">
        <f t="shared" si="2"/>
        <v>0.01103740245</v>
      </c>
    </row>
    <row r="1054" ht="15.75" customHeight="1">
      <c r="B1054" s="3">
        <v>44745.0</v>
      </c>
      <c r="C1054" s="2">
        <v>-280.993</v>
      </c>
      <c r="D1054" s="2">
        <f t="shared" si="1"/>
        <v>130712.128</v>
      </c>
      <c r="E1054" s="4">
        <f t="shared" si="2"/>
        <v>-0.002147401392</v>
      </c>
    </row>
    <row r="1055" ht="15.75" customHeight="1">
      <c r="B1055" s="3">
        <v>44776.0</v>
      </c>
      <c r="C1055" s="2">
        <v>5391.49</v>
      </c>
      <c r="D1055" s="2">
        <f t="shared" si="1"/>
        <v>136103.618</v>
      </c>
      <c r="E1055" s="4">
        <f t="shared" si="2"/>
        <v>0.04041908372</v>
      </c>
    </row>
    <row r="1056" ht="15.75" customHeight="1">
      <c r="B1056" s="3">
        <v>44807.0</v>
      </c>
      <c r="C1056" s="2">
        <v>-2249.393</v>
      </c>
      <c r="D1056" s="2">
        <f t="shared" si="1"/>
        <v>133854.225</v>
      </c>
      <c r="E1056" s="4">
        <f t="shared" si="2"/>
        <v>-0.01666515805</v>
      </c>
    </row>
    <row r="1057" ht="15.75" customHeight="1">
      <c r="B1057" s="3">
        <v>44837.0</v>
      </c>
      <c r="C1057" s="2">
        <v>-4486.631</v>
      </c>
      <c r="D1057" s="2">
        <f t="shared" si="1"/>
        <v>129367.594</v>
      </c>
      <c r="E1057" s="4">
        <f t="shared" si="2"/>
        <v>-0.03409341672</v>
      </c>
    </row>
    <row r="1058" ht="15.75" customHeight="1">
      <c r="B1058" s="3">
        <v>44868.0</v>
      </c>
      <c r="C1058" s="2">
        <v>680.81</v>
      </c>
      <c r="D1058" s="2">
        <f t="shared" si="1"/>
        <v>130048.404</v>
      </c>
      <c r="E1058" s="4">
        <f t="shared" si="2"/>
        <v>0.00524880168</v>
      </c>
    </row>
    <row r="1059" ht="15.75" customHeight="1">
      <c r="B1059" s="3" t="s">
        <v>633</v>
      </c>
      <c r="C1059" s="2">
        <v>-1155.074</v>
      </c>
      <c r="D1059" s="2">
        <f t="shared" si="1"/>
        <v>128893.33</v>
      </c>
      <c r="E1059" s="4">
        <f t="shared" si="2"/>
        <v>-0.008921556549</v>
      </c>
    </row>
    <row r="1060" ht="15.75" customHeight="1">
      <c r="B1060" s="3" t="s">
        <v>634</v>
      </c>
      <c r="C1060" s="2">
        <v>-1251.036</v>
      </c>
      <c r="D1060" s="2">
        <f t="shared" si="1"/>
        <v>127642.294</v>
      </c>
      <c r="E1060" s="4">
        <f t="shared" si="2"/>
        <v>-0.009753389396</v>
      </c>
    </row>
    <row r="1061" ht="15.75" customHeight="1">
      <c r="B1061" s="3" t="s">
        <v>635</v>
      </c>
      <c r="C1061" s="2">
        <v>915.734</v>
      </c>
      <c r="D1061" s="2">
        <f t="shared" si="1"/>
        <v>128558.028</v>
      </c>
      <c r="E1061" s="4">
        <f t="shared" si="2"/>
        <v>0.007148608499</v>
      </c>
    </row>
    <row r="1062" ht="15.75" customHeight="1">
      <c r="B1062" s="3" t="s">
        <v>636</v>
      </c>
      <c r="C1062" s="2">
        <v>653.158</v>
      </c>
      <c r="D1062" s="2">
        <f t="shared" si="1"/>
        <v>129211.186</v>
      </c>
      <c r="E1062" s="4">
        <f t="shared" si="2"/>
        <v>0.005067784378</v>
      </c>
    </row>
    <row r="1063" ht="15.75" customHeight="1">
      <c r="B1063" s="3" t="s">
        <v>637</v>
      </c>
      <c r="C1063" s="2">
        <v>3041.687</v>
      </c>
      <c r="D1063" s="2">
        <f t="shared" si="1"/>
        <v>132252.873</v>
      </c>
      <c r="E1063" s="4">
        <f t="shared" si="2"/>
        <v>0.02326762796</v>
      </c>
    </row>
    <row r="1064" ht="15.75" customHeight="1">
      <c r="B1064" s="3" t="s">
        <v>638</v>
      </c>
      <c r="C1064" s="2">
        <v>3178.792</v>
      </c>
      <c r="D1064" s="2">
        <f t="shared" si="1"/>
        <v>135431.665</v>
      </c>
      <c r="E1064" s="4">
        <f t="shared" si="2"/>
        <v>0.02375140126</v>
      </c>
    </row>
    <row r="1065" ht="15.75" customHeight="1">
      <c r="B1065" s="3" t="s">
        <v>639</v>
      </c>
      <c r="C1065" s="2">
        <v>-3688.633</v>
      </c>
      <c r="D1065" s="2">
        <f t="shared" si="1"/>
        <v>131743.032</v>
      </c>
      <c r="E1065" s="4">
        <f t="shared" si="2"/>
        <v>-0.02761389779</v>
      </c>
    </row>
    <row r="1066" ht="15.75" customHeight="1">
      <c r="B1066" s="3" t="s">
        <v>640</v>
      </c>
      <c r="C1066" s="2">
        <v>1842.689</v>
      </c>
      <c r="D1066" s="2">
        <f t="shared" si="1"/>
        <v>133585.721</v>
      </c>
      <c r="E1066" s="4">
        <f t="shared" si="2"/>
        <v>0.01389007867</v>
      </c>
    </row>
    <row r="1067" ht="15.75" customHeight="1">
      <c r="B1067" s="3" t="s">
        <v>641</v>
      </c>
      <c r="C1067" s="2">
        <v>577.126</v>
      </c>
      <c r="D1067" s="2">
        <f t="shared" si="1"/>
        <v>134162.847</v>
      </c>
      <c r="E1067" s="4">
        <f t="shared" si="2"/>
        <v>0.004310961572</v>
      </c>
    </row>
    <row r="1068" ht="15.75" customHeight="1">
      <c r="B1068" s="3" t="s">
        <v>642</v>
      </c>
      <c r="C1068" s="2">
        <v>-1238.459</v>
      </c>
      <c r="D1068" s="2">
        <f t="shared" si="1"/>
        <v>132924.388</v>
      </c>
      <c r="E1068" s="4">
        <f t="shared" si="2"/>
        <v>-0.00927388294</v>
      </c>
    </row>
    <row r="1069" ht="15.75" customHeight="1">
      <c r="B1069" s="3" t="s">
        <v>643</v>
      </c>
      <c r="C1069" s="2">
        <v>-724.207</v>
      </c>
      <c r="D1069" s="2">
        <f t="shared" si="1"/>
        <v>132200.181</v>
      </c>
      <c r="E1069" s="4">
        <f t="shared" si="2"/>
        <v>-0.005463158725</v>
      </c>
    </row>
    <row r="1070" ht="15.75" customHeight="1">
      <c r="B1070" s="3" t="s">
        <v>644</v>
      </c>
      <c r="C1070" s="2">
        <v>820.551</v>
      </c>
      <c r="D1070" s="2">
        <f t="shared" si="1"/>
        <v>133020.732</v>
      </c>
      <c r="E1070" s="4">
        <f t="shared" si="2"/>
        <v>0.006187699219</v>
      </c>
    </row>
    <row r="1071" ht="15.75" customHeight="1">
      <c r="B1071" s="3" t="s">
        <v>645</v>
      </c>
      <c r="C1071" s="2">
        <v>2930.192</v>
      </c>
      <c r="D1071" s="2">
        <f t="shared" si="1"/>
        <v>135950.924</v>
      </c>
      <c r="E1071" s="4">
        <f t="shared" si="2"/>
        <v>0.0217889719</v>
      </c>
    </row>
    <row r="1072" ht="15.75" customHeight="1">
      <c r="B1072" s="3" t="s">
        <v>646</v>
      </c>
      <c r="C1072" s="2">
        <v>2017.786</v>
      </c>
      <c r="D1072" s="2">
        <f t="shared" si="1"/>
        <v>137968.71</v>
      </c>
      <c r="E1072" s="4">
        <f t="shared" si="2"/>
        <v>0.01473295265</v>
      </c>
    </row>
    <row r="1073" ht="15.75" customHeight="1">
      <c r="B1073" s="3">
        <v>44565.0</v>
      </c>
      <c r="C1073" s="2">
        <v>3566.357</v>
      </c>
      <c r="D1073" s="2">
        <f t="shared" si="1"/>
        <v>141535.067</v>
      </c>
      <c r="E1073" s="4">
        <f t="shared" si="2"/>
        <v>0.02552058938</v>
      </c>
    </row>
    <row r="1074" ht="15.75" customHeight="1">
      <c r="B1074" s="3">
        <v>44655.0</v>
      </c>
      <c r="C1074" s="2">
        <v>-6273.667</v>
      </c>
      <c r="D1074" s="2">
        <f t="shared" si="1"/>
        <v>135261.4</v>
      </c>
      <c r="E1074" s="4">
        <f t="shared" si="2"/>
        <v>-0.04533830717</v>
      </c>
    </row>
    <row r="1075" ht="15.75" customHeight="1">
      <c r="B1075" s="3">
        <v>44685.0</v>
      </c>
      <c r="C1075" s="2">
        <v>-821.953</v>
      </c>
      <c r="D1075" s="2">
        <f t="shared" si="1"/>
        <v>134439.447</v>
      </c>
      <c r="E1075" s="4">
        <f t="shared" si="2"/>
        <v>-0.00609531304</v>
      </c>
    </row>
    <row r="1076" ht="15.75" customHeight="1">
      <c r="B1076" s="3">
        <v>44716.0</v>
      </c>
      <c r="C1076" s="2">
        <v>-789.215</v>
      </c>
      <c r="D1076" s="2">
        <f t="shared" si="1"/>
        <v>133650.232</v>
      </c>
      <c r="E1076" s="4">
        <f t="shared" si="2"/>
        <v>-0.005887711029</v>
      </c>
    </row>
    <row r="1077" ht="15.75" customHeight="1">
      <c r="B1077" s="3">
        <v>44746.0</v>
      </c>
      <c r="C1077" s="2">
        <v>200.969</v>
      </c>
      <c r="D1077" s="2">
        <f t="shared" si="1"/>
        <v>133851.201</v>
      </c>
      <c r="E1077" s="4">
        <f t="shared" si="2"/>
        <v>0.001502564196</v>
      </c>
    </row>
    <row r="1078" ht="15.75" customHeight="1">
      <c r="B1078" s="3">
        <v>44777.0</v>
      </c>
      <c r="C1078" s="2">
        <v>-2310.05</v>
      </c>
      <c r="D1078" s="2">
        <f t="shared" si="1"/>
        <v>131541.151</v>
      </c>
      <c r="E1078" s="4">
        <f t="shared" si="2"/>
        <v>-0.01740900463</v>
      </c>
    </row>
    <row r="1079" ht="15.75" customHeight="1">
      <c r="B1079" s="3">
        <v>44869.0</v>
      </c>
      <c r="C1079" s="2">
        <v>3243.432</v>
      </c>
      <c r="D1079" s="2">
        <f t="shared" si="1"/>
        <v>134784.583</v>
      </c>
      <c r="E1079" s="4">
        <f t="shared" si="2"/>
        <v>0.02435808448</v>
      </c>
    </row>
    <row r="1080" ht="15.75" customHeight="1">
      <c r="B1080" s="3">
        <v>44899.0</v>
      </c>
      <c r="C1080" s="2">
        <v>-2968.796</v>
      </c>
      <c r="D1080" s="2">
        <f t="shared" si="1"/>
        <v>131815.787</v>
      </c>
      <c r="E1080" s="4">
        <f t="shared" si="2"/>
        <v>-0.02227242764</v>
      </c>
    </row>
    <row r="1081" ht="15.75" customHeight="1">
      <c r="B1081" s="3" t="s">
        <v>647</v>
      </c>
      <c r="C1081" s="2">
        <v>-526.0</v>
      </c>
      <c r="D1081" s="2">
        <f t="shared" si="1"/>
        <v>131289.787</v>
      </c>
      <c r="E1081" s="4">
        <f t="shared" si="2"/>
        <v>-0.003998400283</v>
      </c>
    </row>
    <row r="1082" ht="15.75" customHeight="1">
      <c r="B1082" s="3" t="s">
        <v>648</v>
      </c>
      <c r="C1082" s="2">
        <v>-3302.669</v>
      </c>
      <c r="D1082" s="2">
        <f t="shared" si="1"/>
        <v>127987.118</v>
      </c>
      <c r="E1082" s="4">
        <f t="shared" si="2"/>
        <v>-0.02547737635</v>
      </c>
    </row>
    <row r="1083" ht="15.75" customHeight="1">
      <c r="B1083" s="3" t="s">
        <v>649</v>
      </c>
      <c r="C1083" s="2">
        <v>3525.306</v>
      </c>
      <c r="D1083" s="2">
        <f t="shared" si="1"/>
        <v>131512.424</v>
      </c>
      <c r="E1083" s="4">
        <f t="shared" si="2"/>
        <v>0.02717170801</v>
      </c>
    </row>
    <row r="1084" ht="15.75" customHeight="1">
      <c r="B1084" s="3" t="s">
        <v>650</v>
      </c>
      <c r="C1084" s="2">
        <v>-3743.502</v>
      </c>
      <c r="D1084" s="2">
        <f t="shared" si="1"/>
        <v>127768.922</v>
      </c>
      <c r="E1084" s="4">
        <f t="shared" si="2"/>
        <v>-0.02887799071</v>
      </c>
    </row>
    <row r="1085" ht="15.75" customHeight="1">
      <c r="B1085" s="3" t="s">
        <v>651</v>
      </c>
      <c r="C1085" s="2">
        <v>22.243</v>
      </c>
      <c r="D1085" s="2">
        <f t="shared" si="1"/>
        <v>127791.165</v>
      </c>
      <c r="E1085" s="4">
        <f t="shared" si="2"/>
        <v>0.000174072566</v>
      </c>
    </row>
    <row r="1086" ht="15.75" customHeight="1">
      <c r="B1086" s="3" t="s">
        <v>652</v>
      </c>
      <c r="C1086" s="2">
        <v>666.898</v>
      </c>
      <c r="D1086" s="2">
        <f t="shared" si="1"/>
        <v>128458.063</v>
      </c>
      <c r="E1086" s="4">
        <f t="shared" si="2"/>
        <v>0.005205084994</v>
      </c>
    </row>
    <row r="1087" ht="15.75" customHeight="1">
      <c r="B1087" s="3" t="s">
        <v>653</v>
      </c>
      <c r="C1087" s="2">
        <v>1358.044</v>
      </c>
      <c r="D1087" s="2">
        <f t="shared" si="1"/>
        <v>129816.107</v>
      </c>
      <c r="E1087" s="4">
        <f t="shared" si="2"/>
        <v>0.01051639439</v>
      </c>
    </row>
    <row r="1088" ht="15.75" customHeight="1">
      <c r="B1088" s="3" t="s">
        <v>654</v>
      </c>
      <c r="C1088" s="2">
        <v>2300.067</v>
      </c>
      <c r="D1088" s="2">
        <f t="shared" si="1"/>
        <v>132116.174</v>
      </c>
      <c r="E1088" s="4">
        <f t="shared" si="2"/>
        <v>0.0175627541</v>
      </c>
    </row>
    <row r="1089" ht="15.75" customHeight="1">
      <c r="B1089" s="3" t="s">
        <v>655</v>
      </c>
      <c r="C1089" s="2">
        <v>-878.156</v>
      </c>
      <c r="D1089" s="2">
        <f t="shared" si="1"/>
        <v>131238.018</v>
      </c>
      <c r="E1089" s="4">
        <f t="shared" si="2"/>
        <v>-0.006669035705</v>
      </c>
    </row>
    <row r="1090" ht="15.75" customHeight="1">
      <c r="B1090" s="3" t="s">
        <v>656</v>
      </c>
      <c r="C1090" s="2">
        <v>-1769.377</v>
      </c>
      <c r="D1090" s="2">
        <f t="shared" si="1"/>
        <v>129468.641</v>
      </c>
      <c r="E1090" s="4">
        <f t="shared" si="2"/>
        <v>-0.0135739085</v>
      </c>
    </row>
    <row r="1091" ht="15.75" customHeight="1">
      <c r="B1091" s="3" t="s">
        <v>657</v>
      </c>
      <c r="C1091" s="2">
        <v>-3337.594</v>
      </c>
      <c r="D1091" s="2">
        <f t="shared" si="1"/>
        <v>126131.047</v>
      </c>
      <c r="E1091" s="4">
        <f t="shared" si="2"/>
        <v>-0.02611727535</v>
      </c>
    </row>
    <row r="1092" ht="15.75" customHeight="1">
      <c r="B1092" s="3" t="s">
        <v>658</v>
      </c>
      <c r="C1092" s="2">
        <v>1624.657</v>
      </c>
      <c r="D1092" s="2">
        <f t="shared" si="1"/>
        <v>127755.704</v>
      </c>
      <c r="E1092" s="4">
        <f t="shared" si="2"/>
        <v>0.01279845577</v>
      </c>
    </row>
    <row r="1093" ht="15.75" customHeight="1">
      <c r="B1093" s="3">
        <v>44597.0</v>
      </c>
      <c r="C1093" s="2">
        <v>2863.875</v>
      </c>
      <c r="D1093" s="2">
        <f t="shared" si="1"/>
        <v>130619.579</v>
      </c>
      <c r="E1093" s="4">
        <f t="shared" si="2"/>
        <v>0.02216924359</v>
      </c>
    </row>
    <row r="1094" ht="15.75" customHeight="1">
      <c r="B1094" s="3">
        <v>44625.0</v>
      </c>
      <c r="C1094" s="2">
        <v>-2921.568</v>
      </c>
      <c r="D1094" s="2">
        <f t="shared" si="1"/>
        <v>127698.011</v>
      </c>
      <c r="E1094" s="4">
        <f t="shared" si="2"/>
        <v>-0.02262093403</v>
      </c>
    </row>
    <row r="1095" ht="15.75" customHeight="1">
      <c r="B1095" s="3">
        <v>44656.0</v>
      </c>
      <c r="C1095" s="2">
        <v>-333.127</v>
      </c>
      <c r="D1095" s="2">
        <f t="shared" si="1"/>
        <v>127364.884</v>
      </c>
      <c r="E1095" s="4">
        <f t="shared" si="2"/>
        <v>-0.002612117999</v>
      </c>
    </row>
    <row r="1096" ht="15.75" customHeight="1">
      <c r="B1096" s="3">
        <v>44686.0</v>
      </c>
      <c r="C1096" s="2">
        <v>-364.51</v>
      </c>
      <c r="D1096" s="2">
        <f t="shared" si="1"/>
        <v>127000.374</v>
      </c>
      <c r="E1096" s="4">
        <f t="shared" si="2"/>
        <v>-0.002866038015</v>
      </c>
    </row>
    <row r="1097" ht="15.75" customHeight="1">
      <c r="B1097" s="3">
        <v>44717.0</v>
      </c>
      <c r="C1097" s="2">
        <v>-144.762</v>
      </c>
      <c r="D1097" s="2">
        <f t="shared" si="1"/>
        <v>126855.612</v>
      </c>
      <c r="E1097" s="4">
        <f t="shared" si="2"/>
        <v>-0.00114050504</v>
      </c>
    </row>
    <row r="1098" ht="15.75" customHeight="1">
      <c r="B1098" s="3">
        <v>44809.0</v>
      </c>
      <c r="C1098" s="2">
        <v>-1871.506</v>
      </c>
      <c r="D1098" s="2">
        <f t="shared" si="1"/>
        <v>124984.106</v>
      </c>
      <c r="E1098" s="4">
        <f t="shared" si="2"/>
        <v>-0.01486294908</v>
      </c>
    </row>
    <row r="1099" ht="15.75" customHeight="1">
      <c r="B1099" s="3">
        <v>44839.0</v>
      </c>
      <c r="C1099" s="2">
        <v>5315.82</v>
      </c>
      <c r="D1099" s="2">
        <f t="shared" si="1"/>
        <v>130299.926</v>
      </c>
      <c r="E1099" s="4">
        <f t="shared" si="2"/>
        <v>0.04165233899</v>
      </c>
    </row>
    <row r="1100" ht="15.75" customHeight="1">
      <c r="B1100" s="3">
        <v>44870.0</v>
      </c>
      <c r="C1100" s="2">
        <v>-2953.838</v>
      </c>
      <c r="D1100" s="2">
        <f t="shared" si="1"/>
        <v>127346.088</v>
      </c>
      <c r="E1100" s="4">
        <f t="shared" si="2"/>
        <v>-0.02293043375</v>
      </c>
    </row>
    <row r="1101" ht="15.75" customHeight="1">
      <c r="B1101" s="3">
        <v>44900.0</v>
      </c>
      <c r="C1101" s="2">
        <v>471.142</v>
      </c>
      <c r="D1101" s="2">
        <f t="shared" si="1"/>
        <v>127817.23</v>
      </c>
      <c r="E1101" s="4">
        <f t="shared" si="2"/>
        <v>0.003692870426</v>
      </c>
    </row>
    <row r="1102" ht="15.75" customHeight="1">
      <c r="B1102" s="3" t="s">
        <v>659</v>
      </c>
      <c r="C1102" s="2">
        <v>0.0</v>
      </c>
      <c r="D1102" s="2">
        <f t="shared" si="1"/>
        <v>127817.23</v>
      </c>
      <c r="E1102" s="4">
        <f t="shared" si="2"/>
        <v>0</v>
      </c>
    </row>
    <row r="1103" ht="15.75" customHeight="1">
      <c r="B1103" s="3" t="s">
        <v>660</v>
      </c>
      <c r="C1103" s="2">
        <v>-722.946</v>
      </c>
      <c r="D1103" s="2">
        <f t="shared" si="1"/>
        <v>127094.284</v>
      </c>
      <c r="E1103" s="4">
        <f t="shared" si="2"/>
        <v>-0.005672148166</v>
      </c>
    </row>
    <row r="1104" ht="15.75" customHeight="1">
      <c r="B1104" s="3" t="s">
        <v>661</v>
      </c>
      <c r="C1104" s="2">
        <v>80.015</v>
      </c>
      <c r="D1104" s="2">
        <f t="shared" si="1"/>
        <v>127174.299</v>
      </c>
      <c r="E1104" s="4">
        <f t="shared" si="2"/>
        <v>0.0006293738825</v>
      </c>
    </row>
    <row r="1105" ht="15.75" customHeight="1">
      <c r="B1105" s="3" t="s">
        <v>662</v>
      </c>
      <c r="C1105" s="2">
        <v>-1714.228</v>
      </c>
      <c r="D1105" s="2">
        <f t="shared" si="1"/>
        <v>125460.071</v>
      </c>
      <c r="E1105" s="4">
        <f t="shared" si="2"/>
        <v>-0.01357103002</v>
      </c>
    </row>
    <row r="1106" ht="15.75" customHeight="1">
      <c r="B1106" s="3" t="s">
        <v>663</v>
      </c>
      <c r="C1106" s="2">
        <v>1567.144</v>
      </c>
      <c r="D1106" s="2">
        <f t="shared" si="1"/>
        <v>127027.215</v>
      </c>
      <c r="E1106" s="4">
        <f t="shared" si="2"/>
        <v>0.01241380625</v>
      </c>
    </row>
    <row r="1107" ht="15.75" customHeight="1">
      <c r="B1107" s="3" t="s">
        <v>664</v>
      </c>
      <c r="C1107" s="2">
        <v>1791.908</v>
      </c>
      <c r="D1107" s="2">
        <f t="shared" si="1"/>
        <v>128819.123</v>
      </c>
      <c r="E1107" s="4">
        <f t="shared" si="2"/>
        <v>0.01400791831</v>
      </c>
    </row>
    <row r="1108" ht="15.75" customHeight="1">
      <c r="B1108" s="3" t="s">
        <v>665</v>
      </c>
      <c r="C1108" s="2">
        <v>116.881</v>
      </c>
      <c r="D1108" s="2">
        <f t="shared" si="1"/>
        <v>128936.004</v>
      </c>
      <c r="E1108" s="4">
        <f t="shared" si="2"/>
        <v>0.0009069150971</v>
      </c>
    </row>
    <row r="1109" ht="15.75" customHeight="1">
      <c r="B1109" s="3" t="s">
        <v>666</v>
      </c>
      <c r="C1109" s="2">
        <v>1646.986</v>
      </c>
      <c r="D1109" s="2">
        <f t="shared" si="1"/>
        <v>130582.99</v>
      </c>
      <c r="E1109" s="4">
        <f t="shared" si="2"/>
        <v>0.01269277509</v>
      </c>
    </row>
    <row r="1110" ht="15.75" customHeight="1">
      <c r="B1110" s="3" t="s">
        <v>667</v>
      </c>
      <c r="C1110" s="2">
        <v>1692.711</v>
      </c>
      <c r="D1110" s="2">
        <f t="shared" si="1"/>
        <v>132275.701</v>
      </c>
      <c r="E1110" s="4">
        <f t="shared" si="2"/>
        <v>0.012879425</v>
      </c>
    </row>
    <row r="1111" ht="15.75" customHeight="1">
      <c r="B1111" s="3" t="s">
        <v>668</v>
      </c>
      <c r="C1111" s="2">
        <v>2940.545</v>
      </c>
      <c r="D1111" s="2">
        <f t="shared" si="1"/>
        <v>135216.246</v>
      </c>
      <c r="E1111" s="4">
        <f t="shared" si="2"/>
        <v>0.02198693077</v>
      </c>
    </row>
    <row r="1112" ht="15.75" customHeight="1">
      <c r="B1112" s="3" t="s">
        <v>669</v>
      </c>
      <c r="C1112" s="2">
        <v>-2350.554</v>
      </c>
      <c r="D1112" s="2">
        <f t="shared" si="1"/>
        <v>132865.692</v>
      </c>
      <c r="E1112" s="4">
        <f t="shared" si="2"/>
        <v>-0.0175365357</v>
      </c>
    </row>
    <row r="1113" ht="15.75" customHeight="1">
      <c r="B1113" s="3" t="s">
        <v>670</v>
      </c>
      <c r="C1113" s="2">
        <v>892.977</v>
      </c>
      <c r="D1113" s="2">
        <f t="shared" si="1"/>
        <v>133758.669</v>
      </c>
      <c r="E1113" s="4">
        <f t="shared" si="2"/>
        <v>0.00669841522</v>
      </c>
    </row>
    <row r="1114" ht="15.75" customHeight="1">
      <c r="B1114" s="3">
        <v>44567.0</v>
      </c>
      <c r="C1114" s="2">
        <v>1382.793</v>
      </c>
      <c r="D1114" s="2">
        <f t="shared" si="1"/>
        <v>135141.462</v>
      </c>
      <c r="E1114" s="4">
        <f t="shared" si="2"/>
        <v>0.01028489785</v>
      </c>
    </row>
    <row r="1115" ht="15.75" customHeight="1">
      <c r="B1115" s="3">
        <v>44598.0</v>
      </c>
      <c r="C1115" s="2">
        <v>-3708.094</v>
      </c>
      <c r="D1115" s="2">
        <f t="shared" si="1"/>
        <v>131433.368</v>
      </c>
      <c r="E1115" s="4">
        <f t="shared" si="2"/>
        <v>-0.0278220805</v>
      </c>
    </row>
    <row r="1116" ht="15.75" customHeight="1">
      <c r="B1116" s="3">
        <v>44626.0</v>
      </c>
      <c r="C1116" s="2">
        <v>-1794.543</v>
      </c>
      <c r="D1116" s="2">
        <f t="shared" si="1"/>
        <v>129638.825</v>
      </c>
      <c r="E1116" s="4">
        <f t="shared" si="2"/>
        <v>-0.0137477013</v>
      </c>
    </row>
    <row r="1117" ht="15.75" customHeight="1">
      <c r="B1117" s="3">
        <v>44718.0</v>
      </c>
      <c r="C1117" s="2">
        <v>-225.808</v>
      </c>
      <c r="D1117" s="2">
        <f t="shared" si="1"/>
        <v>129413.017</v>
      </c>
      <c r="E1117" s="4">
        <f t="shared" si="2"/>
        <v>-0.00174334261</v>
      </c>
    </row>
    <row r="1118" ht="15.75" customHeight="1">
      <c r="B1118" s="3">
        <v>44748.0</v>
      </c>
      <c r="C1118" s="2">
        <v>226.515</v>
      </c>
      <c r="D1118" s="2">
        <f t="shared" si="1"/>
        <v>129639.532</v>
      </c>
      <c r="E1118" s="4">
        <f t="shared" si="2"/>
        <v>0.001748796208</v>
      </c>
    </row>
    <row r="1119" ht="15.75" customHeight="1">
      <c r="B1119" s="3">
        <v>44779.0</v>
      </c>
      <c r="C1119" s="2">
        <v>1372.028</v>
      </c>
      <c r="D1119" s="2">
        <f t="shared" si="1"/>
        <v>131011.56</v>
      </c>
      <c r="E1119" s="4">
        <f t="shared" si="2"/>
        <v>0.01052779531</v>
      </c>
    </row>
    <row r="1120" ht="15.75" customHeight="1">
      <c r="B1120" s="3">
        <v>44810.0</v>
      </c>
      <c r="C1120" s="2">
        <v>-884.31</v>
      </c>
      <c r="D1120" s="2">
        <f t="shared" si="1"/>
        <v>130127.25</v>
      </c>
      <c r="E1120" s="4">
        <f t="shared" si="2"/>
        <v>-0.006772745731</v>
      </c>
    </row>
    <row r="1121" ht="15.75" customHeight="1">
      <c r="B1121" s="3">
        <v>44840.0</v>
      </c>
      <c r="C1121" s="2">
        <v>-3333.204</v>
      </c>
      <c r="D1121" s="2">
        <f t="shared" si="1"/>
        <v>126794.046</v>
      </c>
      <c r="E1121" s="4">
        <f t="shared" si="2"/>
        <v>-0.02594873279</v>
      </c>
    </row>
    <row r="1122" ht="15.75" customHeight="1">
      <c r="B1122" s="3" t="s">
        <v>671</v>
      </c>
      <c r="C1122" s="2">
        <v>-5712.719</v>
      </c>
      <c r="D1122" s="2">
        <f t="shared" si="1"/>
        <v>121081.327</v>
      </c>
      <c r="E1122" s="4">
        <f t="shared" si="2"/>
        <v>-0.04610164128</v>
      </c>
    </row>
    <row r="1123" ht="15.75" customHeight="1">
      <c r="B1123" s="3" t="s">
        <v>672</v>
      </c>
      <c r="C1123" s="2">
        <v>-431.114</v>
      </c>
      <c r="D1123" s="2">
        <f t="shared" si="1"/>
        <v>120650.213</v>
      </c>
      <c r="E1123" s="4">
        <f t="shared" si="2"/>
        <v>-0.003566886283</v>
      </c>
    </row>
    <row r="1124" ht="15.75" customHeight="1">
      <c r="B1124" s="3" t="s">
        <v>673</v>
      </c>
      <c r="C1124" s="2">
        <v>4240.394</v>
      </c>
      <c r="D1124" s="2">
        <f t="shared" si="1"/>
        <v>124890.607</v>
      </c>
      <c r="E1124" s="4">
        <f t="shared" si="2"/>
        <v>0.03454265263</v>
      </c>
    </row>
    <row r="1125" ht="15.75" customHeight="1">
      <c r="B1125" s="3" t="s">
        <v>674</v>
      </c>
      <c r="C1125" s="2">
        <v>5894.144</v>
      </c>
      <c r="D1125" s="2">
        <f t="shared" si="1"/>
        <v>130784.751</v>
      </c>
      <c r="E1125" s="4">
        <f t="shared" si="2"/>
        <v>0.04611463952</v>
      </c>
    </row>
    <row r="1126" ht="15.75" customHeight="1">
      <c r="B1126" s="3" t="s">
        <v>675</v>
      </c>
      <c r="C1126" s="2">
        <v>2585.984</v>
      </c>
      <c r="D1126" s="2">
        <f t="shared" si="1"/>
        <v>133370.735</v>
      </c>
      <c r="E1126" s="4">
        <f t="shared" si="2"/>
        <v>0.01957988195</v>
      </c>
    </row>
    <row r="1127" ht="15.75" customHeight="1">
      <c r="B1127" s="3" t="s">
        <v>676</v>
      </c>
      <c r="C1127" s="2">
        <v>0.0</v>
      </c>
      <c r="D1127" s="2">
        <f t="shared" si="1"/>
        <v>133370.735</v>
      </c>
      <c r="E1127" s="4">
        <f t="shared" si="2"/>
        <v>0</v>
      </c>
    </row>
    <row r="1128" ht="15.75" customHeight="1">
      <c r="B1128" s="3" t="s">
        <v>677</v>
      </c>
      <c r="C1128" s="2">
        <v>3001.513</v>
      </c>
      <c r="D1128" s="2">
        <f t="shared" si="1"/>
        <v>136372.248</v>
      </c>
      <c r="E1128" s="4">
        <f t="shared" si="2"/>
        <v>0.02225553269</v>
      </c>
    </row>
    <row r="1129" ht="15.75" customHeight="1">
      <c r="B1129" s="3" t="s">
        <v>678</v>
      </c>
      <c r="C1129" s="2">
        <v>-4350.211</v>
      </c>
      <c r="D1129" s="2">
        <f t="shared" si="1"/>
        <v>132022.037</v>
      </c>
      <c r="E1129" s="4">
        <f t="shared" si="2"/>
        <v>-0.03241940868</v>
      </c>
    </row>
    <row r="1130" ht="15.75" customHeight="1">
      <c r="B1130" s="3" t="s">
        <v>679</v>
      </c>
      <c r="C1130" s="2">
        <v>880.152</v>
      </c>
      <c r="D1130" s="2">
        <f t="shared" si="1"/>
        <v>132902.189</v>
      </c>
      <c r="E1130" s="4">
        <f t="shared" si="2"/>
        <v>0.006644580992</v>
      </c>
    </row>
    <row r="1131" ht="15.75" customHeight="1">
      <c r="B1131" s="3" t="s">
        <v>680</v>
      </c>
      <c r="C1131" s="2">
        <v>-1625.899</v>
      </c>
      <c r="D1131" s="2">
        <f t="shared" si="1"/>
        <v>131276.29</v>
      </c>
      <c r="E1131" s="4">
        <f t="shared" si="2"/>
        <v>-0.01230925044</v>
      </c>
    </row>
    <row r="1132" ht="15.75" customHeight="1">
      <c r="B1132" s="3" t="s">
        <v>681</v>
      </c>
      <c r="C1132" s="2">
        <v>1734.069</v>
      </c>
      <c r="D1132" s="2">
        <f t="shared" si="1"/>
        <v>133010.359</v>
      </c>
      <c r="E1132" s="4">
        <f t="shared" si="2"/>
        <v>0.01312282623</v>
      </c>
    </row>
    <row r="1133" ht="15.75" customHeight="1">
      <c r="B1133" s="3" t="s">
        <v>682</v>
      </c>
      <c r="C1133" s="2">
        <v>621.649</v>
      </c>
      <c r="D1133" s="2">
        <f t="shared" si="1"/>
        <v>133632.008</v>
      </c>
      <c r="E1133" s="4">
        <f t="shared" si="2"/>
        <v>0.004662800839</v>
      </c>
    </row>
    <row r="1134" ht="15.75" customHeight="1">
      <c r="B1134" s="3" t="s">
        <v>683</v>
      </c>
      <c r="C1134" s="2">
        <v>152.281</v>
      </c>
      <c r="D1134" s="2">
        <f t="shared" si="1"/>
        <v>133784.289</v>
      </c>
      <c r="E1134" s="4">
        <f t="shared" si="2"/>
        <v>0.001138906029</v>
      </c>
    </row>
    <row r="1135" ht="15.75" customHeight="1">
      <c r="B1135" s="3" t="s">
        <v>684</v>
      </c>
      <c r="C1135" s="2">
        <v>57.071</v>
      </c>
      <c r="D1135" s="2">
        <f t="shared" si="1"/>
        <v>133841.36</v>
      </c>
      <c r="E1135" s="4">
        <f t="shared" si="2"/>
        <v>0.0004264987387</v>
      </c>
    </row>
    <row r="1136" ht="15.75" customHeight="1">
      <c r="B1136" s="3">
        <v>44568.0</v>
      </c>
      <c r="C1136" s="2">
        <v>-339.482</v>
      </c>
      <c r="D1136" s="2">
        <f t="shared" si="1"/>
        <v>133501.878</v>
      </c>
      <c r="E1136" s="4">
        <f t="shared" si="2"/>
        <v>-0.002539672857</v>
      </c>
    </row>
    <row r="1137" ht="15.75" customHeight="1">
      <c r="B1137" s="3">
        <v>44688.0</v>
      </c>
      <c r="C1137" s="2">
        <v>-152.472</v>
      </c>
      <c r="D1137" s="2">
        <f t="shared" si="1"/>
        <v>133349.406</v>
      </c>
      <c r="E1137" s="4">
        <f t="shared" si="2"/>
        <v>-0.001142748982</v>
      </c>
    </row>
    <row r="1138" ht="15.75" customHeight="1">
      <c r="B1138" s="3">
        <v>44719.0</v>
      </c>
      <c r="C1138" s="2">
        <v>-3532.135</v>
      </c>
      <c r="D1138" s="2">
        <f t="shared" si="1"/>
        <v>129817.271</v>
      </c>
      <c r="E1138" s="4">
        <f t="shared" si="2"/>
        <v>-0.0268449422</v>
      </c>
    </row>
    <row r="1139" ht="15.75" customHeight="1">
      <c r="B1139" s="3">
        <v>44749.0</v>
      </c>
      <c r="C1139" s="2">
        <v>2241.858</v>
      </c>
      <c r="D1139" s="2">
        <f t="shared" si="1"/>
        <v>132059.129</v>
      </c>
      <c r="E1139" s="4">
        <f t="shared" si="2"/>
        <v>0.01712191529</v>
      </c>
    </row>
    <row r="1140" ht="15.75" customHeight="1">
      <c r="B1140" s="3">
        <v>44780.0</v>
      </c>
      <c r="C1140" s="2">
        <v>-1944.999</v>
      </c>
      <c r="D1140" s="2">
        <f t="shared" si="1"/>
        <v>130114.13</v>
      </c>
      <c r="E1140" s="4">
        <f t="shared" si="2"/>
        <v>-0.01483778087</v>
      </c>
    </row>
    <row r="1141" ht="15.75" customHeight="1">
      <c r="B1141" s="3">
        <v>44872.0</v>
      </c>
      <c r="C1141" s="2">
        <v>-1574.256</v>
      </c>
      <c r="D1141" s="2">
        <f t="shared" si="1"/>
        <v>128539.874</v>
      </c>
      <c r="E1141" s="4">
        <f t="shared" si="2"/>
        <v>-0.01217282868</v>
      </c>
    </row>
    <row r="1142" ht="15.75" customHeight="1">
      <c r="B1142" s="3">
        <v>44902.0</v>
      </c>
      <c r="C1142" s="2">
        <v>-730.043</v>
      </c>
      <c r="D1142" s="2">
        <f t="shared" si="1"/>
        <v>127809.831</v>
      </c>
      <c r="E1142" s="4">
        <f t="shared" si="2"/>
        <v>-0.005695695836</v>
      </c>
    </row>
    <row r="1143" ht="15.75" customHeight="1">
      <c r="B1143" s="3" t="s">
        <v>685</v>
      </c>
      <c r="C1143" s="2">
        <v>2360.276</v>
      </c>
      <c r="D1143" s="2">
        <f t="shared" si="1"/>
        <v>130170.107</v>
      </c>
      <c r="E1143" s="4">
        <f t="shared" si="2"/>
        <v>0.01829864661</v>
      </c>
    </row>
    <row r="1144" ht="15.75" customHeight="1">
      <c r="B1144" s="3" t="s">
        <v>686</v>
      </c>
      <c r="C1144" s="2">
        <v>-1155.955</v>
      </c>
      <c r="D1144" s="2">
        <f t="shared" si="1"/>
        <v>129014.152</v>
      </c>
      <c r="E1144" s="4">
        <f t="shared" si="2"/>
        <v>-0.008920006709</v>
      </c>
    </row>
    <row r="1145" ht="15.75" customHeight="1">
      <c r="B1145" s="3" t="s">
        <v>687</v>
      </c>
      <c r="C1145" s="2">
        <v>94.478</v>
      </c>
      <c r="D1145" s="2">
        <f t="shared" si="1"/>
        <v>129108.63</v>
      </c>
      <c r="E1145" s="4">
        <f t="shared" si="2"/>
        <v>0.0007320392527</v>
      </c>
    </row>
    <row r="1146" ht="15.75" customHeight="1">
      <c r="B1146" s="3" t="s">
        <v>688</v>
      </c>
      <c r="C1146" s="2">
        <v>0.0</v>
      </c>
      <c r="D1146" s="2">
        <f t="shared" si="1"/>
        <v>129108.63</v>
      </c>
      <c r="E1146" s="4">
        <f t="shared" si="2"/>
        <v>0</v>
      </c>
    </row>
    <row r="1147" ht="15.75" customHeight="1">
      <c r="B1147" s="3" t="s">
        <v>689</v>
      </c>
      <c r="C1147" s="2">
        <v>-897.562</v>
      </c>
      <c r="D1147" s="2">
        <f t="shared" si="1"/>
        <v>128211.068</v>
      </c>
      <c r="E1147" s="4">
        <f t="shared" si="2"/>
        <v>-0.00697626841</v>
      </c>
    </row>
    <row r="1148" ht="15.75" customHeight="1">
      <c r="B1148" s="3" t="s">
        <v>690</v>
      </c>
      <c r="C1148" s="2">
        <v>745.752</v>
      </c>
      <c r="D1148" s="2">
        <f t="shared" si="1"/>
        <v>128956.82</v>
      </c>
      <c r="E1148" s="4">
        <f t="shared" si="2"/>
        <v>0.005799745032</v>
      </c>
    </row>
    <row r="1149" ht="15.75" customHeight="1">
      <c r="B1149" s="3" t="s">
        <v>691</v>
      </c>
      <c r="C1149" s="2">
        <v>375.078</v>
      </c>
      <c r="D1149" s="2">
        <f t="shared" si="1"/>
        <v>129331.898</v>
      </c>
      <c r="E1149" s="4">
        <f t="shared" si="2"/>
        <v>0.00290433331</v>
      </c>
    </row>
    <row r="1150" ht="15.75" customHeight="1">
      <c r="B1150" s="3" t="s">
        <v>692</v>
      </c>
      <c r="C1150" s="2">
        <v>239.247</v>
      </c>
      <c r="D1150" s="2">
        <f t="shared" si="1"/>
        <v>129571.145</v>
      </c>
      <c r="E1150" s="4">
        <f t="shared" si="2"/>
        <v>0.001848159568</v>
      </c>
    </row>
    <row r="1151" ht="15.75" customHeight="1">
      <c r="B1151" s="3" t="s">
        <v>693</v>
      </c>
      <c r="C1151" s="2">
        <v>1481.359</v>
      </c>
      <c r="D1151" s="2">
        <f t="shared" si="1"/>
        <v>131052.504</v>
      </c>
      <c r="E1151" s="4">
        <f t="shared" si="2"/>
        <v>0.01136792427</v>
      </c>
    </row>
    <row r="1152" ht="15.75" customHeight="1">
      <c r="B1152" s="3" t="s">
        <v>694</v>
      </c>
      <c r="C1152" s="2">
        <v>1404.189</v>
      </c>
      <c r="D1152" s="2">
        <f t="shared" si="1"/>
        <v>132456.693</v>
      </c>
      <c r="E1152" s="4">
        <f t="shared" si="2"/>
        <v>0.01065770992</v>
      </c>
    </row>
    <row r="1153" ht="15.75" customHeight="1">
      <c r="B1153" s="3" t="s">
        <v>695</v>
      </c>
      <c r="C1153" s="2">
        <v>215.042</v>
      </c>
      <c r="D1153" s="2">
        <f t="shared" si="1"/>
        <v>132671.735</v>
      </c>
      <c r="E1153" s="4">
        <f t="shared" si="2"/>
        <v>0.001622172686</v>
      </c>
    </row>
    <row r="1154" ht="15.75" customHeight="1">
      <c r="B1154" s="3" t="s">
        <v>696</v>
      </c>
      <c r="C1154" s="2">
        <v>-1905.733</v>
      </c>
      <c r="D1154" s="2">
        <f t="shared" si="1"/>
        <v>130766.002</v>
      </c>
      <c r="E1154" s="4">
        <f t="shared" si="2"/>
        <v>-0.01446843771</v>
      </c>
    </row>
    <row r="1155" ht="15.75" customHeight="1">
      <c r="B1155" s="3" t="s">
        <v>697</v>
      </c>
      <c r="C1155" s="2">
        <v>-1807.232</v>
      </c>
      <c r="D1155" s="2">
        <f t="shared" si="1"/>
        <v>128958.77</v>
      </c>
      <c r="E1155" s="4">
        <f t="shared" si="2"/>
        <v>-0.01391674082</v>
      </c>
    </row>
    <row r="1156" ht="15.75" customHeight="1">
      <c r="B1156" s="3">
        <v>44569.0</v>
      </c>
      <c r="C1156" s="2">
        <v>1400.545</v>
      </c>
      <c r="D1156" s="2">
        <f t="shared" si="1"/>
        <v>130359.315</v>
      </c>
      <c r="E1156" s="4">
        <f t="shared" si="2"/>
        <v>0.0108018584</v>
      </c>
    </row>
    <row r="1157" ht="15.75" customHeight="1">
      <c r="B1157" s="3">
        <v>44600.0</v>
      </c>
      <c r="C1157" s="2">
        <v>-1992.208</v>
      </c>
      <c r="D1157" s="2">
        <f t="shared" si="1"/>
        <v>128367.107</v>
      </c>
      <c r="E1157" s="4">
        <f t="shared" si="2"/>
        <v>-0.01540041685</v>
      </c>
    </row>
    <row r="1158" ht="15.75" customHeight="1">
      <c r="B1158" s="3">
        <v>44628.0</v>
      </c>
      <c r="C1158" s="2">
        <v>-1428.102</v>
      </c>
      <c r="D1158" s="2">
        <f t="shared" si="1"/>
        <v>126939.005</v>
      </c>
      <c r="E1158" s="4">
        <f t="shared" si="2"/>
        <v>-0.01118748693</v>
      </c>
    </row>
    <row r="1159" ht="15.75" customHeight="1">
      <c r="B1159" s="3">
        <v>44659.0</v>
      </c>
      <c r="C1159" s="2">
        <v>165.763</v>
      </c>
      <c r="D1159" s="2">
        <f t="shared" si="1"/>
        <v>127104.768</v>
      </c>
      <c r="E1159" s="4">
        <f t="shared" si="2"/>
        <v>0.001304995762</v>
      </c>
    </row>
    <row r="1160" ht="15.75" customHeight="1">
      <c r="B1160" s="3">
        <v>44689.0</v>
      </c>
      <c r="C1160" s="2">
        <v>993.887</v>
      </c>
      <c r="D1160" s="2">
        <f t="shared" si="1"/>
        <v>128098.655</v>
      </c>
      <c r="E1160" s="4">
        <f t="shared" si="2"/>
        <v>0.007789017977</v>
      </c>
    </row>
    <row r="1161" ht="15.75" customHeight="1">
      <c r="B1161" s="3">
        <v>44781.0</v>
      </c>
      <c r="C1161" s="2">
        <v>1778.037</v>
      </c>
      <c r="D1161" s="2">
        <f t="shared" si="1"/>
        <v>129876.692</v>
      </c>
      <c r="E1161" s="4">
        <f t="shared" si="2"/>
        <v>0.01378476801</v>
      </c>
    </row>
    <row r="1162" ht="15.75" customHeight="1">
      <c r="B1162" s="3">
        <v>44812.0</v>
      </c>
      <c r="C1162" s="2">
        <v>846.633</v>
      </c>
      <c r="D1162" s="2">
        <f t="shared" si="1"/>
        <v>130723.325</v>
      </c>
      <c r="E1162" s="4">
        <f t="shared" si="2"/>
        <v>0.006497589589</v>
      </c>
    </row>
    <row r="1163" ht="15.75" customHeight="1">
      <c r="B1163" s="3">
        <v>44842.0</v>
      </c>
      <c r="C1163" s="2">
        <v>-143.942</v>
      </c>
      <c r="D1163" s="2">
        <f t="shared" si="1"/>
        <v>130579.383</v>
      </c>
      <c r="E1163" s="4">
        <f t="shared" si="2"/>
        <v>-0.00110172616</v>
      </c>
    </row>
    <row r="1164" ht="15.75" customHeight="1">
      <c r="B1164" s="3">
        <v>44873.0</v>
      </c>
      <c r="C1164" s="2">
        <v>2961.17</v>
      </c>
      <c r="D1164" s="2">
        <f t="shared" si="1"/>
        <v>133540.553</v>
      </c>
      <c r="E1164" s="4">
        <f t="shared" si="2"/>
        <v>0.02242385883</v>
      </c>
    </row>
    <row r="1165" ht="15.75" customHeight="1">
      <c r="B1165" s="3">
        <v>44903.0</v>
      </c>
      <c r="C1165" s="2">
        <v>1280.517</v>
      </c>
      <c r="D1165" s="2">
        <f t="shared" si="1"/>
        <v>134821.07</v>
      </c>
      <c r="E1165" s="4">
        <f t="shared" si="2"/>
        <v>0.009543292399</v>
      </c>
    </row>
    <row r="1166" ht="15.75" customHeight="1">
      <c r="B1166" s="3" t="s">
        <v>698</v>
      </c>
      <c r="C1166" s="2">
        <v>-469.868</v>
      </c>
      <c r="D1166" s="2">
        <f t="shared" si="1"/>
        <v>134351.202</v>
      </c>
      <c r="E1166" s="4">
        <f t="shared" si="2"/>
        <v>-0.003491210099</v>
      </c>
    </row>
    <row r="1167" ht="15.75" customHeight="1">
      <c r="B1167" s="3" t="s">
        <v>699</v>
      </c>
      <c r="C1167" s="2">
        <v>-1029.256</v>
      </c>
      <c r="D1167" s="2">
        <f t="shared" si="1"/>
        <v>133321.946</v>
      </c>
      <c r="E1167" s="4">
        <f t="shared" si="2"/>
        <v>-0.00769043201</v>
      </c>
    </row>
    <row r="1168" ht="15.75" customHeight="1">
      <c r="B1168" s="3" t="s">
        <v>700</v>
      </c>
      <c r="C1168" s="2">
        <v>-1417.947</v>
      </c>
      <c r="D1168" s="2">
        <f t="shared" si="1"/>
        <v>131903.999</v>
      </c>
      <c r="E1168" s="4">
        <f t="shared" si="2"/>
        <v>-0.01069247211</v>
      </c>
    </row>
    <row r="1169" ht="15.75" customHeight="1">
      <c r="B1169" s="3" t="s">
        <v>701</v>
      </c>
      <c r="C1169" s="2">
        <v>319.99</v>
      </c>
      <c r="D1169" s="2">
        <f t="shared" si="1"/>
        <v>132223.989</v>
      </c>
      <c r="E1169" s="4">
        <f t="shared" si="2"/>
        <v>0.002422993178</v>
      </c>
    </row>
    <row r="1170" ht="15.75" customHeight="1">
      <c r="B1170" s="3" t="s">
        <v>702</v>
      </c>
      <c r="C1170" s="2">
        <v>1860.428</v>
      </c>
      <c r="D1170" s="2">
        <f t="shared" si="1"/>
        <v>134084.417</v>
      </c>
      <c r="E1170" s="4">
        <f t="shared" si="2"/>
        <v>0.01397220835</v>
      </c>
    </row>
    <row r="1171" ht="15.75" customHeight="1">
      <c r="B1171" s="3" t="s">
        <v>703</v>
      </c>
      <c r="C1171" s="2">
        <v>-464.408</v>
      </c>
      <c r="D1171" s="2">
        <f t="shared" si="1"/>
        <v>133620.009</v>
      </c>
      <c r="E1171" s="4">
        <f t="shared" si="2"/>
        <v>-0.003469561358</v>
      </c>
    </row>
    <row r="1172" ht="15.75" customHeight="1">
      <c r="B1172" s="3" t="s">
        <v>704</v>
      </c>
      <c r="C1172" s="2">
        <v>185.948</v>
      </c>
      <c r="D1172" s="2">
        <f t="shared" si="1"/>
        <v>133805.957</v>
      </c>
      <c r="E1172" s="4">
        <f t="shared" si="2"/>
        <v>0.001390650525</v>
      </c>
    </row>
    <row r="1173" ht="15.75" customHeight="1">
      <c r="B1173" s="3" t="s">
        <v>705</v>
      </c>
      <c r="C1173" s="2">
        <v>474.146</v>
      </c>
      <c r="D1173" s="2">
        <f t="shared" si="1"/>
        <v>134280.103</v>
      </c>
      <c r="E1173" s="4">
        <f t="shared" si="2"/>
        <v>0.003537270788</v>
      </c>
    </row>
    <row r="1174" ht="15.75" customHeight="1">
      <c r="B1174" s="3" t="s">
        <v>706</v>
      </c>
      <c r="C1174" s="2">
        <v>-1509.296</v>
      </c>
      <c r="D1174" s="2">
        <f t="shared" si="1"/>
        <v>132770.807</v>
      </c>
      <c r="E1174" s="4">
        <f t="shared" si="2"/>
        <v>-0.0113035531</v>
      </c>
    </row>
    <row r="1175" ht="15.75" customHeight="1">
      <c r="B1175" s="3" t="s">
        <v>707</v>
      </c>
      <c r="C1175" s="2">
        <v>440.295</v>
      </c>
      <c r="D1175" s="2">
        <f t="shared" si="1"/>
        <v>133211.102</v>
      </c>
      <c r="E1175" s="4">
        <f t="shared" si="2"/>
        <v>0.003310716912</v>
      </c>
    </row>
    <row r="1176" ht="15.75" customHeight="1">
      <c r="B1176" s="3" t="s">
        <v>708</v>
      </c>
      <c r="C1176" s="2">
        <v>-141.835</v>
      </c>
      <c r="D1176" s="2">
        <f t="shared" si="1"/>
        <v>133069.267</v>
      </c>
      <c r="E1176" s="4">
        <f t="shared" si="2"/>
        <v>-0.00106530582</v>
      </c>
    </row>
    <row r="1177" ht="15.75" customHeight="1">
      <c r="B1177" s="3" t="s">
        <v>709</v>
      </c>
      <c r="C1177" s="2">
        <v>-2978.991</v>
      </c>
      <c r="D1177" s="2">
        <f t="shared" si="1"/>
        <v>130090.276</v>
      </c>
      <c r="E1177" s="4">
        <f t="shared" si="2"/>
        <v>-0.02264115694</v>
      </c>
    </row>
    <row r="1178" ht="15.75" customHeight="1">
      <c r="B1178" s="3" t="s">
        <v>710</v>
      </c>
      <c r="C1178" s="2">
        <v>-696.796</v>
      </c>
      <c r="D1178" s="2">
        <f t="shared" si="1"/>
        <v>129393.48</v>
      </c>
      <c r="E1178" s="4">
        <f t="shared" si="2"/>
        <v>-0.005370645821</v>
      </c>
    </row>
    <row r="1179" ht="15.75" customHeight="1">
      <c r="B1179" s="3">
        <v>44570.0</v>
      </c>
      <c r="C1179" s="2">
        <v>217.328</v>
      </c>
      <c r="D1179" s="2">
        <f t="shared" si="1"/>
        <v>129610.808</v>
      </c>
      <c r="E1179" s="4">
        <f t="shared" si="2"/>
        <v>0.001678181104</v>
      </c>
    </row>
    <row r="1180" ht="15.75" customHeight="1">
      <c r="B1180" s="3">
        <v>44601.0</v>
      </c>
      <c r="C1180" s="2">
        <v>-178.376</v>
      </c>
      <c r="D1180" s="2">
        <f t="shared" si="1"/>
        <v>129432.432</v>
      </c>
      <c r="E1180" s="4">
        <f t="shared" si="2"/>
        <v>-0.001377191145</v>
      </c>
    </row>
    <row r="1181" ht="15.75" customHeight="1">
      <c r="B1181" s="3">
        <v>44721.0</v>
      </c>
      <c r="C1181" s="2">
        <v>-1804.006</v>
      </c>
      <c r="D1181" s="2">
        <f t="shared" si="1"/>
        <v>127628.426</v>
      </c>
      <c r="E1181" s="4">
        <f t="shared" si="2"/>
        <v>-0.01403586396</v>
      </c>
    </row>
    <row r="1182" ht="15.75" customHeight="1">
      <c r="B1182" s="3">
        <v>44751.0</v>
      </c>
      <c r="C1182" s="2">
        <v>332.003</v>
      </c>
      <c r="D1182" s="2">
        <f t="shared" si="1"/>
        <v>127960.429</v>
      </c>
      <c r="E1182" s="4">
        <f t="shared" si="2"/>
        <v>0.002597947291</v>
      </c>
    </row>
    <row r="1183" ht="15.75" customHeight="1">
      <c r="B1183" s="3">
        <v>44782.0</v>
      </c>
      <c r="C1183" s="2">
        <v>1431.868</v>
      </c>
      <c r="D1183" s="2">
        <f t="shared" si="1"/>
        <v>129392.297</v>
      </c>
      <c r="E1183" s="4">
        <f t="shared" si="2"/>
        <v>0.01112778402</v>
      </c>
    </row>
    <row r="1184" ht="15.75" customHeight="1">
      <c r="B1184" s="3">
        <v>44813.0</v>
      </c>
      <c r="C1184" s="2">
        <v>220.226</v>
      </c>
      <c r="D1184" s="2">
        <f t="shared" si="1"/>
        <v>129612.523</v>
      </c>
      <c r="E1184" s="4">
        <f t="shared" si="2"/>
        <v>0.001700555635</v>
      </c>
    </row>
    <row r="1185" ht="15.75" customHeight="1">
      <c r="B1185" s="3">
        <v>44904.0</v>
      </c>
      <c r="C1185" s="2">
        <v>1219.611</v>
      </c>
      <c r="D1185" s="2">
        <f t="shared" si="1"/>
        <v>130832.134</v>
      </c>
      <c r="E1185" s="4">
        <f t="shared" si="2"/>
        <v>0.009365674297</v>
      </c>
    </row>
    <row r="1186" ht="15.75" customHeight="1">
      <c r="B1186" s="3" t="s">
        <v>711</v>
      </c>
      <c r="C1186" s="2">
        <v>-636.776</v>
      </c>
      <c r="D1186" s="2">
        <f t="shared" si="1"/>
        <v>130195.358</v>
      </c>
      <c r="E1186" s="4">
        <f t="shared" si="2"/>
        <v>-0.004879005336</v>
      </c>
    </row>
    <row r="1187" ht="15.75" customHeight="1">
      <c r="B1187" s="3" t="s">
        <v>712</v>
      </c>
      <c r="C1187" s="2">
        <v>-5975.581</v>
      </c>
      <c r="D1187" s="2">
        <f t="shared" si="1"/>
        <v>124219.777</v>
      </c>
      <c r="E1187" s="4">
        <f t="shared" si="2"/>
        <v>-0.04698368437</v>
      </c>
    </row>
    <row r="1188" ht="15.75" customHeight="1">
      <c r="B1188" s="3" t="s">
        <v>713</v>
      </c>
      <c r="C1188" s="2">
        <v>-1341.507</v>
      </c>
      <c r="D1188" s="2">
        <f t="shared" si="1"/>
        <v>122878.27</v>
      </c>
      <c r="E1188" s="4">
        <f t="shared" si="2"/>
        <v>-0.0108582014</v>
      </c>
    </row>
    <row r="1189" ht="15.75" customHeight="1">
      <c r="B1189" s="3" t="s">
        <v>714</v>
      </c>
      <c r="C1189" s="2">
        <v>4584.296</v>
      </c>
      <c r="D1189" s="2">
        <f t="shared" si="1"/>
        <v>127462.566</v>
      </c>
      <c r="E1189" s="4">
        <f t="shared" si="2"/>
        <v>0.03662853097</v>
      </c>
    </row>
    <row r="1190" ht="15.75" customHeight="1">
      <c r="B1190" s="3" t="s">
        <v>715</v>
      </c>
      <c r="C1190" s="2">
        <v>-559.365</v>
      </c>
      <c r="D1190" s="2">
        <f t="shared" si="1"/>
        <v>126903.201</v>
      </c>
      <c r="E1190" s="4">
        <f t="shared" si="2"/>
        <v>-0.004398122501</v>
      </c>
    </row>
    <row r="1191" ht="15.75" customHeight="1">
      <c r="B1191" s="3" t="s">
        <v>716</v>
      </c>
      <c r="C1191" s="2">
        <v>3262.714</v>
      </c>
      <c r="D1191" s="2">
        <f t="shared" si="1"/>
        <v>130165.915</v>
      </c>
      <c r="E1191" s="4">
        <f t="shared" si="2"/>
        <v>0.02538530696</v>
      </c>
    </row>
    <row r="1192" ht="15.75" customHeight="1">
      <c r="B1192" s="3" t="s">
        <v>717</v>
      </c>
      <c r="C1192" s="2">
        <v>-403.245</v>
      </c>
      <c r="D1192" s="2">
        <f t="shared" si="1"/>
        <v>129762.67</v>
      </c>
      <c r="E1192" s="4">
        <f t="shared" si="2"/>
        <v>-0.003102739343</v>
      </c>
    </row>
    <row r="1193" ht="15.75" customHeight="1">
      <c r="B1193" s="3" t="s">
        <v>718</v>
      </c>
      <c r="C1193" s="2">
        <v>-2585.846</v>
      </c>
      <c r="D1193" s="2">
        <f t="shared" si="1"/>
        <v>127176.824</v>
      </c>
      <c r="E1193" s="4">
        <f t="shared" si="2"/>
        <v>-0.02012873356</v>
      </c>
    </row>
    <row r="1194" ht="15.75" customHeight="1">
      <c r="B1194" s="3" t="s">
        <v>719</v>
      </c>
      <c r="C1194" s="2">
        <v>393.049</v>
      </c>
      <c r="D1194" s="2">
        <f t="shared" si="1"/>
        <v>127569.873</v>
      </c>
      <c r="E1194" s="4">
        <f t="shared" si="2"/>
        <v>0.00308580497</v>
      </c>
    </row>
    <row r="1195" ht="15.75" customHeight="1">
      <c r="B1195" s="3" t="s">
        <v>720</v>
      </c>
      <c r="C1195" s="2">
        <v>662.202</v>
      </c>
      <c r="D1195" s="2">
        <f t="shared" si="1"/>
        <v>128232.075</v>
      </c>
      <c r="E1195" s="4">
        <f t="shared" si="2"/>
        <v>0.005177470183</v>
      </c>
    </row>
    <row r="1196" ht="15.75" customHeight="1">
      <c r="B1196" s="3" t="s">
        <v>721</v>
      </c>
      <c r="C1196" s="2">
        <v>4223.421</v>
      </c>
      <c r="D1196" s="2">
        <f t="shared" si="1"/>
        <v>132455.496</v>
      </c>
      <c r="E1196" s="4">
        <f t="shared" si="2"/>
        <v>0.03240500156</v>
      </c>
    </row>
    <row r="1197" ht="15.75" customHeight="1">
      <c r="B1197" s="3" t="s">
        <v>722</v>
      </c>
      <c r="C1197" s="2">
        <v>-1544.197</v>
      </c>
      <c r="D1197" s="2">
        <f t="shared" si="1"/>
        <v>130911.299</v>
      </c>
      <c r="E1197" s="4">
        <f t="shared" si="2"/>
        <v>-0.01172672277</v>
      </c>
    </row>
    <row r="1198" ht="15.75" customHeight="1">
      <c r="B1198" s="3" t="s">
        <v>723</v>
      </c>
      <c r="C1198" s="2">
        <v>2167.46</v>
      </c>
      <c r="D1198" s="2">
        <f t="shared" si="1"/>
        <v>133078.759</v>
      </c>
      <c r="E1198" s="4">
        <f t="shared" si="2"/>
        <v>0.0164211389</v>
      </c>
    </row>
    <row r="1199" ht="15.75" customHeight="1">
      <c r="B1199" s="3" t="s">
        <v>724</v>
      </c>
      <c r="C1199" s="2">
        <v>-1287.704</v>
      </c>
      <c r="D1199" s="2">
        <f t="shared" si="1"/>
        <v>131791.055</v>
      </c>
      <c r="E1199" s="4">
        <f t="shared" si="2"/>
        <v>-0.009723374105</v>
      </c>
    </row>
    <row r="1200" ht="15.75" customHeight="1">
      <c r="B1200" s="3">
        <v>44630.0</v>
      </c>
      <c r="C1200" s="2">
        <v>4180.243</v>
      </c>
      <c r="D1200" s="2">
        <f t="shared" si="1"/>
        <v>135971.298</v>
      </c>
      <c r="E1200" s="4">
        <f t="shared" si="2"/>
        <v>0.03122606756</v>
      </c>
    </row>
    <row r="1201" ht="15.75" customHeight="1">
      <c r="B1201" s="3">
        <v>44661.0</v>
      </c>
      <c r="C1201" s="2">
        <v>-2694.039</v>
      </c>
      <c r="D1201" s="2">
        <f t="shared" si="1"/>
        <v>133277.259</v>
      </c>
      <c r="E1201" s="4">
        <f t="shared" si="2"/>
        <v>-0.02001220686</v>
      </c>
    </row>
    <row r="1202" ht="15.75" customHeight="1">
      <c r="B1202" s="3">
        <v>44691.0</v>
      </c>
      <c r="C1202" s="2">
        <v>-887.77</v>
      </c>
      <c r="D1202" s="2">
        <f t="shared" si="1"/>
        <v>132389.489</v>
      </c>
      <c r="E1202" s="4">
        <f t="shared" si="2"/>
        <v>-0.006683360347</v>
      </c>
    </row>
    <row r="1203" ht="15.75" customHeight="1">
      <c r="B1203" s="3">
        <v>44722.0</v>
      </c>
      <c r="C1203" s="2">
        <v>-791.802</v>
      </c>
      <c r="D1203" s="2">
        <f t="shared" si="1"/>
        <v>131597.687</v>
      </c>
      <c r="E1203" s="4">
        <f t="shared" si="2"/>
        <v>-0.005998809385</v>
      </c>
    </row>
    <row r="1204" ht="15.75" customHeight="1">
      <c r="B1204" s="3">
        <v>44752.0</v>
      </c>
      <c r="C1204" s="2">
        <v>-615.919</v>
      </c>
      <c r="D1204" s="2">
        <f t="shared" si="1"/>
        <v>130981.768</v>
      </c>
      <c r="E1204" s="4">
        <f t="shared" si="2"/>
        <v>-0.004691304806</v>
      </c>
    </row>
    <row r="1205" ht="15.75" customHeight="1">
      <c r="B1205" s="3">
        <v>44844.0</v>
      </c>
      <c r="C1205" s="2">
        <v>-1923.092</v>
      </c>
      <c r="D1205" s="2">
        <f t="shared" si="1"/>
        <v>129058.676</v>
      </c>
      <c r="E1205" s="4">
        <f t="shared" si="2"/>
        <v>-0.01479098428</v>
      </c>
    </row>
    <row r="1206" ht="15.75" customHeight="1">
      <c r="B1206" s="3">
        <v>44875.0</v>
      </c>
      <c r="C1206" s="2">
        <v>3673.325</v>
      </c>
      <c r="D1206" s="2">
        <f t="shared" si="1"/>
        <v>132732.001</v>
      </c>
      <c r="E1206" s="4">
        <f t="shared" si="2"/>
        <v>0.02806491158</v>
      </c>
    </row>
    <row r="1207" ht="15.75" customHeight="1">
      <c r="B1207" s="3">
        <v>44905.0</v>
      </c>
      <c r="C1207" s="2">
        <v>697.687</v>
      </c>
      <c r="D1207" s="2">
        <f t="shared" si="1"/>
        <v>133429.688</v>
      </c>
      <c r="E1207" s="4">
        <f t="shared" si="2"/>
        <v>0.005242592205</v>
      </c>
    </row>
    <row r="1208" ht="15.75" customHeight="1">
      <c r="B1208" s="3" t="s">
        <v>725</v>
      </c>
      <c r="C1208" s="2">
        <v>-303.128</v>
      </c>
      <c r="D1208" s="2">
        <f t="shared" si="1"/>
        <v>133126.56</v>
      </c>
      <c r="E1208" s="4">
        <f t="shared" si="2"/>
        <v>-0.002274402742</v>
      </c>
    </row>
    <row r="1209" ht="15.75" customHeight="1">
      <c r="B1209" s="3" t="s">
        <v>726</v>
      </c>
      <c r="C1209" s="2">
        <v>2488.244</v>
      </c>
      <c r="D1209" s="2">
        <f t="shared" si="1"/>
        <v>135614.804</v>
      </c>
      <c r="E1209" s="4">
        <f t="shared" si="2"/>
        <v>0.01851828888</v>
      </c>
    </row>
    <row r="1210" ht="15.75" customHeight="1">
      <c r="B1210" s="3" t="s">
        <v>727</v>
      </c>
      <c r="C1210" s="2">
        <v>1125.437</v>
      </c>
      <c r="D1210" s="2">
        <f t="shared" si="1"/>
        <v>136740.241</v>
      </c>
      <c r="E1210" s="4">
        <f t="shared" si="2"/>
        <v>0.008264531364</v>
      </c>
    </row>
    <row r="1211" ht="15.75" customHeight="1">
      <c r="B1211" s="3" t="s">
        <v>728</v>
      </c>
      <c r="C1211" s="2">
        <v>2182.035</v>
      </c>
      <c r="D1211" s="2">
        <f t="shared" si="1"/>
        <v>138922.276</v>
      </c>
      <c r="E1211" s="4">
        <f t="shared" si="2"/>
        <v>0.01583153632</v>
      </c>
    </row>
    <row r="1212" ht="15.75" customHeight="1">
      <c r="B1212" s="3" t="s">
        <v>729</v>
      </c>
      <c r="C1212" s="2">
        <v>-74.184</v>
      </c>
      <c r="D1212" s="2">
        <f t="shared" si="1"/>
        <v>138848.092</v>
      </c>
      <c r="E1212" s="4">
        <f t="shared" si="2"/>
        <v>-0.000534139061</v>
      </c>
    </row>
    <row r="1213" ht="15.75" customHeight="1">
      <c r="B1213" s="3" t="s">
        <v>730</v>
      </c>
      <c r="C1213" s="2">
        <v>202.647</v>
      </c>
      <c r="D1213" s="2">
        <f t="shared" si="1"/>
        <v>139050.739</v>
      </c>
      <c r="E1213" s="4">
        <f t="shared" si="2"/>
        <v>0.00145842309</v>
      </c>
    </row>
    <row r="1214" ht="15.75" customHeight="1">
      <c r="B1214" s="3" t="s">
        <v>731</v>
      </c>
      <c r="C1214" s="2">
        <v>-1279.475</v>
      </c>
      <c r="D1214" s="2">
        <f t="shared" si="1"/>
        <v>137771.264</v>
      </c>
      <c r="E1214" s="4">
        <f t="shared" si="2"/>
        <v>-0.009244092575</v>
      </c>
    </row>
    <row r="1215" ht="15.75" customHeight="1">
      <c r="B1215" s="3" t="s">
        <v>732</v>
      </c>
      <c r="C1215" s="2">
        <v>1422.077</v>
      </c>
      <c r="D1215" s="2">
        <f t="shared" si="1"/>
        <v>139193.341</v>
      </c>
      <c r="E1215" s="4">
        <f t="shared" si="2"/>
        <v>0.01026910639</v>
      </c>
    </row>
    <row r="1216" ht="15.75" customHeight="1">
      <c r="B1216" s="3" t="s">
        <v>733</v>
      </c>
      <c r="C1216" s="2">
        <v>5358.201</v>
      </c>
      <c r="D1216" s="2">
        <f t="shared" si="1"/>
        <v>144551.542</v>
      </c>
      <c r="E1216" s="4">
        <f t="shared" si="2"/>
        <v>0.03777222688</v>
      </c>
    </row>
    <row r="1217" ht="15.75" customHeight="1">
      <c r="B1217" s="3" t="s">
        <v>734</v>
      </c>
      <c r="C1217" s="2">
        <v>-2308.939</v>
      </c>
      <c r="D1217" s="2">
        <f t="shared" si="1"/>
        <v>142242.603</v>
      </c>
      <c r="E1217" s="4">
        <f t="shared" si="2"/>
        <v>-0.01610206434</v>
      </c>
    </row>
    <row r="1218" ht="15.75" customHeight="1">
      <c r="B1218" s="3" t="s">
        <v>735</v>
      </c>
      <c r="C1218" s="2">
        <v>4469.252</v>
      </c>
      <c r="D1218" s="2">
        <f t="shared" si="1"/>
        <v>146711.855</v>
      </c>
      <c r="E1218" s="4">
        <f t="shared" si="2"/>
        <v>0.03093642141</v>
      </c>
    </row>
    <row r="1219" ht="15.75" customHeight="1">
      <c r="B1219" s="3" t="s">
        <v>736</v>
      </c>
      <c r="C1219" s="2">
        <v>-1120.035</v>
      </c>
      <c r="D1219" s="2">
        <f t="shared" si="1"/>
        <v>145591.82</v>
      </c>
      <c r="E1219" s="4">
        <f t="shared" si="2"/>
        <v>-0.007663540197</v>
      </c>
    </row>
    <row r="1220" ht="15.75" customHeight="1">
      <c r="B1220" s="3" t="s">
        <v>737</v>
      </c>
      <c r="C1220" s="2">
        <v>136.168</v>
      </c>
      <c r="D1220" s="2">
        <f t="shared" si="1"/>
        <v>145727.988</v>
      </c>
      <c r="E1220" s="4">
        <f t="shared" si="2"/>
        <v>0.0009348352304</v>
      </c>
    </row>
    <row r="1221" ht="15.75" customHeight="1">
      <c r="B1221" s="3">
        <v>44572.0</v>
      </c>
      <c r="C1221" s="2">
        <v>4827.088</v>
      </c>
      <c r="D1221" s="2">
        <f t="shared" si="1"/>
        <v>150555.076</v>
      </c>
      <c r="E1221" s="4">
        <f t="shared" si="2"/>
        <v>0.03258718264</v>
      </c>
    </row>
    <row r="1222" ht="15.75" customHeight="1">
      <c r="B1222" s="3">
        <v>44603.0</v>
      </c>
      <c r="C1222" s="2">
        <v>-1422.981</v>
      </c>
      <c r="D1222" s="2">
        <f t="shared" si="1"/>
        <v>149132.095</v>
      </c>
      <c r="E1222" s="4">
        <f t="shared" si="2"/>
        <v>-0.009496513911</v>
      </c>
    </row>
    <row r="1223" ht="15.75" customHeight="1">
      <c r="B1223" s="3">
        <v>44631.0</v>
      </c>
      <c r="C1223" s="2">
        <v>-3656.21</v>
      </c>
      <c r="D1223" s="2">
        <f t="shared" si="1"/>
        <v>145475.885</v>
      </c>
      <c r="E1223" s="4">
        <f t="shared" si="2"/>
        <v>-0.02482212278</v>
      </c>
    </row>
    <row r="1224" ht="15.75" customHeight="1">
      <c r="B1224" s="3">
        <v>44662.0</v>
      </c>
      <c r="C1224" s="2">
        <v>-3246.976</v>
      </c>
      <c r="D1224" s="2">
        <f t="shared" si="1"/>
        <v>142228.909</v>
      </c>
      <c r="E1224" s="4">
        <f t="shared" si="2"/>
        <v>-0.02257253917</v>
      </c>
    </row>
    <row r="1225" ht="15.75" customHeight="1">
      <c r="B1225" s="3">
        <v>44753.0</v>
      </c>
      <c r="C1225" s="2">
        <v>-1580.04</v>
      </c>
      <c r="D1225" s="2">
        <f t="shared" si="1"/>
        <v>140648.869</v>
      </c>
      <c r="E1225" s="4">
        <f t="shared" si="2"/>
        <v>-0.01117130121</v>
      </c>
    </row>
    <row r="1226" ht="15.75" customHeight="1">
      <c r="B1226" s="3">
        <v>44784.0</v>
      </c>
      <c r="C1226" s="2">
        <v>-322.845</v>
      </c>
      <c r="D1226" s="2">
        <f t="shared" si="1"/>
        <v>140326.024</v>
      </c>
      <c r="E1226" s="4">
        <f t="shared" si="2"/>
        <v>-0.002298035519</v>
      </c>
    </row>
    <row r="1227" ht="15.75" customHeight="1">
      <c r="B1227" s="3">
        <v>44815.0</v>
      </c>
      <c r="C1227" s="2">
        <v>-859.365</v>
      </c>
      <c r="D1227" s="2">
        <f t="shared" si="1"/>
        <v>139466.659</v>
      </c>
      <c r="E1227" s="4">
        <f t="shared" si="2"/>
        <v>-0.006142889036</v>
      </c>
    </row>
    <row r="1228" ht="15.75" customHeight="1">
      <c r="B1228" s="3">
        <v>44845.0</v>
      </c>
      <c r="C1228" s="2">
        <v>-617.272</v>
      </c>
      <c r="D1228" s="2">
        <f t="shared" si="1"/>
        <v>138849.387</v>
      </c>
      <c r="E1228" s="4">
        <f t="shared" si="2"/>
        <v>-0.004435770204</v>
      </c>
    </row>
    <row r="1229" ht="15.75" customHeight="1">
      <c r="B1229" s="3">
        <v>44876.0</v>
      </c>
      <c r="C1229" s="2">
        <v>4244.172</v>
      </c>
      <c r="D1229" s="2">
        <f t="shared" si="1"/>
        <v>143093.559</v>
      </c>
      <c r="E1229" s="4">
        <f t="shared" si="2"/>
        <v>0.03010887616</v>
      </c>
    </row>
    <row r="1230" ht="15.75" customHeight="1">
      <c r="B1230" s="3" t="s">
        <v>738</v>
      </c>
      <c r="C1230" s="2">
        <v>2151.586</v>
      </c>
      <c r="D1230" s="2">
        <f t="shared" si="1"/>
        <v>145245.145</v>
      </c>
      <c r="E1230" s="4">
        <f t="shared" si="2"/>
        <v>0.01492429498</v>
      </c>
    </row>
    <row r="1231" ht="15.75" customHeight="1">
      <c r="B1231" s="3" t="s">
        <v>739</v>
      </c>
      <c r="C1231" s="2">
        <v>2962.36</v>
      </c>
      <c r="D1231" s="2">
        <f t="shared" si="1"/>
        <v>148207.505</v>
      </c>
      <c r="E1231" s="4">
        <f t="shared" si="2"/>
        <v>0.02019038256</v>
      </c>
    </row>
    <row r="1232" ht="15.75" customHeight="1">
      <c r="B1232" s="3" t="s">
        <v>740</v>
      </c>
      <c r="C1232" s="2">
        <v>-1633.607</v>
      </c>
      <c r="D1232" s="2">
        <f t="shared" si="1"/>
        <v>146573.898</v>
      </c>
      <c r="E1232" s="4">
        <f t="shared" si="2"/>
        <v>-0.01108362812</v>
      </c>
    </row>
    <row r="1233" ht="15.75" customHeight="1">
      <c r="B1233" s="3" t="s">
        <v>741</v>
      </c>
      <c r="C1233" s="2">
        <v>-2371.518</v>
      </c>
      <c r="D1233" s="2">
        <f t="shared" si="1"/>
        <v>144202.38</v>
      </c>
      <c r="E1233" s="4">
        <f t="shared" si="2"/>
        <v>-0.01631199492</v>
      </c>
    </row>
    <row r="1234" ht="15.75" customHeight="1">
      <c r="B1234" s="3" t="s">
        <v>742</v>
      </c>
      <c r="C1234" s="2">
        <v>965.59</v>
      </c>
      <c r="D1234" s="2">
        <f t="shared" si="1"/>
        <v>145167.97</v>
      </c>
      <c r="E1234" s="4">
        <f t="shared" si="2"/>
        <v>0.006673756201</v>
      </c>
    </row>
    <row r="1235" ht="15.75" customHeight="1">
      <c r="B1235" s="3" t="s">
        <v>743</v>
      </c>
      <c r="C1235" s="2">
        <v>1603.778</v>
      </c>
      <c r="D1235" s="2">
        <f t="shared" si="1"/>
        <v>146771.748</v>
      </c>
      <c r="E1235" s="4">
        <f t="shared" si="2"/>
        <v>0.01098715957</v>
      </c>
    </row>
    <row r="1236" ht="15.75" customHeight="1">
      <c r="B1236" s="3" t="s">
        <v>744</v>
      </c>
      <c r="C1236" s="2">
        <v>927.094</v>
      </c>
      <c r="D1236" s="2">
        <f t="shared" si="1"/>
        <v>147698.842</v>
      </c>
      <c r="E1236" s="4">
        <f t="shared" si="2"/>
        <v>0.006296703947</v>
      </c>
    </row>
    <row r="1237" ht="15.75" customHeight="1">
      <c r="B1237" s="3" t="s">
        <v>745</v>
      </c>
      <c r="C1237" s="2">
        <v>-2499.044</v>
      </c>
      <c r="D1237" s="2">
        <f t="shared" si="1"/>
        <v>145199.798</v>
      </c>
      <c r="E1237" s="4">
        <f t="shared" si="2"/>
        <v>-0.01706463808</v>
      </c>
    </row>
    <row r="1238" ht="15.75" customHeight="1">
      <c r="B1238" s="3" t="s">
        <v>746</v>
      </c>
      <c r="C1238" s="2">
        <v>683.772</v>
      </c>
      <c r="D1238" s="2">
        <f t="shared" si="1"/>
        <v>145883.57</v>
      </c>
      <c r="E1238" s="4">
        <f t="shared" si="2"/>
        <v>0.004698126605</v>
      </c>
    </row>
    <row r="1239" ht="15.75" customHeight="1">
      <c r="B1239" s="3" t="s">
        <v>747</v>
      </c>
      <c r="C1239" s="2">
        <v>884.649</v>
      </c>
      <c r="D1239" s="2">
        <f t="shared" si="1"/>
        <v>146768.219</v>
      </c>
      <c r="E1239" s="4">
        <f t="shared" si="2"/>
        <v>0.006045763107</v>
      </c>
    </row>
    <row r="1240" ht="15.75" customHeight="1">
      <c r="B1240" s="3" t="s">
        <v>748</v>
      </c>
      <c r="C1240" s="2">
        <v>-1484.77</v>
      </c>
      <c r="D1240" s="2">
        <f t="shared" si="1"/>
        <v>145283.449</v>
      </c>
      <c r="E1240" s="4">
        <f t="shared" si="2"/>
        <v>-0.01016794598</v>
      </c>
    </row>
    <row r="1241" ht="15.75" customHeight="1">
      <c r="B1241" s="3" t="s">
        <v>749</v>
      </c>
      <c r="C1241" s="2">
        <v>-731.385</v>
      </c>
      <c r="D1241" s="2">
        <f t="shared" si="1"/>
        <v>144552.064</v>
      </c>
      <c r="E1241" s="4">
        <f t="shared" si="2"/>
        <v>-0.005046907778</v>
      </c>
    </row>
    <row r="1242" ht="15.75" customHeight="1">
      <c r="B1242" s="3">
        <v>44573.0</v>
      </c>
      <c r="C1242" s="2">
        <v>-5808.828</v>
      </c>
      <c r="D1242" s="2">
        <f t="shared" si="1"/>
        <v>138743.236</v>
      </c>
      <c r="E1242" s="4">
        <f t="shared" si="2"/>
        <v>-0.04101474527</v>
      </c>
    </row>
    <row r="1243" ht="15.75" customHeight="1">
      <c r="B1243" s="3">
        <v>44604.0</v>
      </c>
      <c r="C1243" s="2">
        <v>1609.033</v>
      </c>
      <c r="D1243" s="2">
        <f t="shared" si="1"/>
        <v>140352.269</v>
      </c>
      <c r="E1243" s="4">
        <f t="shared" si="2"/>
        <v>0.01153046751</v>
      </c>
    </row>
    <row r="1244" ht="15.75" customHeight="1">
      <c r="B1244" s="3">
        <v>44693.0</v>
      </c>
      <c r="C1244" s="2">
        <v>-1993.786</v>
      </c>
      <c r="D1244" s="2">
        <f t="shared" si="1"/>
        <v>138358.483</v>
      </c>
      <c r="E1244" s="4">
        <f t="shared" si="2"/>
        <v>-0.01430744955</v>
      </c>
    </row>
    <row r="1245" ht="15.75" customHeight="1">
      <c r="B1245" s="3">
        <v>44724.0</v>
      </c>
      <c r="C1245" s="2">
        <v>-639.442</v>
      </c>
      <c r="D1245" s="2">
        <f t="shared" si="1"/>
        <v>137719.041</v>
      </c>
      <c r="E1245" s="4">
        <f t="shared" si="2"/>
        <v>-0.004632344815</v>
      </c>
    </row>
    <row r="1246" ht="15.75" customHeight="1">
      <c r="B1246" s="3">
        <v>44754.0</v>
      </c>
      <c r="C1246" s="2">
        <v>-275.754</v>
      </c>
      <c r="D1246" s="2">
        <f t="shared" si="1"/>
        <v>137443.287</v>
      </c>
      <c r="E1246" s="4">
        <f t="shared" si="2"/>
        <v>-0.002004301202</v>
      </c>
    </row>
    <row r="1247" ht="15.75" customHeight="1">
      <c r="B1247" s="3">
        <v>44785.0</v>
      </c>
      <c r="C1247" s="2">
        <v>1867.762</v>
      </c>
      <c r="D1247" s="2">
        <f t="shared" si="1"/>
        <v>139311.049</v>
      </c>
      <c r="E1247" s="4">
        <f t="shared" si="2"/>
        <v>0.01349782182</v>
      </c>
    </row>
    <row r="1248" ht="15.75" customHeight="1">
      <c r="B1248" s="3">
        <v>44816.0</v>
      </c>
      <c r="C1248" s="2">
        <v>2238.601</v>
      </c>
      <c r="D1248" s="2">
        <f t="shared" si="1"/>
        <v>141549.65</v>
      </c>
      <c r="E1248" s="4">
        <f t="shared" si="2"/>
        <v>0.01594134327</v>
      </c>
    </row>
    <row r="1249" ht="15.75" customHeight="1">
      <c r="B1249" s="3">
        <v>44907.0</v>
      </c>
      <c r="C1249" s="2">
        <v>3067.951</v>
      </c>
      <c r="D1249" s="2">
        <f t="shared" si="1"/>
        <v>144617.601</v>
      </c>
      <c r="E1249" s="4">
        <f t="shared" si="2"/>
        <v>0.02144248538</v>
      </c>
    </row>
    <row r="1250" ht="15.75" customHeight="1">
      <c r="B1250" s="3" t="s">
        <v>750</v>
      </c>
      <c r="C1250" s="2">
        <v>3271.126</v>
      </c>
      <c r="D1250" s="2">
        <f t="shared" si="1"/>
        <v>147888.727</v>
      </c>
      <c r="E1250" s="4">
        <f t="shared" si="2"/>
        <v>0.02236712208</v>
      </c>
    </row>
    <row r="1251" ht="15.75" customHeight="1">
      <c r="B1251" s="3" t="s">
        <v>751</v>
      </c>
      <c r="C1251" s="2">
        <v>1366.213</v>
      </c>
      <c r="D1251" s="2">
        <f t="shared" si="1"/>
        <v>149254.94</v>
      </c>
      <c r="E1251" s="4">
        <f t="shared" si="2"/>
        <v>0.00919570416</v>
      </c>
    </row>
    <row r="1252" ht="15.75" customHeight="1">
      <c r="B1252" s="3" t="s">
        <v>752</v>
      </c>
      <c r="C1252" s="2">
        <v>-279.637</v>
      </c>
      <c r="D1252" s="2">
        <f t="shared" si="1"/>
        <v>148975.303</v>
      </c>
      <c r="E1252" s="4">
        <f t="shared" si="2"/>
        <v>-0.001875310023</v>
      </c>
    </row>
    <row r="1253" ht="15.75" customHeight="1">
      <c r="B1253" s="3" t="s">
        <v>753</v>
      </c>
      <c r="C1253" s="2">
        <v>-5532.328</v>
      </c>
      <c r="D1253" s="2">
        <f t="shared" si="1"/>
        <v>143442.975</v>
      </c>
      <c r="E1253" s="4">
        <f t="shared" si="2"/>
        <v>-0.03784297107</v>
      </c>
    </row>
    <row r="1254" ht="15.75" customHeight="1">
      <c r="B1254" s="3" t="s">
        <v>754</v>
      </c>
      <c r="C1254" s="2">
        <v>-1438.234</v>
      </c>
      <c r="D1254" s="2">
        <f t="shared" si="1"/>
        <v>142004.741</v>
      </c>
      <c r="E1254" s="4">
        <f t="shared" si="2"/>
        <v>-0.01007712509</v>
      </c>
    </row>
    <row r="1255" ht="15.75" customHeight="1">
      <c r="B1255" s="3" t="s">
        <v>755</v>
      </c>
      <c r="C1255" s="2">
        <v>-532.135</v>
      </c>
      <c r="D1255" s="2">
        <f t="shared" si="1"/>
        <v>141472.606</v>
      </c>
      <c r="E1255" s="4">
        <f t="shared" si="2"/>
        <v>-0.0037543432</v>
      </c>
    </row>
    <row r="1256" ht="15.75" customHeight="1">
      <c r="B1256" s="3" t="s">
        <v>756</v>
      </c>
      <c r="C1256" s="2">
        <v>1369.812</v>
      </c>
      <c r="D1256" s="2">
        <f t="shared" si="1"/>
        <v>142842.418</v>
      </c>
      <c r="E1256" s="4">
        <f t="shared" si="2"/>
        <v>0.009635949447</v>
      </c>
    </row>
    <row r="1257" ht="15.75" customHeight="1">
      <c r="B1257" s="3" t="s">
        <v>757</v>
      </c>
      <c r="C1257" s="2">
        <v>1544.858</v>
      </c>
      <c r="D1257" s="2">
        <f t="shared" si="1"/>
        <v>144387.276</v>
      </c>
      <c r="E1257" s="4">
        <f t="shared" si="2"/>
        <v>0.01075705562</v>
      </c>
    </row>
    <row r="1258" ht="15.75" customHeight="1">
      <c r="B1258" s="3" t="s">
        <v>758</v>
      </c>
      <c r="C1258" s="2">
        <v>-570.947</v>
      </c>
      <c r="D1258" s="2">
        <f t="shared" si="1"/>
        <v>143816.329</v>
      </c>
      <c r="E1258" s="4">
        <f t="shared" si="2"/>
        <v>-0.003962113846</v>
      </c>
    </row>
    <row r="1259" ht="15.75" customHeight="1">
      <c r="B1259" s="3" t="s">
        <v>759</v>
      </c>
      <c r="C1259" s="2">
        <v>516.877</v>
      </c>
      <c r="D1259" s="2">
        <f t="shared" si="1"/>
        <v>144333.206</v>
      </c>
      <c r="E1259" s="4">
        <f t="shared" si="2"/>
        <v>0.00358756473</v>
      </c>
    </row>
    <row r="1260" ht="15.75" customHeight="1">
      <c r="B1260" s="3" t="s">
        <v>760</v>
      </c>
      <c r="C1260" s="2">
        <v>-762.702</v>
      </c>
      <c r="D1260" s="2">
        <f t="shared" si="1"/>
        <v>143570.504</v>
      </c>
      <c r="E1260" s="4">
        <f t="shared" si="2"/>
        <v>-0.005298325501</v>
      </c>
    </row>
    <row r="1261" ht="15.75" customHeight="1">
      <c r="B1261" s="3" t="s">
        <v>761</v>
      </c>
      <c r="C1261" s="2">
        <v>-2486.684</v>
      </c>
      <c r="D1261" s="2">
        <f t="shared" si="1"/>
        <v>141083.82</v>
      </c>
      <c r="E1261" s="4">
        <f t="shared" si="2"/>
        <v>-0.01747204978</v>
      </c>
    </row>
    <row r="1262" ht="15.75" customHeight="1">
      <c r="B1262" s="3">
        <v>44986.0</v>
      </c>
      <c r="C1262" s="2">
        <v>-2046.07</v>
      </c>
      <c r="D1262" s="2">
        <f t="shared" si="1"/>
        <v>139037.75</v>
      </c>
      <c r="E1262" s="4">
        <f t="shared" si="2"/>
        <v>-0.01460870284</v>
      </c>
    </row>
    <row r="1263" ht="15.75" customHeight="1">
      <c r="B1263" s="3">
        <v>45017.0</v>
      </c>
      <c r="C1263" s="2">
        <v>1790.344</v>
      </c>
      <c r="D1263" s="2">
        <f t="shared" si="1"/>
        <v>140828.094</v>
      </c>
      <c r="E1263" s="4">
        <f t="shared" si="2"/>
        <v>0.01279447608</v>
      </c>
    </row>
    <row r="1264" ht="15.75" customHeight="1">
      <c r="B1264" s="3">
        <v>45047.0</v>
      </c>
      <c r="C1264" s="2">
        <v>-882.769</v>
      </c>
      <c r="D1264" s="2">
        <f t="shared" si="1"/>
        <v>139945.325</v>
      </c>
      <c r="E1264" s="4">
        <f t="shared" si="2"/>
        <v>-0.006288144454</v>
      </c>
    </row>
    <row r="1265" ht="15.75" customHeight="1">
      <c r="B1265" s="3">
        <v>45078.0</v>
      </c>
      <c r="C1265" s="2">
        <v>75.882</v>
      </c>
      <c r="D1265" s="2">
        <f t="shared" si="1"/>
        <v>140021.207</v>
      </c>
      <c r="E1265" s="4">
        <f t="shared" si="2"/>
        <v>0.0005420790929</v>
      </c>
    </row>
    <row r="1266" ht="15.75" customHeight="1">
      <c r="B1266" s="3">
        <v>45170.0</v>
      </c>
      <c r="C1266" s="2">
        <v>970.186</v>
      </c>
      <c r="D1266" s="2">
        <f t="shared" si="1"/>
        <v>140991.393</v>
      </c>
      <c r="E1266" s="4">
        <f t="shared" si="2"/>
        <v>0.006904956253</v>
      </c>
    </row>
    <row r="1267" ht="15.75" customHeight="1">
      <c r="B1267" s="3">
        <v>45200.0</v>
      </c>
      <c r="C1267" s="2">
        <v>504.2</v>
      </c>
      <c r="D1267" s="2">
        <f t="shared" si="1"/>
        <v>141495.593</v>
      </c>
      <c r="E1267" s="4">
        <f t="shared" si="2"/>
        <v>0.00356972576</v>
      </c>
    </row>
    <row r="1268" ht="15.75" customHeight="1">
      <c r="B1268" s="3">
        <v>45231.0</v>
      </c>
      <c r="C1268" s="2">
        <v>175.747</v>
      </c>
      <c r="D1268" s="2">
        <f t="shared" si="1"/>
        <v>141671.34</v>
      </c>
      <c r="E1268" s="4">
        <f t="shared" si="2"/>
        <v>0.001241296226</v>
      </c>
    </row>
    <row r="1269" ht="15.75" customHeight="1">
      <c r="B1269" s="3">
        <v>45261.0</v>
      </c>
      <c r="C1269" s="2">
        <v>138.449</v>
      </c>
      <c r="D1269" s="2">
        <f t="shared" si="1"/>
        <v>141809.789</v>
      </c>
      <c r="E1269" s="4">
        <f t="shared" si="2"/>
        <v>0.0009767776183</v>
      </c>
    </row>
    <row r="1270" ht="15.75" customHeight="1">
      <c r="B1270" s="3" t="s">
        <v>762</v>
      </c>
      <c r="C1270" s="2">
        <v>-238.178</v>
      </c>
      <c r="D1270" s="2">
        <f t="shared" si="1"/>
        <v>141571.611</v>
      </c>
      <c r="E1270" s="4">
        <f t="shared" si="2"/>
        <v>-0.001680971695</v>
      </c>
    </row>
    <row r="1271" ht="15.75" customHeight="1">
      <c r="B1271" s="3" t="s">
        <v>763</v>
      </c>
      <c r="C1271" s="2">
        <v>677.552</v>
      </c>
      <c r="D1271" s="2">
        <f t="shared" si="1"/>
        <v>142249.163</v>
      </c>
      <c r="E1271" s="4">
        <f t="shared" si="2"/>
        <v>0.004774515111</v>
      </c>
    </row>
    <row r="1272" ht="15.75" customHeight="1">
      <c r="B1272" s="3" t="s">
        <v>764</v>
      </c>
      <c r="C1272" s="2">
        <v>-338.088</v>
      </c>
      <c r="D1272" s="2">
        <f t="shared" si="1"/>
        <v>141911.075</v>
      </c>
      <c r="E1272" s="4">
        <f t="shared" si="2"/>
        <v>-0.002379559941</v>
      </c>
    </row>
    <row r="1273" ht="15.75" customHeight="1">
      <c r="B1273" s="3" t="s">
        <v>765</v>
      </c>
      <c r="C1273" s="2">
        <v>-822.29</v>
      </c>
      <c r="D1273" s="2">
        <f t="shared" si="1"/>
        <v>141088.785</v>
      </c>
      <c r="E1273" s="4">
        <f t="shared" si="2"/>
        <v>-0.005811255978</v>
      </c>
    </row>
    <row r="1274" ht="15.75" customHeight="1">
      <c r="B1274" s="3" t="s">
        <v>766</v>
      </c>
      <c r="C1274" s="2">
        <v>563.511</v>
      </c>
      <c r="D1274" s="2">
        <f t="shared" si="1"/>
        <v>141652.296</v>
      </c>
      <c r="E1274" s="4">
        <f t="shared" si="2"/>
        <v>0.003986062047</v>
      </c>
    </row>
    <row r="1275" ht="15.75" customHeight="1">
      <c r="B1275" s="3" t="s">
        <v>767</v>
      </c>
      <c r="C1275" s="2">
        <v>1227.529</v>
      </c>
      <c r="D1275" s="2">
        <f t="shared" si="1"/>
        <v>142879.825</v>
      </c>
      <c r="E1275" s="4">
        <f t="shared" si="2"/>
        <v>0.008628457212</v>
      </c>
    </row>
    <row r="1276" ht="15.75" customHeight="1">
      <c r="B1276" s="3" t="s">
        <v>768</v>
      </c>
      <c r="C1276" s="2">
        <v>-580.98</v>
      </c>
      <c r="D1276" s="2">
        <f t="shared" si="1"/>
        <v>142298.845</v>
      </c>
      <c r="E1276" s="4">
        <f t="shared" si="2"/>
        <v>-0.004074503915</v>
      </c>
    </row>
    <row r="1277" ht="15.75" customHeight="1">
      <c r="B1277" s="3" t="s">
        <v>769</v>
      </c>
      <c r="C1277" s="2">
        <v>680.68</v>
      </c>
      <c r="D1277" s="2">
        <f t="shared" si="1"/>
        <v>142979.525</v>
      </c>
      <c r="E1277" s="4">
        <f t="shared" si="2"/>
        <v>0.004772049782</v>
      </c>
    </row>
    <row r="1278" ht="15.75" customHeight="1">
      <c r="B1278" s="3" t="s">
        <v>770</v>
      </c>
      <c r="C1278" s="2">
        <v>-20.017</v>
      </c>
      <c r="D1278" s="2">
        <f t="shared" si="1"/>
        <v>142959.508</v>
      </c>
      <c r="E1278" s="4">
        <f t="shared" si="2"/>
        <v>-0.0001400088671</v>
      </c>
    </row>
    <row r="1279" ht="15.75" customHeight="1">
      <c r="B1279" s="3" t="s">
        <v>771</v>
      </c>
      <c r="C1279" s="2">
        <v>283.334</v>
      </c>
      <c r="D1279" s="2">
        <f t="shared" si="1"/>
        <v>143242.842</v>
      </c>
      <c r="E1279" s="4">
        <f t="shared" si="2"/>
        <v>0.001979956437</v>
      </c>
    </row>
    <row r="1280" ht="15.75" customHeight="1">
      <c r="B1280" s="3" t="s">
        <v>772</v>
      </c>
      <c r="C1280" s="2">
        <v>-710.105</v>
      </c>
      <c r="D1280" s="2">
        <f t="shared" si="1"/>
        <v>142532.737</v>
      </c>
      <c r="E1280" s="4">
        <f t="shared" si="2"/>
        <v>-0.004969679103</v>
      </c>
    </row>
    <row r="1281" ht="15.75" customHeight="1">
      <c r="B1281" s="3" t="s">
        <v>773</v>
      </c>
      <c r="C1281" s="2">
        <v>-580.805</v>
      </c>
      <c r="D1281" s="2">
        <f t="shared" si="1"/>
        <v>141951.932</v>
      </c>
      <c r="E1281" s="4">
        <f t="shared" si="2"/>
        <v>-0.004083213405</v>
      </c>
    </row>
    <row r="1282" ht="15.75" customHeight="1">
      <c r="B1282" s="3">
        <v>44928.0</v>
      </c>
      <c r="C1282" s="2">
        <v>-629.949</v>
      </c>
      <c r="D1282" s="2">
        <f t="shared" si="1"/>
        <v>141321.983</v>
      </c>
      <c r="E1282" s="4">
        <f t="shared" si="2"/>
        <v>-0.004447638876</v>
      </c>
    </row>
    <row r="1283" ht="15.75" customHeight="1">
      <c r="B1283" s="3">
        <v>44959.0</v>
      </c>
      <c r="C1283" s="2">
        <v>2915.705</v>
      </c>
      <c r="D1283" s="2">
        <f t="shared" si="1"/>
        <v>144237.688</v>
      </c>
      <c r="E1283" s="4">
        <f t="shared" si="2"/>
        <v>0.02042169555</v>
      </c>
    </row>
    <row r="1284" ht="15.75" customHeight="1">
      <c r="B1284" s="3">
        <v>44987.0</v>
      </c>
      <c r="C1284" s="2">
        <v>-2479.426</v>
      </c>
      <c r="D1284" s="2">
        <f t="shared" si="1"/>
        <v>141758.262</v>
      </c>
      <c r="E1284" s="4">
        <f t="shared" si="2"/>
        <v>-0.0173393233</v>
      </c>
    </row>
    <row r="1285" ht="15.75" customHeight="1">
      <c r="B1285" s="3">
        <v>45079.0</v>
      </c>
      <c r="C1285" s="2">
        <v>-1546.566</v>
      </c>
      <c r="D1285" s="2">
        <f t="shared" si="1"/>
        <v>140211.696</v>
      </c>
      <c r="E1285" s="4">
        <f t="shared" si="2"/>
        <v>-0.01096983182</v>
      </c>
    </row>
    <row r="1286" ht="15.75" customHeight="1">
      <c r="B1286" s="3">
        <v>45109.0</v>
      </c>
      <c r="C1286" s="2">
        <v>-1209.247</v>
      </c>
      <c r="D1286" s="2">
        <f t="shared" si="1"/>
        <v>139002.449</v>
      </c>
      <c r="E1286" s="4">
        <f t="shared" si="2"/>
        <v>-0.008661843121</v>
      </c>
    </row>
    <row r="1287" ht="15.75" customHeight="1">
      <c r="B1287" s="3">
        <v>45140.0</v>
      </c>
      <c r="C1287" s="2">
        <v>-622.786</v>
      </c>
      <c r="D1287" s="2">
        <f t="shared" si="1"/>
        <v>138379.663</v>
      </c>
      <c r="E1287" s="4">
        <f t="shared" si="2"/>
        <v>-0.004490462936</v>
      </c>
    </row>
    <row r="1288" ht="15.75" customHeight="1">
      <c r="B1288" s="3">
        <v>45171.0</v>
      </c>
      <c r="C1288" s="2">
        <v>-1231.832</v>
      </c>
      <c r="D1288" s="2">
        <f t="shared" si="1"/>
        <v>137147.831</v>
      </c>
      <c r="E1288" s="4">
        <f t="shared" si="2"/>
        <v>-0.008941686287</v>
      </c>
    </row>
    <row r="1289" ht="15.75" customHeight="1">
      <c r="B1289" s="3">
        <v>45201.0</v>
      </c>
      <c r="C1289" s="2">
        <v>590.227</v>
      </c>
      <c r="D1289" s="2">
        <f t="shared" si="1"/>
        <v>137738.058</v>
      </c>
      <c r="E1289" s="4">
        <f t="shared" si="2"/>
        <v>0.004294348533</v>
      </c>
    </row>
    <row r="1290" ht="15.75" customHeight="1">
      <c r="B1290" s="3" t="s">
        <v>774</v>
      </c>
      <c r="C1290" s="2">
        <v>-2284.952</v>
      </c>
      <c r="D1290" s="2">
        <f t="shared" si="1"/>
        <v>135453.106</v>
      </c>
      <c r="E1290" s="4">
        <f t="shared" si="2"/>
        <v>-0.01672825175</v>
      </c>
    </row>
    <row r="1291" ht="15.75" customHeight="1">
      <c r="B1291" s="3" t="s">
        <v>775</v>
      </c>
      <c r="C1291" s="2">
        <v>2786.071</v>
      </c>
      <c r="D1291" s="2">
        <f t="shared" si="1"/>
        <v>138239.177</v>
      </c>
      <c r="E1291" s="4">
        <f t="shared" si="2"/>
        <v>0.02035985238</v>
      </c>
    </row>
    <row r="1292" ht="15.75" customHeight="1">
      <c r="B1292" s="3" t="s">
        <v>776</v>
      </c>
      <c r="C1292" s="2">
        <v>-2641.184</v>
      </c>
      <c r="D1292" s="2">
        <f t="shared" si="1"/>
        <v>135597.993</v>
      </c>
      <c r="E1292" s="4">
        <f t="shared" si="2"/>
        <v>-0.01929077711</v>
      </c>
    </row>
    <row r="1293" ht="15.75" customHeight="1">
      <c r="B1293" s="3" t="s">
        <v>777</v>
      </c>
      <c r="C1293" s="2">
        <v>-807.161</v>
      </c>
      <c r="D1293" s="2">
        <f t="shared" si="1"/>
        <v>134790.832</v>
      </c>
      <c r="E1293" s="4">
        <f t="shared" si="2"/>
        <v>-0.005970390216</v>
      </c>
    </row>
    <row r="1294" ht="15.75" customHeight="1">
      <c r="B1294" s="3" t="s">
        <v>778</v>
      </c>
      <c r="C1294" s="2">
        <v>326.618</v>
      </c>
      <c r="D1294" s="2">
        <f t="shared" si="1"/>
        <v>135117.45</v>
      </c>
      <c r="E1294" s="4">
        <f t="shared" si="2"/>
        <v>0.002420215912</v>
      </c>
    </row>
    <row r="1295" ht="15.75" customHeight="1">
      <c r="B1295" s="3" t="s">
        <v>779</v>
      </c>
      <c r="C1295" s="2">
        <v>-732.987</v>
      </c>
      <c r="D1295" s="2">
        <f t="shared" si="1"/>
        <v>134384.463</v>
      </c>
      <c r="E1295" s="4">
        <f t="shared" si="2"/>
        <v>-0.00543958148</v>
      </c>
    </row>
    <row r="1296" ht="15.75" customHeight="1">
      <c r="B1296" s="3" t="s">
        <v>780</v>
      </c>
      <c r="C1296" s="2">
        <v>-1157.32</v>
      </c>
      <c r="D1296" s="2">
        <f t="shared" si="1"/>
        <v>133227.143</v>
      </c>
      <c r="E1296" s="4">
        <f t="shared" si="2"/>
        <v>-0.008649305105</v>
      </c>
    </row>
    <row r="1297" ht="15.75" customHeight="1">
      <c r="B1297" s="3" t="s">
        <v>781</v>
      </c>
      <c r="C1297" s="2">
        <v>-816.835</v>
      </c>
      <c r="D1297" s="2">
        <f t="shared" si="1"/>
        <v>132410.308</v>
      </c>
      <c r="E1297" s="4">
        <f t="shared" si="2"/>
        <v>-0.006150018166</v>
      </c>
    </row>
    <row r="1298" ht="15.75" customHeight="1">
      <c r="B1298" s="3" t="s">
        <v>782</v>
      </c>
      <c r="C1298" s="2">
        <v>400.606</v>
      </c>
      <c r="D1298" s="2">
        <f t="shared" si="1"/>
        <v>132810.914</v>
      </c>
      <c r="E1298" s="4">
        <f t="shared" si="2"/>
        <v>0.003020921943</v>
      </c>
    </row>
    <row r="1299" ht="15.75" customHeight="1">
      <c r="B1299" s="3" t="s">
        <v>783</v>
      </c>
      <c r="C1299" s="2">
        <v>-1704.565</v>
      </c>
      <c r="D1299" s="2">
        <f t="shared" si="1"/>
        <v>131106.349</v>
      </c>
      <c r="E1299" s="4">
        <f t="shared" si="2"/>
        <v>-0.01291759912</v>
      </c>
    </row>
    <row r="1300" ht="15.75" customHeight="1">
      <c r="B1300" s="3" t="s">
        <v>784</v>
      </c>
      <c r="C1300" s="2">
        <v>-516.976</v>
      </c>
      <c r="D1300" s="2">
        <f t="shared" si="1"/>
        <v>130589.373</v>
      </c>
      <c r="E1300" s="4">
        <f t="shared" si="2"/>
        <v>-0.003950975343</v>
      </c>
    </row>
    <row r="1301" ht="15.75" customHeight="1">
      <c r="B1301" s="3">
        <v>44929.0</v>
      </c>
      <c r="C1301" s="2">
        <v>277.556</v>
      </c>
      <c r="D1301" s="2">
        <f t="shared" si="1"/>
        <v>130866.929</v>
      </c>
      <c r="E1301" s="4">
        <f t="shared" si="2"/>
        <v>0.002123154823</v>
      </c>
    </row>
    <row r="1302" ht="15.75" customHeight="1">
      <c r="B1302" s="3">
        <v>44960.0</v>
      </c>
      <c r="C1302" s="2">
        <v>-3611.182</v>
      </c>
      <c r="D1302" s="2">
        <f t="shared" si="1"/>
        <v>127255.747</v>
      </c>
      <c r="E1302" s="4">
        <f t="shared" si="2"/>
        <v>-0.02798218028</v>
      </c>
    </row>
    <row r="1303" ht="15.75" customHeight="1">
      <c r="B1303" s="3">
        <v>44988.0</v>
      </c>
      <c r="C1303" s="2">
        <v>-3241.314</v>
      </c>
      <c r="D1303" s="2">
        <f t="shared" si="1"/>
        <v>124014.433</v>
      </c>
      <c r="E1303" s="4">
        <f t="shared" si="2"/>
        <v>-0.02580086348</v>
      </c>
    </row>
    <row r="1304" ht="15.75" customHeight="1">
      <c r="B1304" s="3">
        <v>45080.0</v>
      </c>
      <c r="C1304" s="2">
        <v>4445.515</v>
      </c>
      <c r="D1304" s="2">
        <f t="shared" si="1"/>
        <v>128459.948</v>
      </c>
      <c r="E1304" s="4">
        <f t="shared" si="2"/>
        <v>0.03521921304</v>
      </c>
    </row>
    <row r="1305" ht="15.75" customHeight="1">
      <c r="B1305" s="3">
        <v>45110.0</v>
      </c>
      <c r="C1305" s="2">
        <v>2325.46</v>
      </c>
      <c r="D1305" s="2">
        <f t="shared" si="1"/>
        <v>130785.408</v>
      </c>
      <c r="E1305" s="4">
        <f t="shared" si="2"/>
        <v>0.01794070613</v>
      </c>
    </row>
    <row r="1306" ht="15.75" customHeight="1">
      <c r="B1306" s="3">
        <v>45141.0</v>
      </c>
      <c r="C1306" s="2">
        <v>278.783</v>
      </c>
      <c r="D1306" s="2">
        <f t="shared" si="1"/>
        <v>131064.191</v>
      </c>
      <c r="E1306" s="4">
        <f t="shared" si="2"/>
        <v>0.002129337653</v>
      </c>
    </row>
    <row r="1307" ht="15.75" customHeight="1">
      <c r="B1307" s="3">
        <v>45172.0</v>
      </c>
      <c r="C1307" s="2">
        <v>-2093.99</v>
      </c>
      <c r="D1307" s="2">
        <f t="shared" si="1"/>
        <v>128970.201</v>
      </c>
      <c r="E1307" s="4">
        <f t="shared" si="2"/>
        <v>-0.01610583314</v>
      </c>
    </row>
    <row r="1308" ht="15.75" customHeight="1">
      <c r="B1308" s="3">
        <v>45202.0</v>
      </c>
      <c r="C1308" s="2">
        <v>215.371</v>
      </c>
      <c r="D1308" s="2">
        <f t="shared" si="1"/>
        <v>129185.572</v>
      </c>
      <c r="E1308" s="4">
        <f t="shared" si="2"/>
        <v>0.001668535609</v>
      </c>
    </row>
    <row r="1309" ht="15.75" customHeight="1">
      <c r="B1309" s="3" t="s">
        <v>785</v>
      </c>
      <c r="C1309" s="2">
        <v>-5113.061</v>
      </c>
      <c r="D1309" s="2">
        <f t="shared" si="1"/>
        <v>124072.511</v>
      </c>
      <c r="E1309" s="4">
        <f t="shared" si="2"/>
        <v>-0.04038375246</v>
      </c>
    </row>
    <row r="1310" ht="15.75" customHeight="1">
      <c r="B1310" s="3" t="s">
        <v>786</v>
      </c>
      <c r="C1310" s="2">
        <v>809.055</v>
      </c>
      <c r="D1310" s="2">
        <f t="shared" si="1"/>
        <v>124881.566</v>
      </c>
      <c r="E1310" s="4">
        <f t="shared" si="2"/>
        <v>0.006499655342</v>
      </c>
    </row>
    <row r="1311" ht="15.75" customHeight="1">
      <c r="B1311" s="3" t="s">
        <v>787</v>
      </c>
      <c r="C1311" s="2">
        <v>-1821.907</v>
      </c>
      <c r="D1311" s="2">
        <f t="shared" si="1"/>
        <v>123059.659</v>
      </c>
      <c r="E1311" s="4">
        <f t="shared" si="2"/>
        <v>-0.01469654586</v>
      </c>
    </row>
    <row r="1312" ht="15.75" customHeight="1">
      <c r="B1312" s="3" t="s">
        <v>788</v>
      </c>
      <c r="C1312" s="2">
        <v>2140.032</v>
      </c>
      <c r="D1312" s="2">
        <f t="shared" si="1"/>
        <v>125199.691</v>
      </c>
      <c r="E1312" s="4">
        <f t="shared" si="2"/>
        <v>0.01724072031</v>
      </c>
    </row>
    <row r="1313" ht="15.75" customHeight="1">
      <c r="B1313" s="3" t="s">
        <v>789</v>
      </c>
      <c r="C1313" s="2">
        <v>7325.322</v>
      </c>
      <c r="D1313" s="2">
        <f t="shared" si="1"/>
        <v>132525.013</v>
      </c>
      <c r="E1313" s="4">
        <f t="shared" si="2"/>
        <v>0.05686141436</v>
      </c>
    </row>
    <row r="1314" ht="15.75" customHeight="1">
      <c r="B1314" s="3" t="s">
        <v>790</v>
      </c>
      <c r="C1314" s="2">
        <v>6085.843</v>
      </c>
      <c r="D1314" s="2">
        <f t="shared" si="1"/>
        <v>138610.856</v>
      </c>
      <c r="E1314" s="4">
        <f t="shared" si="2"/>
        <v>0.04489900484</v>
      </c>
    </row>
    <row r="1315" ht="15.75" customHeight="1">
      <c r="B1315" s="3" t="s">
        <v>791</v>
      </c>
      <c r="C1315" s="2">
        <v>610.082</v>
      </c>
      <c r="D1315" s="2">
        <f t="shared" si="1"/>
        <v>139220.938</v>
      </c>
      <c r="E1315" s="4">
        <f t="shared" si="2"/>
        <v>0.004391743449</v>
      </c>
    </row>
    <row r="1316" ht="15.75" customHeight="1">
      <c r="B1316" s="3" t="s">
        <v>792</v>
      </c>
      <c r="C1316" s="2">
        <v>-1774.389</v>
      </c>
      <c r="D1316" s="2">
        <f t="shared" si="1"/>
        <v>137446.549</v>
      </c>
      <c r="E1316" s="4">
        <f t="shared" si="2"/>
        <v>-0.01282704627</v>
      </c>
    </row>
    <row r="1317" ht="15.75" customHeight="1">
      <c r="B1317" s="3" t="s">
        <v>793</v>
      </c>
      <c r="C1317" s="2">
        <v>-647.139</v>
      </c>
      <c r="D1317" s="2">
        <f t="shared" si="1"/>
        <v>136799.41</v>
      </c>
      <c r="E1317" s="4">
        <f t="shared" si="2"/>
        <v>-0.004719414671</v>
      </c>
    </row>
    <row r="1318" ht="15.75" customHeight="1">
      <c r="B1318" s="3" t="s">
        <v>794</v>
      </c>
      <c r="C1318" s="2">
        <v>-4602.884</v>
      </c>
      <c r="D1318" s="2">
        <f t="shared" si="1"/>
        <v>132196.526</v>
      </c>
      <c r="E1318" s="4">
        <f t="shared" si="2"/>
        <v>-0.03422604361</v>
      </c>
    </row>
    <row r="1319" ht="15.75" customHeight="1">
      <c r="B1319" s="3" t="s">
        <v>795</v>
      </c>
      <c r="C1319" s="2">
        <v>-1266.001</v>
      </c>
      <c r="D1319" s="2">
        <f t="shared" si="1"/>
        <v>130930.525</v>
      </c>
      <c r="E1319" s="4">
        <f t="shared" si="2"/>
        <v>-0.009622809698</v>
      </c>
    </row>
    <row r="1320" ht="15.75" customHeight="1">
      <c r="B1320" s="3" t="s">
        <v>796</v>
      </c>
      <c r="C1320" s="2">
        <v>4378.849</v>
      </c>
      <c r="D1320" s="2">
        <f t="shared" si="1"/>
        <v>135309.374</v>
      </c>
      <c r="E1320" s="4">
        <f t="shared" si="2"/>
        <v>0.03289697684</v>
      </c>
    </row>
    <row r="1321" ht="15.75" customHeight="1">
      <c r="B1321" s="3" t="s">
        <v>797</v>
      </c>
      <c r="C1321" s="2">
        <v>-1384.814</v>
      </c>
      <c r="D1321" s="2">
        <f t="shared" si="1"/>
        <v>133924.56</v>
      </c>
      <c r="E1321" s="4">
        <f t="shared" si="2"/>
        <v>-0.01028715951</v>
      </c>
    </row>
    <row r="1322" ht="15.75" customHeight="1">
      <c r="B1322" s="3" t="s">
        <v>798</v>
      </c>
      <c r="C1322" s="2">
        <v>-1705.488</v>
      </c>
      <c r="D1322" s="2">
        <f t="shared" si="1"/>
        <v>132219.072</v>
      </c>
      <c r="E1322" s="4">
        <f t="shared" si="2"/>
        <v>-0.01281647307</v>
      </c>
    </row>
    <row r="1323" ht="15.75" customHeight="1">
      <c r="B1323" s="3" t="s">
        <v>799</v>
      </c>
      <c r="C1323" s="2">
        <v>1856.731</v>
      </c>
      <c r="D1323" s="2">
        <f t="shared" si="1"/>
        <v>134075.803</v>
      </c>
      <c r="E1323" s="4">
        <f t="shared" si="2"/>
        <v>0.01394515076</v>
      </c>
    </row>
    <row r="1324" ht="15.75" customHeight="1">
      <c r="B1324" s="3">
        <v>44989.0</v>
      </c>
      <c r="C1324" s="2">
        <v>-2845.865</v>
      </c>
      <c r="D1324" s="2">
        <f t="shared" si="1"/>
        <v>131229.938</v>
      </c>
      <c r="E1324" s="4">
        <f t="shared" si="2"/>
        <v>-0.02145429758</v>
      </c>
    </row>
    <row r="1325" ht="15.75" customHeight="1">
      <c r="B1325" s="3">
        <v>45020.0</v>
      </c>
      <c r="C1325" s="2">
        <v>1068.571</v>
      </c>
      <c r="D1325" s="2">
        <f t="shared" si="1"/>
        <v>132298.509</v>
      </c>
      <c r="E1325" s="4">
        <f t="shared" si="2"/>
        <v>0.008109764761</v>
      </c>
    </row>
    <row r="1326" ht="15.75" customHeight="1">
      <c r="B1326" s="3">
        <v>45050.0</v>
      </c>
      <c r="C1326" s="2">
        <v>-1941.057</v>
      </c>
      <c r="D1326" s="2">
        <f t="shared" si="1"/>
        <v>130357.452</v>
      </c>
      <c r="E1326" s="4">
        <f t="shared" si="2"/>
        <v>-0.01478049331</v>
      </c>
    </row>
    <row r="1327" ht="15.75" customHeight="1">
      <c r="B1327" s="3">
        <v>45081.0</v>
      </c>
      <c r="C1327" s="2">
        <v>163.07</v>
      </c>
      <c r="D1327" s="2">
        <f t="shared" si="1"/>
        <v>130520.522</v>
      </c>
      <c r="E1327" s="4">
        <f t="shared" si="2"/>
        <v>0.001250163199</v>
      </c>
    </row>
    <row r="1328" ht="15.75" customHeight="1">
      <c r="B1328" s="3">
        <v>45203.0</v>
      </c>
      <c r="C1328" s="2">
        <v>-1104.879</v>
      </c>
      <c r="D1328" s="2">
        <f t="shared" si="1"/>
        <v>129415.643</v>
      </c>
      <c r="E1328" s="4">
        <f t="shared" si="2"/>
        <v>-0.008501207627</v>
      </c>
    </row>
    <row r="1329" ht="15.75" customHeight="1">
      <c r="B1329" s="3">
        <v>45234.0</v>
      </c>
      <c r="C1329" s="2">
        <v>266.26</v>
      </c>
      <c r="D1329" s="2">
        <f t="shared" si="1"/>
        <v>129681.903</v>
      </c>
      <c r="E1329" s="4">
        <f t="shared" si="2"/>
        <v>0.002055288426</v>
      </c>
    </row>
    <row r="1330" ht="15.75" customHeight="1">
      <c r="B1330" s="3">
        <v>45264.0</v>
      </c>
      <c r="C1330" s="2">
        <v>1966.14</v>
      </c>
      <c r="D1330" s="2">
        <f t="shared" si="1"/>
        <v>131648.043</v>
      </c>
      <c r="E1330" s="4">
        <f t="shared" si="2"/>
        <v>0.01504746876</v>
      </c>
    </row>
    <row r="1331" ht="15.75" customHeight="1">
      <c r="B1331" s="3" t="s">
        <v>800</v>
      </c>
      <c r="C1331" s="2">
        <v>2631.135</v>
      </c>
      <c r="D1331" s="2">
        <f t="shared" si="1"/>
        <v>134279.178</v>
      </c>
      <c r="E1331" s="4">
        <f t="shared" si="2"/>
        <v>0.0197890299</v>
      </c>
    </row>
    <row r="1332" ht="15.75" customHeight="1">
      <c r="B1332" s="3" t="s">
        <v>801</v>
      </c>
      <c r="C1332" s="2">
        <v>1694.928</v>
      </c>
      <c r="D1332" s="2">
        <f t="shared" si="1"/>
        <v>135974.106</v>
      </c>
      <c r="E1332" s="4">
        <f t="shared" si="2"/>
        <v>0.01254341999</v>
      </c>
    </row>
    <row r="1333" ht="15.75" customHeight="1">
      <c r="B1333" s="3" t="s">
        <v>802</v>
      </c>
      <c r="C1333" s="2">
        <v>-82.508</v>
      </c>
      <c r="D1333" s="2">
        <f t="shared" si="1"/>
        <v>135891.598</v>
      </c>
      <c r="E1333" s="4">
        <f t="shared" si="2"/>
        <v>-0.0006069761748</v>
      </c>
    </row>
    <row r="1334" ht="15.75" customHeight="1">
      <c r="B1334" s="3" t="s">
        <v>803</v>
      </c>
      <c r="C1334" s="2">
        <v>-972.688</v>
      </c>
      <c r="D1334" s="2">
        <f t="shared" si="1"/>
        <v>134918.91</v>
      </c>
      <c r="E1334" s="4">
        <f t="shared" si="2"/>
        <v>-0.007183563075</v>
      </c>
    </row>
    <row r="1335" ht="15.75" customHeight="1">
      <c r="B1335" s="3" t="s">
        <v>804</v>
      </c>
      <c r="C1335" s="2">
        <v>-932.091</v>
      </c>
      <c r="D1335" s="2">
        <f t="shared" si="1"/>
        <v>133986.819</v>
      </c>
      <c r="E1335" s="4">
        <f t="shared" si="2"/>
        <v>-0.006932501858</v>
      </c>
    </row>
    <row r="1336" ht="15.75" customHeight="1">
      <c r="B1336" s="3" t="s">
        <v>805</v>
      </c>
      <c r="C1336" s="2">
        <v>-787.029</v>
      </c>
      <c r="D1336" s="2">
        <f t="shared" si="1"/>
        <v>133199.79</v>
      </c>
      <c r="E1336" s="4">
        <f t="shared" si="2"/>
        <v>-0.005891247913</v>
      </c>
    </row>
    <row r="1337" ht="15.75" customHeight="1">
      <c r="B1337" s="3" t="s">
        <v>806</v>
      </c>
      <c r="C1337" s="2">
        <v>658.891</v>
      </c>
      <c r="D1337" s="2">
        <f t="shared" si="1"/>
        <v>133858.681</v>
      </c>
      <c r="E1337" s="4">
        <f t="shared" si="2"/>
        <v>0.004934442517</v>
      </c>
    </row>
    <row r="1338" ht="15.75" customHeight="1">
      <c r="B1338" s="3" t="s">
        <v>807</v>
      </c>
      <c r="C1338" s="2">
        <v>844.974</v>
      </c>
      <c r="D1338" s="2">
        <f t="shared" si="1"/>
        <v>134703.655</v>
      </c>
      <c r="E1338" s="4">
        <f t="shared" si="2"/>
        <v>0.006292593375</v>
      </c>
    </row>
    <row r="1339" ht="15.75" customHeight="1">
      <c r="B1339" s="3" t="s">
        <v>808</v>
      </c>
      <c r="C1339" s="2">
        <v>3135.244</v>
      </c>
      <c r="D1339" s="2">
        <f t="shared" si="1"/>
        <v>137838.899</v>
      </c>
      <c r="E1339" s="4">
        <f t="shared" si="2"/>
        <v>0.02300838725</v>
      </c>
    </row>
    <row r="1340" ht="15.75" customHeight="1">
      <c r="B1340" s="3" t="s">
        <v>809</v>
      </c>
      <c r="C1340" s="2">
        <v>1157.196</v>
      </c>
      <c r="D1340" s="2">
        <f t="shared" si="1"/>
        <v>138996.095</v>
      </c>
      <c r="E1340" s="4">
        <f t="shared" si="2"/>
        <v>0.008360234545</v>
      </c>
    </row>
    <row r="1341" ht="15.75" customHeight="1">
      <c r="B1341" s="3" t="s">
        <v>810</v>
      </c>
      <c r="C1341" s="2">
        <v>-1415.671</v>
      </c>
      <c r="D1341" s="2">
        <f t="shared" si="1"/>
        <v>137580.424</v>
      </c>
      <c r="E1341" s="4">
        <f t="shared" si="2"/>
        <v>-0.01023719127</v>
      </c>
    </row>
    <row r="1342" ht="15.75" customHeight="1">
      <c r="B1342" s="3" t="s">
        <v>811</v>
      </c>
      <c r="C1342" s="2">
        <v>-3897.086</v>
      </c>
      <c r="D1342" s="2">
        <f t="shared" si="1"/>
        <v>133683.338</v>
      </c>
      <c r="E1342" s="4">
        <f t="shared" si="2"/>
        <v>-0.02873479388</v>
      </c>
    </row>
    <row r="1343" ht="15.75" customHeight="1">
      <c r="B1343" s="3">
        <v>44931.0</v>
      </c>
      <c r="C1343" s="2">
        <v>-2702.897</v>
      </c>
      <c r="D1343" s="2">
        <f t="shared" si="1"/>
        <v>130980.441</v>
      </c>
      <c r="E1343" s="4">
        <f t="shared" si="2"/>
        <v>-0.02042584734</v>
      </c>
    </row>
    <row r="1344" ht="15.75" customHeight="1">
      <c r="B1344" s="3">
        <v>44962.0</v>
      </c>
      <c r="C1344" s="2">
        <v>2182.227</v>
      </c>
      <c r="D1344" s="2">
        <f t="shared" si="1"/>
        <v>133162.668</v>
      </c>
      <c r="E1344" s="4">
        <f t="shared" si="2"/>
        <v>0.01652344184</v>
      </c>
    </row>
    <row r="1345" ht="15.75" customHeight="1">
      <c r="B1345" s="3">
        <v>44990.0</v>
      </c>
      <c r="C1345" s="2">
        <v>-2239.161</v>
      </c>
      <c r="D1345" s="2">
        <f t="shared" si="1"/>
        <v>130923.507</v>
      </c>
      <c r="E1345" s="4">
        <f t="shared" si="2"/>
        <v>-0.01695821193</v>
      </c>
    </row>
    <row r="1346" ht="15.75" customHeight="1">
      <c r="B1346" s="3">
        <v>45021.0</v>
      </c>
      <c r="C1346" s="2">
        <v>367.194</v>
      </c>
      <c r="D1346" s="2">
        <f t="shared" si="1"/>
        <v>131290.701</v>
      </c>
      <c r="E1346" s="4">
        <f t="shared" si="2"/>
        <v>0.002800719632</v>
      </c>
    </row>
    <row r="1347" ht="15.75" customHeight="1">
      <c r="B1347" s="3">
        <v>45051.0</v>
      </c>
      <c r="C1347" s="2">
        <v>1701.398</v>
      </c>
      <c r="D1347" s="2">
        <f t="shared" si="1"/>
        <v>132992.099</v>
      </c>
      <c r="E1347" s="4">
        <f t="shared" si="2"/>
        <v>0.01287576419</v>
      </c>
    </row>
    <row r="1348" ht="15.75" customHeight="1">
      <c r="B1348" s="3">
        <v>45143.0</v>
      </c>
      <c r="C1348" s="2">
        <v>2929.385</v>
      </c>
      <c r="D1348" s="2">
        <f t="shared" si="1"/>
        <v>135921.484</v>
      </c>
      <c r="E1348" s="4">
        <f t="shared" si="2"/>
        <v>0.02178767505</v>
      </c>
    </row>
    <row r="1349" ht="15.75" customHeight="1">
      <c r="B1349" s="3">
        <v>45174.0</v>
      </c>
      <c r="C1349" s="2">
        <v>887.481</v>
      </c>
      <c r="D1349" s="2">
        <f t="shared" si="1"/>
        <v>136808.965</v>
      </c>
      <c r="E1349" s="4">
        <f t="shared" si="2"/>
        <v>0.006508141176</v>
      </c>
    </row>
    <row r="1350" ht="15.75" customHeight="1">
      <c r="B1350" s="3">
        <v>45204.0</v>
      </c>
      <c r="C1350" s="2">
        <v>-1479.32</v>
      </c>
      <c r="D1350" s="2">
        <f t="shared" si="1"/>
        <v>135329.645</v>
      </c>
      <c r="E1350" s="4">
        <f t="shared" si="2"/>
        <v>-0.0108719198</v>
      </c>
    </row>
    <row r="1351" ht="15.75" customHeight="1">
      <c r="B1351" s="3">
        <v>45235.0</v>
      </c>
      <c r="C1351" s="2">
        <v>2910.046</v>
      </c>
      <c r="D1351" s="2">
        <f t="shared" si="1"/>
        <v>138239.691</v>
      </c>
      <c r="E1351" s="4">
        <f t="shared" si="2"/>
        <v>0.02127545294</v>
      </c>
    </row>
    <row r="1352" ht="15.75" customHeight="1">
      <c r="B1352" s="3">
        <v>45265.0</v>
      </c>
      <c r="C1352" s="2">
        <v>-144.256</v>
      </c>
      <c r="D1352" s="2">
        <f t="shared" si="1"/>
        <v>138095.435</v>
      </c>
      <c r="E1352" s="4">
        <f t="shared" si="2"/>
        <v>-0.001044065698</v>
      </c>
    </row>
    <row r="1353" ht="15.75" customHeight="1">
      <c r="B1353" s="3" t="s">
        <v>812</v>
      </c>
      <c r="C1353" s="2">
        <v>-226.379</v>
      </c>
      <c r="D1353" s="2">
        <f t="shared" si="1"/>
        <v>137869.056</v>
      </c>
      <c r="E1353" s="4">
        <f t="shared" si="2"/>
        <v>-0.001640638982</v>
      </c>
    </row>
    <row r="1354" ht="15.75" customHeight="1">
      <c r="B1354" s="3" t="s">
        <v>813</v>
      </c>
      <c r="C1354" s="2">
        <v>578.016</v>
      </c>
      <c r="D1354" s="2">
        <f t="shared" si="1"/>
        <v>138447.072</v>
      </c>
      <c r="E1354" s="4">
        <f t="shared" si="2"/>
        <v>0.004183735834</v>
      </c>
    </row>
    <row r="1355" ht="15.75" customHeight="1">
      <c r="B1355" s="3" t="s">
        <v>814</v>
      </c>
      <c r="C1355" s="2">
        <v>-635.905</v>
      </c>
      <c r="D1355" s="2">
        <f t="shared" si="1"/>
        <v>137811.167</v>
      </c>
      <c r="E1355" s="4">
        <f t="shared" si="2"/>
        <v>-0.004603707932</v>
      </c>
    </row>
    <row r="1356" ht="15.75" customHeight="1">
      <c r="B1356" s="3" t="s">
        <v>815</v>
      </c>
      <c r="C1356" s="2">
        <v>-1681.611</v>
      </c>
      <c r="D1356" s="2">
        <f t="shared" si="1"/>
        <v>136129.556</v>
      </c>
      <c r="E1356" s="4">
        <f t="shared" si="2"/>
        <v>-0.0122773431</v>
      </c>
    </row>
    <row r="1357" ht="15.75" customHeight="1">
      <c r="B1357" s="3" t="s">
        <v>816</v>
      </c>
      <c r="C1357" s="2">
        <v>3688.964</v>
      </c>
      <c r="D1357" s="2">
        <f t="shared" si="1"/>
        <v>139818.52</v>
      </c>
      <c r="E1357" s="4">
        <f t="shared" si="2"/>
        <v>0.02673824606</v>
      </c>
    </row>
    <row r="1358" ht="15.75" customHeight="1">
      <c r="B1358" s="3" t="s">
        <v>817</v>
      </c>
      <c r="C1358" s="2">
        <v>2846.5</v>
      </c>
      <c r="D1358" s="2">
        <f t="shared" si="1"/>
        <v>142665.02</v>
      </c>
      <c r="E1358" s="4">
        <f t="shared" si="2"/>
        <v>0.0201540688</v>
      </c>
    </row>
    <row r="1359" ht="15.75" customHeight="1">
      <c r="B1359" s="3" t="s">
        <v>818</v>
      </c>
      <c r="C1359" s="2">
        <v>-1256.145</v>
      </c>
      <c r="D1359" s="2">
        <f t="shared" si="1"/>
        <v>141408.875</v>
      </c>
      <c r="E1359" s="4">
        <f t="shared" si="2"/>
        <v>-0.008843848093</v>
      </c>
    </row>
    <row r="1360" ht="15.75" customHeight="1">
      <c r="B1360" s="3" t="s">
        <v>819</v>
      </c>
      <c r="C1360" s="2">
        <v>-1428.419</v>
      </c>
      <c r="D1360" s="2">
        <f t="shared" si="1"/>
        <v>139980.456</v>
      </c>
      <c r="E1360" s="4">
        <f t="shared" si="2"/>
        <v>-0.01015270383</v>
      </c>
    </row>
    <row r="1361" ht="15.75" customHeight="1">
      <c r="B1361" s="3" t="s">
        <v>820</v>
      </c>
      <c r="C1361" s="2">
        <v>637.08</v>
      </c>
      <c r="D1361" s="2">
        <f t="shared" si="1"/>
        <v>140617.536</v>
      </c>
      <c r="E1361" s="4">
        <f t="shared" si="2"/>
        <v>0.004540881352</v>
      </c>
    </row>
    <row r="1362" ht="15.75" customHeight="1">
      <c r="B1362" s="3" t="s">
        <v>821</v>
      </c>
      <c r="C1362" s="2">
        <v>4332.814</v>
      </c>
      <c r="D1362" s="2">
        <f t="shared" si="1"/>
        <v>144950.35</v>
      </c>
      <c r="E1362" s="4">
        <f t="shared" si="2"/>
        <v>0.03034757577</v>
      </c>
    </row>
    <row r="1363" ht="15.75" customHeight="1">
      <c r="B1363" s="3" t="s">
        <v>822</v>
      </c>
      <c r="C1363" s="2">
        <v>378.042</v>
      </c>
      <c r="D1363" s="2">
        <f t="shared" si="1"/>
        <v>145328.392</v>
      </c>
      <c r="E1363" s="4">
        <f t="shared" si="2"/>
        <v>0.002604684112</v>
      </c>
    </row>
    <row r="1364" ht="15.75" customHeight="1">
      <c r="B1364" s="3" t="s">
        <v>823</v>
      </c>
      <c r="C1364" s="2">
        <v>-126.024</v>
      </c>
      <c r="D1364" s="2">
        <f t="shared" si="1"/>
        <v>145202.368</v>
      </c>
      <c r="E1364" s="4">
        <f t="shared" si="2"/>
        <v>-0.0008675433053</v>
      </c>
    </row>
    <row r="1365" ht="15.75" customHeight="1">
      <c r="B1365" s="3">
        <v>44932.0</v>
      </c>
      <c r="C1365" s="2">
        <v>4009.015</v>
      </c>
      <c r="D1365" s="2">
        <f t="shared" si="1"/>
        <v>149211.383</v>
      </c>
      <c r="E1365" s="4">
        <f t="shared" si="2"/>
        <v>0.02723556763</v>
      </c>
    </row>
    <row r="1366" ht="15.75" customHeight="1">
      <c r="B1366" s="3">
        <v>44963.0</v>
      </c>
      <c r="C1366" s="2">
        <v>-316.339</v>
      </c>
      <c r="D1366" s="2">
        <f t="shared" si="1"/>
        <v>148895.044</v>
      </c>
      <c r="E1366" s="4">
        <f t="shared" si="2"/>
        <v>-0.002122323372</v>
      </c>
    </row>
    <row r="1367" ht="15.75" customHeight="1">
      <c r="B1367" s="3">
        <v>45052.0</v>
      </c>
      <c r="C1367" s="2">
        <v>-2075.403</v>
      </c>
      <c r="D1367" s="2">
        <f t="shared" si="1"/>
        <v>146819.641</v>
      </c>
      <c r="E1367" s="4">
        <f t="shared" si="2"/>
        <v>-0.01403675354</v>
      </c>
    </row>
    <row r="1368" ht="15.75" customHeight="1">
      <c r="B1368" s="3">
        <v>45083.0</v>
      </c>
      <c r="C1368" s="2">
        <v>-2583.771</v>
      </c>
      <c r="D1368" s="2">
        <f t="shared" si="1"/>
        <v>144235.87</v>
      </c>
      <c r="E1368" s="4">
        <f t="shared" si="2"/>
        <v>-0.01775495586</v>
      </c>
    </row>
    <row r="1369" ht="15.75" customHeight="1">
      <c r="B1369" s="3">
        <v>45113.0</v>
      </c>
      <c r="C1369" s="2">
        <v>-256.849</v>
      </c>
      <c r="D1369" s="2">
        <f t="shared" si="1"/>
        <v>143979.021</v>
      </c>
      <c r="E1369" s="4">
        <f t="shared" si="2"/>
        <v>-0.001782344188</v>
      </c>
    </row>
    <row r="1370" ht="15.75" customHeight="1">
      <c r="B1370" s="3">
        <v>45144.0</v>
      </c>
      <c r="C1370" s="2">
        <v>4456.563</v>
      </c>
      <c r="D1370" s="2">
        <f t="shared" si="1"/>
        <v>148435.584</v>
      </c>
      <c r="E1370" s="4">
        <f t="shared" si="2"/>
        <v>0.03048348489</v>
      </c>
    </row>
    <row r="1371" ht="15.75" customHeight="1">
      <c r="B1371" s="3">
        <v>45175.0</v>
      </c>
      <c r="C1371" s="2">
        <v>-708.089</v>
      </c>
      <c r="D1371" s="2">
        <f t="shared" si="1"/>
        <v>147727.495</v>
      </c>
      <c r="E1371" s="4">
        <f t="shared" si="2"/>
        <v>-0.004781759776</v>
      </c>
    </row>
    <row r="1372" ht="15.75" customHeight="1">
      <c r="B1372" s="3">
        <v>45266.0</v>
      </c>
      <c r="C1372" s="2">
        <v>837.808</v>
      </c>
      <c r="D1372" s="2">
        <f t="shared" si="1"/>
        <v>148565.303</v>
      </c>
      <c r="E1372" s="4">
        <f t="shared" si="2"/>
        <v>0.005655285843</v>
      </c>
    </row>
    <row r="1373" ht="15.75" customHeight="1">
      <c r="B1373" s="3" t="s">
        <v>824</v>
      </c>
      <c r="C1373" s="2">
        <v>-2666.871</v>
      </c>
      <c r="D1373" s="2">
        <f t="shared" si="1"/>
        <v>145898.432</v>
      </c>
      <c r="E1373" s="4">
        <f t="shared" si="2"/>
        <v>-0.01811390404</v>
      </c>
    </row>
    <row r="1374" ht="15.75" customHeight="1">
      <c r="B1374" s="3" t="s">
        <v>825</v>
      </c>
      <c r="C1374" s="2">
        <v>261.99</v>
      </c>
      <c r="D1374" s="2">
        <f t="shared" si="1"/>
        <v>146160.422</v>
      </c>
      <c r="E1374" s="4">
        <f t="shared" si="2"/>
        <v>0.001794090928</v>
      </c>
    </row>
    <row r="1375" ht="15.75" customHeight="1">
      <c r="B1375" s="3" t="s">
        <v>826</v>
      </c>
      <c r="C1375" s="2">
        <v>-4808.181</v>
      </c>
      <c r="D1375" s="2">
        <f t="shared" si="1"/>
        <v>141352.241</v>
      </c>
      <c r="E1375" s="4">
        <f t="shared" si="2"/>
        <v>-0.03344986104</v>
      </c>
    </row>
    <row r="1376" ht="15.75" customHeight="1">
      <c r="B1376" s="3" t="s">
        <v>827</v>
      </c>
      <c r="C1376" s="2">
        <v>-1703.584</v>
      </c>
      <c r="D1376" s="2">
        <f t="shared" si="1"/>
        <v>139648.657</v>
      </c>
      <c r="E1376" s="4">
        <f t="shared" si="2"/>
        <v>-0.01212526283</v>
      </c>
    </row>
    <row r="1377" ht="15.75" customHeight="1">
      <c r="B1377" s="3" t="s">
        <v>828</v>
      </c>
      <c r="C1377" s="2">
        <v>0.0</v>
      </c>
      <c r="D1377" s="2">
        <f t="shared" si="1"/>
        <v>139648.657</v>
      </c>
      <c r="E1377" s="4">
        <f t="shared" si="2"/>
        <v>0</v>
      </c>
    </row>
    <row r="1378" ht="15.75" customHeight="1">
      <c r="B1378" s="3" t="s">
        <v>829</v>
      </c>
      <c r="C1378" s="2">
        <v>-702.776</v>
      </c>
      <c r="D1378" s="2">
        <f t="shared" si="1"/>
        <v>138945.881</v>
      </c>
      <c r="E1378" s="4">
        <f t="shared" si="2"/>
        <v>-0.005045163453</v>
      </c>
    </row>
    <row r="1379" ht="15.75" customHeight="1">
      <c r="B1379" s="3" t="s">
        <v>830</v>
      </c>
      <c r="C1379" s="2">
        <v>2732.229</v>
      </c>
      <c r="D1379" s="2">
        <f t="shared" si="1"/>
        <v>141678.11</v>
      </c>
      <c r="E1379" s="4">
        <f t="shared" si="2"/>
        <v>0.01947314147</v>
      </c>
    </row>
    <row r="1380" ht="15.75" customHeight="1">
      <c r="B1380" s="3" t="s">
        <v>831</v>
      </c>
      <c r="C1380" s="2">
        <v>3305.168</v>
      </c>
      <c r="D1380" s="2">
        <f t="shared" si="1"/>
        <v>144983.278</v>
      </c>
      <c r="E1380" s="4">
        <f t="shared" si="2"/>
        <v>0.02306075817</v>
      </c>
    </row>
    <row r="1381" ht="15.75" customHeight="1">
      <c r="B1381" s="3" t="s">
        <v>832</v>
      </c>
      <c r="C1381" s="2">
        <v>-4801.96</v>
      </c>
      <c r="D1381" s="2">
        <f t="shared" si="1"/>
        <v>140181.318</v>
      </c>
      <c r="E1381" s="4">
        <f t="shared" si="2"/>
        <v>-0.03368169841</v>
      </c>
    </row>
    <row r="1382" ht="15.75" customHeight="1">
      <c r="B1382" s="3" t="s">
        <v>833</v>
      </c>
      <c r="C1382" s="2">
        <v>4267.015</v>
      </c>
      <c r="D1382" s="2">
        <f t="shared" si="1"/>
        <v>144448.333</v>
      </c>
      <c r="E1382" s="4">
        <f t="shared" si="2"/>
        <v>0.0299851733</v>
      </c>
    </row>
    <row r="1383" ht="15.75" customHeight="1">
      <c r="B1383" s="3" t="s">
        <v>834</v>
      </c>
      <c r="C1383" s="2">
        <v>1358.477</v>
      </c>
      <c r="D1383" s="2">
        <f t="shared" si="1"/>
        <v>145806.81</v>
      </c>
      <c r="E1383" s="4">
        <f t="shared" si="2"/>
        <v>0.009360639782</v>
      </c>
    </row>
    <row r="1384" ht="15.75" customHeight="1">
      <c r="B1384" s="3" t="s">
        <v>835</v>
      </c>
      <c r="C1384" s="2">
        <v>850.593</v>
      </c>
      <c r="D1384" s="2">
        <f t="shared" si="1"/>
        <v>146657.403</v>
      </c>
      <c r="E1384" s="4">
        <f t="shared" si="2"/>
        <v>0.005816748583</v>
      </c>
    </row>
    <row r="1385" ht="15.75" customHeight="1">
      <c r="B1385" s="3" t="s">
        <v>836</v>
      </c>
      <c r="C1385" s="2">
        <v>654.071</v>
      </c>
      <c r="D1385" s="2">
        <f t="shared" si="1"/>
        <v>147311.474</v>
      </c>
      <c r="E1385" s="4">
        <f t="shared" si="2"/>
        <v>0.004449941001</v>
      </c>
    </row>
    <row r="1386" ht="15.75" customHeight="1">
      <c r="B1386" s="3" t="s">
        <v>837</v>
      </c>
      <c r="C1386" s="2">
        <v>2496.883</v>
      </c>
      <c r="D1386" s="2">
        <f t="shared" si="1"/>
        <v>149808.357</v>
      </c>
      <c r="E1386" s="4">
        <f t="shared" si="2"/>
        <v>0.01680764136</v>
      </c>
    </row>
    <row r="1387" ht="15.75" customHeight="1">
      <c r="B1387" s="3">
        <v>44992.0</v>
      </c>
      <c r="C1387" s="2">
        <v>776.014</v>
      </c>
      <c r="D1387" s="2">
        <f t="shared" si="1"/>
        <v>150584.371</v>
      </c>
      <c r="E1387" s="4">
        <f t="shared" si="2"/>
        <v>0.005166674516</v>
      </c>
    </row>
    <row r="1388" ht="15.75" customHeight="1">
      <c r="B1388" s="3">
        <v>45053.0</v>
      </c>
      <c r="C1388" s="2">
        <v>1154.332</v>
      </c>
      <c r="D1388" s="2">
        <f t="shared" si="1"/>
        <v>151738.703</v>
      </c>
      <c r="E1388" s="4">
        <f t="shared" si="2"/>
        <v>0.007636450598</v>
      </c>
    </row>
    <row r="1389" ht="15.75" customHeight="1">
      <c r="B1389" s="3">
        <v>45084.0</v>
      </c>
      <c r="C1389" s="2">
        <v>-5229.201</v>
      </c>
      <c r="D1389" s="2">
        <f t="shared" si="1"/>
        <v>146509.502</v>
      </c>
      <c r="E1389" s="4">
        <f t="shared" si="2"/>
        <v>-0.03506969594</v>
      </c>
    </row>
    <row r="1390" ht="15.75" customHeight="1">
      <c r="B1390" s="3">
        <v>45114.0</v>
      </c>
      <c r="C1390" s="2">
        <v>1494.896</v>
      </c>
      <c r="D1390" s="2">
        <f t="shared" si="1"/>
        <v>148004.398</v>
      </c>
      <c r="E1390" s="4">
        <f t="shared" si="2"/>
        <v>0.01015170312</v>
      </c>
    </row>
    <row r="1391" ht="15.75" customHeight="1">
      <c r="B1391" s="3">
        <v>45206.0</v>
      </c>
      <c r="C1391" s="2">
        <v>1666.25</v>
      </c>
      <c r="D1391" s="2">
        <f t="shared" si="1"/>
        <v>149670.648</v>
      </c>
      <c r="E1391" s="4">
        <f t="shared" si="2"/>
        <v>0.01119521052</v>
      </c>
    </row>
    <row r="1392" ht="15.75" customHeight="1">
      <c r="B1392" s="3">
        <v>45237.0</v>
      </c>
      <c r="C1392" s="2">
        <v>1846.078</v>
      </c>
      <c r="D1392" s="2">
        <f t="shared" si="1"/>
        <v>151516.726</v>
      </c>
      <c r="E1392" s="4">
        <f t="shared" si="2"/>
        <v>0.01225882144</v>
      </c>
    </row>
    <row r="1393" ht="15.75" customHeight="1">
      <c r="B1393" s="3">
        <v>45267.0</v>
      </c>
      <c r="C1393" s="2">
        <v>-2389.56</v>
      </c>
      <c r="D1393" s="2">
        <f t="shared" si="1"/>
        <v>149127.166</v>
      </c>
      <c r="E1393" s="4">
        <f t="shared" si="2"/>
        <v>-0.01589661646</v>
      </c>
    </row>
    <row r="1394" ht="15.75" customHeight="1">
      <c r="B1394" s="3" t="s">
        <v>838</v>
      </c>
      <c r="C1394" s="2">
        <v>3499.504</v>
      </c>
      <c r="D1394" s="2">
        <f t="shared" si="1"/>
        <v>152626.67</v>
      </c>
      <c r="E1394" s="4">
        <f t="shared" si="2"/>
        <v>0.02319546918</v>
      </c>
    </row>
    <row r="1395" ht="15.75" customHeight="1">
      <c r="B1395" s="3" t="s">
        <v>839</v>
      </c>
      <c r="C1395" s="2">
        <v>-2225.603</v>
      </c>
      <c r="D1395" s="2">
        <f t="shared" si="1"/>
        <v>150401.067</v>
      </c>
      <c r="E1395" s="4">
        <f t="shared" si="2"/>
        <v>-0.01468936832</v>
      </c>
    </row>
    <row r="1396" ht="15.75" customHeight="1">
      <c r="B1396" s="3" t="s">
        <v>840</v>
      </c>
      <c r="C1396" s="2">
        <v>-6198.496</v>
      </c>
      <c r="D1396" s="2">
        <f t="shared" si="1"/>
        <v>144202.571</v>
      </c>
      <c r="E1396" s="4">
        <f t="shared" si="2"/>
        <v>-0.04208645181</v>
      </c>
    </row>
    <row r="1397" ht="15.75" customHeight="1">
      <c r="B1397" s="3" t="s">
        <v>841</v>
      </c>
      <c r="C1397" s="2">
        <v>-811.616</v>
      </c>
      <c r="D1397" s="2">
        <f t="shared" si="1"/>
        <v>143390.955</v>
      </c>
      <c r="E1397" s="4">
        <f t="shared" si="2"/>
        <v>-0.005644203233</v>
      </c>
    </row>
    <row r="1398" ht="15.75" customHeight="1">
      <c r="B1398" s="3" t="s">
        <v>842</v>
      </c>
      <c r="C1398" s="2">
        <v>-158.937</v>
      </c>
      <c r="D1398" s="2">
        <f t="shared" si="1"/>
        <v>143232.018</v>
      </c>
      <c r="E1398" s="4">
        <f t="shared" si="2"/>
        <v>-0.001109031943</v>
      </c>
    </row>
    <row r="1399" ht="15.75" customHeight="1">
      <c r="B1399" s="3" t="s">
        <v>843</v>
      </c>
      <c r="C1399" s="2">
        <v>-728.288</v>
      </c>
      <c r="D1399" s="2">
        <f t="shared" si="1"/>
        <v>142503.73</v>
      </c>
      <c r="E1399" s="4">
        <f t="shared" si="2"/>
        <v>-0.005097644115</v>
      </c>
    </row>
    <row r="1400" ht="15.75" customHeight="1">
      <c r="B1400" s="3" t="s">
        <v>844</v>
      </c>
      <c r="C1400" s="2">
        <v>3707.634</v>
      </c>
      <c r="D1400" s="2">
        <f t="shared" si="1"/>
        <v>146211.364</v>
      </c>
      <c r="E1400" s="4">
        <f t="shared" si="2"/>
        <v>0.02568509863</v>
      </c>
    </row>
    <row r="1401" ht="15.75" customHeight="1">
      <c r="B1401" s="3" t="s">
        <v>845</v>
      </c>
      <c r="C1401" s="2">
        <v>180.917</v>
      </c>
      <c r="D1401" s="2">
        <f t="shared" si="1"/>
        <v>146392.281</v>
      </c>
      <c r="E1401" s="4">
        <f t="shared" si="2"/>
        <v>0.001236601294</v>
      </c>
    </row>
    <row r="1402" ht="15.75" customHeight="1">
      <c r="B1402" s="3" t="s">
        <v>846</v>
      </c>
      <c r="C1402" s="2">
        <v>-3519.451</v>
      </c>
      <c r="D1402" s="2">
        <f t="shared" si="1"/>
        <v>142872.83</v>
      </c>
      <c r="E1402" s="4">
        <f t="shared" si="2"/>
        <v>-0.02433494083</v>
      </c>
    </row>
    <row r="1403" ht="15.75" customHeight="1">
      <c r="B1403" s="3" t="s">
        <v>847</v>
      </c>
      <c r="C1403" s="2">
        <v>728.65</v>
      </c>
      <c r="D1403" s="2">
        <f t="shared" si="1"/>
        <v>143601.48</v>
      </c>
      <c r="E1403" s="4">
        <f t="shared" si="2"/>
        <v>0.00508702907</v>
      </c>
    </row>
    <row r="1404" ht="15.75" customHeight="1">
      <c r="B1404" s="3" t="s">
        <v>848</v>
      </c>
      <c r="C1404" s="2">
        <v>1411.564</v>
      </c>
      <c r="D1404" s="2">
        <f t="shared" si="1"/>
        <v>145013.044</v>
      </c>
      <c r="E1404" s="4">
        <f t="shared" si="2"/>
        <v>0.009781734028</v>
      </c>
    </row>
    <row r="1405" ht="15.75" customHeight="1">
      <c r="B1405" s="3" t="s">
        <v>849</v>
      </c>
      <c r="C1405" s="2">
        <v>1741.939</v>
      </c>
      <c r="D1405" s="2">
        <f t="shared" si="1"/>
        <v>146754.983</v>
      </c>
      <c r="E1405" s="4">
        <f t="shared" si="2"/>
        <v>0.01194071684</v>
      </c>
    </row>
    <row r="1406" ht="15.75" customHeight="1">
      <c r="B1406" s="3" t="s">
        <v>850</v>
      </c>
      <c r="C1406" s="2">
        <v>-936.763</v>
      </c>
      <c r="D1406" s="2">
        <f t="shared" si="1"/>
        <v>145818.22</v>
      </c>
      <c r="E1406" s="4">
        <f t="shared" si="2"/>
        <v>-0.006403636365</v>
      </c>
    </row>
    <row r="1407" ht="15.75" customHeight="1">
      <c r="B1407" s="3">
        <v>44934.0</v>
      </c>
      <c r="C1407" s="2">
        <v>1807.676</v>
      </c>
      <c r="D1407" s="2">
        <f t="shared" si="1"/>
        <v>147625.896</v>
      </c>
      <c r="E1407" s="4">
        <f t="shared" si="2"/>
        <v>0.01232056646</v>
      </c>
    </row>
    <row r="1408" ht="15.75" customHeight="1">
      <c r="B1408" s="3">
        <v>44965.0</v>
      </c>
      <c r="C1408" s="2">
        <v>-3195.022</v>
      </c>
      <c r="D1408" s="2">
        <f t="shared" si="1"/>
        <v>144430.874</v>
      </c>
      <c r="E1408" s="4">
        <f t="shared" si="2"/>
        <v>-0.02188033146</v>
      </c>
    </row>
    <row r="1409" ht="15.75" customHeight="1">
      <c r="B1409" s="3">
        <v>44993.0</v>
      </c>
      <c r="C1409" s="2">
        <v>-22.506</v>
      </c>
      <c r="D1409" s="2">
        <f t="shared" si="1"/>
        <v>144408.368</v>
      </c>
      <c r="E1409" s="4">
        <f t="shared" si="2"/>
        <v>-0.0001558375509</v>
      </c>
    </row>
    <row r="1410" ht="15.75" customHeight="1">
      <c r="B1410" s="3">
        <v>45024.0</v>
      </c>
      <c r="C1410" s="2">
        <v>-2940.964</v>
      </c>
      <c r="D1410" s="2">
        <f t="shared" si="1"/>
        <v>141467.404</v>
      </c>
      <c r="E1410" s="4">
        <f t="shared" si="2"/>
        <v>-0.0205758448</v>
      </c>
    </row>
    <row r="1411" ht="15.75" customHeight="1">
      <c r="B1411" s="3">
        <v>45115.0</v>
      </c>
      <c r="C1411" s="2">
        <v>-1429.303</v>
      </c>
      <c r="D1411" s="2">
        <f t="shared" si="1"/>
        <v>140038.101</v>
      </c>
      <c r="E1411" s="4">
        <f t="shared" si="2"/>
        <v>-0.01015479454</v>
      </c>
    </row>
    <row r="1412" ht="15.75" customHeight="1">
      <c r="B1412" s="3">
        <v>45146.0</v>
      </c>
      <c r="C1412" s="2">
        <v>-991.523</v>
      </c>
      <c r="D1412" s="2">
        <f t="shared" si="1"/>
        <v>139046.578</v>
      </c>
      <c r="E1412" s="4">
        <f t="shared" si="2"/>
        <v>-0.007105565059</v>
      </c>
    </row>
    <row r="1413" ht="15.75" customHeight="1">
      <c r="B1413" s="3">
        <v>45177.0</v>
      </c>
      <c r="C1413" s="2">
        <v>605.874</v>
      </c>
      <c r="D1413" s="2">
        <f t="shared" si="1"/>
        <v>139652.452</v>
      </c>
      <c r="E1413" s="4">
        <f t="shared" si="2"/>
        <v>0.004347879894</v>
      </c>
    </row>
    <row r="1414" ht="15.75" customHeight="1">
      <c r="B1414" s="3">
        <v>45207.0</v>
      </c>
      <c r="C1414" s="2">
        <v>4011.096</v>
      </c>
      <c r="D1414" s="2">
        <f t="shared" si="1"/>
        <v>143663.548</v>
      </c>
      <c r="E1414" s="4">
        <f t="shared" si="2"/>
        <v>0.02831724313</v>
      </c>
    </row>
    <row r="1415" ht="15.75" customHeight="1">
      <c r="B1415" s="3">
        <v>45238.0</v>
      </c>
      <c r="C1415" s="2">
        <v>178.337</v>
      </c>
      <c r="D1415" s="2">
        <f t="shared" si="1"/>
        <v>143841.885</v>
      </c>
      <c r="E1415" s="4">
        <f t="shared" si="2"/>
        <v>0.001240581933</v>
      </c>
    </row>
    <row r="1416" ht="15.75" customHeight="1">
      <c r="B1416" s="3" t="s">
        <v>851</v>
      </c>
      <c r="C1416" s="2">
        <v>-690.414</v>
      </c>
      <c r="D1416" s="2">
        <f t="shared" si="1"/>
        <v>143151.471</v>
      </c>
      <c r="E1416" s="4">
        <f t="shared" si="2"/>
        <v>-0.00481136805</v>
      </c>
    </row>
    <row r="1417" ht="15.75" customHeight="1">
      <c r="B1417" s="3" t="s">
        <v>852</v>
      </c>
      <c r="C1417" s="2">
        <v>-1164.833</v>
      </c>
      <c r="D1417" s="2">
        <f t="shared" si="1"/>
        <v>141986.638</v>
      </c>
      <c r="E1417" s="4">
        <f t="shared" si="2"/>
        <v>-0.008170352844</v>
      </c>
    </row>
    <row r="1418" ht="15.75" customHeight="1">
      <c r="B1418" s="3" t="s">
        <v>853</v>
      </c>
      <c r="C1418" s="2">
        <v>-819.388</v>
      </c>
      <c r="D1418" s="2">
        <f t="shared" si="1"/>
        <v>141167.25</v>
      </c>
      <c r="E1418" s="4">
        <f t="shared" si="2"/>
        <v>-0.005787596935</v>
      </c>
    </row>
    <row r="1419" ht="15.75" customHeight="1">
      <c r="B1419" s="3" t="s">
        <v>854</v>
      </c>
      <c r="C1419" s="2">
        <v>-2396.046</v>
      </c>
      <c r="D1419" s="2">
        <f t="shared" si="1"/>
        <v>138771.204</v>
      </c>
      <c r="E1419" s="4">
        <f t="shared" si="2"/>
        <v>-0.01711879507</v>
      </c>
    </row>
    <row r="1420" ht="15.75" customHeight="1">
      <c r="B1420" s="3" t="s">
        <v>855</v>
      </c>
      <c r="C1420" s="2">
        <v>65.451</v>
      </c>
      <c r="D1420" s="2">
        <f t="shared" si="1"/>
        <v>138836.655</v>
      </c>
      <c r="E1420" s="4">
        <f t="shared" si="2"/>
        <v>0.0004715356507</v>
      </c>
    </row>
    <row r="1421" ht="15.75" customHeight="1">
      <c r="B1421" s="3" t="s">
        <v>856</v>
      </c>
      <c r="C1421" s="2">
        <v>-2748.701</v>
      </c>
      <c r="D1421" s="2">
        <f t="shared" si="1"/>
        <v>136087.954</v>
      </c>
      <c r="E1421" s="4">
        <f t="shared" si="2"/>
        <v>-0.01999670093</v>
      </c>
    </row>
    <row r="1422" ht="15.75" customHeight="1">
      <c r="B1422" s="3" t="s">
        <v>857</v>
      </c>
      <c r="C1422" s="2">
        <v>-1405.773</v>
      </c>
      <c r="D1422" s="2">
        <f t="shared" si="1"/>
        <v>134682.181</v>
      </c>
      <c r="E1422" s="4">
        <f t="shared" si="2"/>
        <v>-0.01038360919</v>
      </c>
    </row>
    <row r="1423" ht="15.75" customHeight="1">
      <c r="B1423" s="3" t="s">
        <v>858</v>
      </c>
      <c r="C1423" s="2">
        <v>-394.281</v>
      </c>
      <c r="D1423" s="2">
        <f t="shared" si="1"/>
        <v>134287.9</v>
      </c>
      <c r="E1423" s="4">
        <f t="shared" si="2"/>
        <v>-0.002931785431</v>
      </c>
    </row>
    <row r="1424" ht="15.75" customHeight="1">
      <c r="B1424" s="3" t="s">
        <v>859</v>
      </c>
      <c r="C1424" s="2">
        <v>-1173.752</v>
      </c>
      <c r="D1424" s="2">
        <f t="shared" si="1"/>
        <v>133114.148</v>
      </c>
      <c r="E1424" s="4">
        <f t="shared" si="2"/>
        <v>-0.008778986902</v>
      </c>
    </row>
    <row r="1425" ht="15.75" customHeight="1">
      <c r="B1425" s="3" t="s">
        <v>860</v>
      </c>
      <c r="C1425" s="2">
        <v>830.28</v>
      </c>
      <c r="D1425" s="2">
        <f t="shared" si="1"/>
        <v>133944.428</v>
      </c>
      <c r="E1425" s="4">
        <f t="shared" si="2"/>
        <v>0.006217981744</v>
      </c>
    </row>
    <row r="1426" ht="15.75" customHeight="1">
      <c r="B1426" s="3" t="s">
        <v>861</v>
      </c>
      <c r="C1426" s="2">
        <v>2067.851</v>
      </c>
      <c r="D1426" s="2">
        <f t="shared" si="1"/>
        <v>136012.279</v>
      </c>
      <c r="E1426" s="4">
        <f t="shared" si="2"/>
        <v>0.01532017091</v>
      </c>
    </row>
    <row r="1427" ht="15.75" customHeight="1">
      <c r="B1427" s="3" t="s">
        <v>862</v>
      </c>
      <c r="C1427" s="2">
        <v>-1416.71</v>
      </c>
      <c r="D1427" s="2">
        <f t="shared" si="1"/>
        <v>134595.569</v>
      </c>
      <c r="E1427" s="4">
        <f t="shared" si="2"/>
        <v>-0.01047067152</v>
      </c>
    </row>
    <row r="1428" ht="15.75" customHeight="1">
      <c r="B1428" s="3" t="s">
        <v>863</v>
      </c>
      <c r="C1428" s="2">
        <v>-808.457</v>
      </c>
      <c r="D1428" s="2">
        <f t="shared" si="1"/>
        <v>133787.112</v>
      </c>
      <c r="E1428" s="4">
        <f t="shared" si="2"/>
        <v>-0.006024676722</v>
      </c>
    </row>
    <row r="1429" ht="15.75" customHeight="1">
      <c r="B1429" s="3" t="s">
        <v>864</v>
      </c>
      <c r="C1429" s="2">
        <v>-360.747</v>
      </c>
      <c r="D1429" s="2">
        <f t="shared" si="1"/>
        <v>133426.365</v>
      </c>
      <c r="E1429" s="4">
        <f t="shared" si="2"/>
        <v>-0.002700067551</v>
      </c>
    </row>
    <row r="1430" ht="15.75" customHeight="1">
      <c r="B1430" s="3">
        <v>44935.0</v>
      </c>
      <c r="C1430" s="2">
        <v>3017.137</v>
      </c>
      <c r="D1430" s="2">
        <f t="shared" si="1"/>
        <v>136443.502</v>
      </c>
      <c r="E1430" s="4">
        <f t="shared" si="2"/>
        <v>0.02236087155</v>
      </c>
    </row>
    <row r="1431" ht="15.75" customHeight="1">
      <c r="B1431" s="3">
        <v>45055.0</v>
      </c>
      <c r="C1431" s="2">
        <v>-1714.357</v>
      </c>
      <c r="D1431" s="2">
        <f t="shared" si="1"/>
        <v>134729.145</v>
      </c>
      <c r="E1431" s="4">
        <f t="shared" si="2"/>
        <v>-0.01264419446</v>
      </c>
    </row>
    <row r="1432" ht="15.75" customHeight="1">
      <c r="B1432" s="3">
        <v>45086.0</v>
      </c>
      <c r="C1432" s="2">
        <v>-943.484</v>
      </c>
      <c r="D1432" s="2">
        <f t="shared" si="1"/>
        <v>133785.661</v>
      </c>
      <c r="E1432" s="4">
        <f t="shared" si="2"/>
        <v>-0.007027455185</v>
      </c>
    </row>
    <row r="1433" ht="15.75" customHeight="1">
      <c r="B1433" s="3">
        <v>45116.0</v>
      </c>
      <c r="C1433" s="2">
        <v>1740.043</v>
      </c>
      <c r="D1433" s="2">
        <f t="shared" si="1"/>
        <v>135525.704</v>
      </c>
      <c r="E1433" s="4">
        <f t="shared" si="2"/>
        <v>0.01292234521</v>
      </c>
    </row>
    <row r="1434" ht="15.75" customHeight="1">
      <c r="B1434" s="3">
        <v>45147.0</v>
      </c>
      <c r="C1434" s="2">
        <v>2335.171</v>
      </c>
      <c r="D1434" s="2">
        <f t="shared" si="1"/>
        <v>137860.875</v>
      </c>
      <c r="E1434" s="4">
        <f t="shared" si="2"/>
        <v>0.01708370471</v>
      </c>
    </row>
    <row r="1435" ht="15.75" customHeight="1">
      <c r="B1435" s="3">
        <v>45239.0</v>
      </c>
      <c r="C1435" s="2">
        <v>2405.464</v>
      </c>
      <c r="D1435" s="2">
        <f t="shared" si="1"/>
        <v>140266.339</v>
      </c>
      <c r="E1435" s="4">
        <f t="shared" si="2"/>
        <v>0.01729801227</v>
      </c>
    </row>
    <row r="1436" ht="15.75" customHeight="1">
      <c r="B1436" s="3">
        <v>45269.0</v>
      </c>
      <c r="C1436" s="2">
        <v>-1233.213</v>
      </c>
      <c r="D1436" s="2">
        <f t="shared" si="1"/>
        <v>139033.126</v>
      </c>
      <c r="E1436" s="4">
        <f t="shared" si="2"/>
        <v>-0.008830815441</v>
      </c>
    </row>
    <row r="1437" ht="15.75" customHeight="1">
      <c r="B1437" s="3" t="s">
        <v>865</v>
      </c>
      <c r="C1437" s="2">
        <v>-1694.461</v>
      </c>
      <c r="D1437" s="2">
        <f t="shared" si="1"/>
        <v>137338.665</v>
      </c>
      <c r="E1437" s="4">
        <f t="shared" si="2"/>
        <v>-0.01226233854</v>
      </c>
    </row>
    <row r="1438" ht="15.75" customHeight="1">
      <c r="B1438" s="3" t="s">
        <v>866</v>
      </c>
      <c r="C1438" s="2">
        <v>-334.849</v>
      </c>
      <c r="D1438" s="2">
        <f t="shared" si="1"/>
        <v>137003.816</v>
      </c>
      <c r="E1438" s="4">
        <f t="shared" si="2"/>
        <v>-0.002441103289</v>
      </c>
    </row>
    <row r="1439" ht="15.75" customHeight="1">
      <c r="B1439" s="3" t="s">
        <v>867</v>
      </c>
      <c r="C1439" s="2">
        <v>-1531.16</v>
      </c>
      <c r="D1439" s="2">
        <f t="shared" si="1"/>
        <v>135472.656</v>
      </c>
      <c r="E1439" s="4">
        <f t="shared" si="2"/>
        <v>-0.01123896024</v>
      </c>
    </row>
    <row r="1440" ht="15.75" customHeight="1">
      <c r="B1440" s="3" t="s">
        <v>868</v>
      </c>
      <c r="C1440" s="2">
        <v>1196.95</v>
      </c>
      <c r="D1440" s="2">
        <f t="shared" si="1"/>
        <v>136669.606</v>
      </c>
      <c r="E1440" s="4">
        <f t="shared" si="2"/>
        <v>0.008796558899</v>
      </c>
    </row>
    <row r="1441" ht="15.75" customHeight="1">
      <c r="B1441" s="3" t="s">
        <v>869</v>
      </c>
      <c r="C1441" s="2">
        <v>2573.114</v>
      </c>
      <c r="D1441" s="2">
        <f t="shared" si="1"/>
        <v>139242.72</v>
      </c>
      <c r="E1441" s="4">
        <f t="shared" si="2"/>
        <v>0.01865221925</v>
      </c>
    </row>
    <row r="1442" ht="15.75" customHeight="1">
      <c r="B1442" s="3" t="s">
        <v>870</v>
      </c>
      <c r="C1442" s="2">
        <v>-1173.114</v>
      </c>
      <c r="D1442" s="2">
        <f t="shared" si="1"/>
        <v>138069.606</v>
      </c>
      <c r="E1442" s="4">
        <f t="shared" si="2"/>
        <v>-0.00846064807</v>
      </c>
    </row>
    <row r="1443" ht="15.75" customHeight="1">
      <c r="B1443" s="3" t="s">
        <v>871</v>
      </c>
      <c r="C1443" s="2">
        <v>-2192.766</v>
      </c>
      <c r="D1443" s="2">
        <f t="shared" si="1"/>
        <v>135876.84</v>
      </c>
      <c r="E1443" s="4">
        <f t="shared" si="2"/>
        <v>-0.01600906209</v>
      </c>
    </row>
    <row r="1444" ht="15.75" customHeight="1">
      <c r="B1444" s="3" t="s">
        <v>872</v>
      </c>
      <c r="C1444" s="2">
        <v>3515.702</v>
      </c>
      <c r="D1444" s="2">
        <f t="shared" si="1"/>
        <v>139392.542</v>
      </c>
      <c r="E1444" s="4">
        <f t="shared" si="2"/>
        <v>0.02554510897</v>
      </c>
    </row>
    <row r="1445" ht="15.75" customHeight="1">
      <c r="B1445" s="3" t="s">
        <v>873</v>
      </c>
      <c r="C1445" s="2">
        <v>7144.447</v>
      </c>
      <c r="D1445" s="2">
        <f t="shared" si="1"/>
        <v>146536.989</v>
      </c>
      <c r="E1445" s="4">
        <f t="shared" si="2"/>
        <v>0.04998388505</v>
      </c>
    </row>
    <row r="1446" ht="15.75" customHeight="1">
      <c r="B1446" s="3" t="s">
        <v>874</v>
      </c>
      <c r="C1446" s="2">
        <v>367.307</v>
      </c>
      <c r="D1446" s="2">
        <f t="shared" si="1"/>
        <v>146904.296</v>
      </c>
      <c r="E1446" s="4">
        <f t="shared" si="2"/>
        <v>0.002503445906</v>
      </c>
    </row>
    <row r="1447" ht="15.75" customHeight="1">
      <c r="B1447" s="3" t="s">
        <v>875</v>
      </c>
      <c r="C1447" s="2">
        <v>2107.634</v>
      </c>
      <c r="D1447" s="2">
        <f t="shared" si="1"/>
        <v>149011.93</v>
      </c>
      <c r="E1447" s="4">
        <f t="shared" si="2"/>
        <v>0.01424504272</v>
      </c>
    </row>
    <row r="1448" ht="15.75" customHeight="1">
      <c r="B1448" s="3" t="s">
        <v>876</v>
      </c>
      <c r="C1448" s="2">
        <v>-3449.71</v>
      </c>
      <c r="D1448" s="2">
        <f t="shared" si="1"/>
        <v>145562.22</v>
      </c>
      <c r="E1448" s="4">
        <f t="shared" si="2"/>
        <v>-0.02342274578</v>
      </c>
    </row>
    <row r="1449" ht="15.75" customHeight="1">
      <c r="B1449" s="3" t="s">
        <v>877</v>
      </c>
      <c r="C1449" s="2">
        <v>-2699.27</v>
      </c>
      <c r="D1449" s="2">
        <f t="shared" si="1"/>
        <v>142862.95</v>
      </c>
      <c r="E1449" s="4">
        <f t="shared" si="2"/>
        <v>-0.01871784497</v>
      </c>
    </row>
    <row r="1450" ht="15.75" customHeight="1">
      <c r="B1450" s="3">
        <v>44967.0</v>
      </c>
      <c r="C1450" s="2">
        <v>3012.508</v>
      </c>
      <c r="D1450" s="2">
        <f t="shared" si="1"/>
        <v>145875.458</v>
      </c>
      <c r="E1450" s="4">
        <f t="shared" si="2"/>
        <v>0.02086745118</v>
      </c>
    </row>
    <row r="1451" ht="15.75" customHeight="1">
      <c r="B1451" s="3">
        <v>44995.0</v>
      </c>
      <c r="C1451" s="2">
        <v>-1175.188</v>
      </c>
      <c r="D1451" s="2">
        <f t="shared" si="1"/>
        <v>144700.27</v>
      </c>
      <c r="E1451" s="4">
        <f t="shared" si="2"/>
        <v>-0.008088730711</v>
      </c>
    </row>
    <row r="1452" ht="15.75" customHeight="1">
      <c r="B1452" s="3">
        <v>45026.0</v>
      </c>
      <c r="C1452" s="2">
        <v>-2149.648</v>
      </c>
      <c r="D1452" s="2">
        <f t="shared" si="1"/>
        <v>142550.622</v>
      </c>
      <c r="E1452" s="4">
        <f t="shared" si="2"/>
        <v>-0.01496732083</v>
      </c>
    </row>
    <row r="1453" ht="15.75" customHeight="1">
      <c r="B1453" s="3">
        <v>45056.0</v>
      </c>
      <c r="C1453" s="2">
        <v>-2273.303</v>
      </c>
      <c r="D1453" s="2">
        <f t="shared" si="1"/>
        <v>140277.319</v>
      </c>
      <c r="E1453" s="4">
        <f t="shared" si="2"/>
        <v>-0.01607586542</v>
      </c>
    </row>
    <row r="1454" ht="15.75" customHeight="1">
      <c r="B1454" s="3">
        <v>45087.0</v>
      </c>
      <c r="C1454" s="2">
        <v>-2398.072</v>
      </c>
      <c r="D1454" s="2">
        <f t="shared" si="1"/>
        <v>137879.247</v>
      </c>
      <c r="E1454" s="4">
        <f t="shared" si="2"/>
        <v>-0.01724303295</v>
      </c>
    </row>
    <row r="1455" ht="15.75" customHeight="1">
      <c r="B1455" s="3">
        <v>45179.0</v>
      </c>
      <c r="C1455" s="2">
        <v>472.471</v>
      </c>
      <c r="D1455" s="2">
        <f t="shared" si="1"/>
        <v>138351.718</v>
      </c>
      <c r="E1455" s="4">
        <f t="shared" si="2"/>
        <v>0.003420843574</v>
      </c>
    </row>
    <row r="1456" ht="15.75" customHeight="1">
      <c r="B1456" s="3">
        <v>45209.0</v>
      </c>
      <c r="C1456" s="2">
        <v>-3825.17</v>
      </c>
      <c r="D1456" s="2">
        <f t="shared" si="1"/>
        <v>134526.548</v>
      </c>
      <c r="E1456" s="4">
        <f t="shared" si="2"/>
        <v>-0.02803756147</v>
      </c>
    </row>
    <row r="1457" ht="15.75" customHeight="1">
      <c r="B1457" s="3">
        <v>45240.0</v>
      </c>
      <c r="C1457" s="2">
        <v>2367.915</v>
      </c>
      <c r="D1457" s="2">
        <f t="shared" si="1"/>
        <v>136894.463</v>
      </c>
      <c r="E1457" s="4">
        <f t="shared" si="2"/>
        <v>0.01744872343</v>
      </c>
    </row>
    <row r="1458" ht="15.75" customHeight="1">
      <c r="B1458" s="3">
        <v>45270.0</v>
      </c>
      <c r="C1458" s="2">
        <v>-349.091</v>
      </c>
      <c r="D1458" s="2">
        <f t="shared" si="1"/>
        <v>136545.372</v>
      </c>
      <c r="E1458" s="4">
        <f t="shared" si="2"/>
        <v>-0.002553330898</v>
      </c>
    </row>
    <row r="1459" ht="15.75" customHeight="1">
      <c r="B1459" s="3" t="s">
        <v>878</v>
      </c>
      <c r="C1459" s="2">
        <v>-1040.849</v>
      </c>
      <c r="D1459" s="2">
        <f t="shared" si="1"/>
        <v>135504.523</v>
      </c>
      <c r="E1459" s="4">
        <f t="shared" si="2"/>
        <v>-0.007651935162</v>
      </c>
    </row>
    <row r="1460" ht="15.75" customHeight="1">
      <c r="B1460" s="3" t="s">
        <v>879</v>
      </c>
      <c r="C1460" s="2">
        <v>474.666</v>
      </c>
      <c r="D1460" s="2">
        <f t="shared" si="1"/>
        <v>135979.189</v>
      </c>
      <c r="E1460" s="4">
        <f t="shared" si="2"/>
        <v>0.003496832132</v>
      </c>
    </row>
    <row r="1461" ht="15.75" customHeight="1">
      <c r="B1461" s="3" t="s">
        <v>880</v>
      </c>
      <c r="C1461" s="2">
        <v>654.142</v>
      </c>
      <c r="D1461" s="2">
        <f t="shared" si="1"/>
        <v>136633.331</v>
      </c>
      <c r="E1461" s="4">
        <f t="shared" si="2"/>
        <v>0.004799069797</v>
      </c>
    </row>
    <row r="1462" ht="15.75" customHeight="1">
      <c r="B1462" s="3" t="s">
        <v>881</v>
      </c>
      <c r="C1462" s="2">
        <v>414.247</v>
      </c>
      <c r="D1462" s="2">
        <f t="shared" si="1"/>
        <v>137047.578</v>
      </c>
      <c r="E1462" s="4">
        <f t="shared" si="2"/>
        <v>0.003027228445</v>
      </c>
    </row>
    <row r="1463" ht="15.75" customHeight="1">
      <c r="B1463" s="3" t="s">
        <v>882</v>
      </c>
      <c r="C1463" s="2">
        <v>-150.574</v>
      </c>
      <c r="D1463" s="2">
        <f t="shared" si="1"/>
        <v>136897.004</v>
      </c>
      <c r="E1463" s="4">
        <f t="shared" si="2"/>
        <v>-0.001099302743</v>
      </c>
    </row>
    <row r="1464" ht="15.75" customHeight="1">
      <c r="B1464" s="3" t="s">
        <v>883</v>
      </c>
      <c r="C1464" s="2">
        <v>277.291</v>
      </c>
      <c r="D1464" s="2">
        <f t="shared" si="1"/>
        <v>137174.295</v>
      </c>
      <c r="E1464" s="4">
        <f t="shared" si="2"/>
        <v>0.002023496044</v>
      </c>
    </row>
    <row r="1465" ht="15.75" customHeight="1">
      <c r="B1465" s="3" t="s">
        <v>884</v>
      </c>
      <c r="C1465" s="2">
        <v>674.0</v>
      </c>
      <c r="D1465" s="2">
        <f t="shared" si="1"/>
        <v>137848.295</v>
      </c>
      <c r="E1465" s="4">
        <f t="shared" si="2"/>
        <v>0.004901425365</v>
      </c>
    </row>
    <row r="1466" ht="15.75" customHeight="1">
      <c r="B1466" s="3" t="s">
        <v>885</v>
      </c>
      <c r="C1466" s="2">
        <v>778.0</v>
      </c>
      <c r="D1466" s="2">
        <f t="shared" si="1"/>
        <v>138626.295</v>
      </c>
      <c r="E1466" s="4">
        <f t="shared" si="2"/>
        <v>0.005628018499</v>
      </c>
    </row>
    <row r="1467" ht="15.75" customHeight="1">
      <c r="B1467" s="3" t="s">
        <v>886</v>
      </c>
      <c r="C1467" s="2">
        <v>-1969.74</v>
      </c>
      <c r="D1467" s="2">
        <f t="shared" si="1"/>
        <v>136656.555</v>
      </c>
      <c r="E1467" s="4">
        <f t="shared" si="2"/>
        <v>-0.01431090689</v>
      </c>
    </row>
    <row r="1468" ht="15.75" customHeight="1">
      <c r="B1468" s="3" t="s">
        <v>887</v>
      </c>
      <c r="C1468" s="2">
        <v>1127.341</v>
      </c>
      <c r="D1468" s="2">
        <f t="shared" si="1"/>
        <v>137783.896</v>
      </c>
      <c r="E1468" s="4">
        <f t="shared" si="2"/>
        <v>0.00821560624</v>
      </c>
    </row>
    <row r="1469" ht="15.75" customHeight="1">
      <c r="B1469" s="3" t="s">
        <v>888</v>
      </c>
      <c r="C1469" s="2">
        <v>2021.76</v>
      </c>
      <c r="D1469" s="2">
        <f t="shared" si="1"/>
        <v>139805.656</v>
      </c>
      <c r="E1469" s="4">
        <f t="shared" si="2"/>
        <v>0.01456680005</v>
      </c>
    </row>
    <row r="1470" ht="15.75" customHeight="1">
      <c r="B1470" s="3" t="s">
        <v>889</v>
      </c>
      <c r="C1470" s="2">
        <v>-554.352</v>
      </c>
      <c r="D1470" s="2">
        <f t="shared" si="1"/>
        <v>139251.304</v>
      </c>
      <c r="E1470" s="4">
        <f t="shared" si="2"/>
        <v>-0.003973043562</v>
      </c>
    </row>
    <row r="1471" ht="15.75" customHeight="1">
      <c r="B1471" s="3" t="s">
        <v>890</v>
      </c>
      <c r="C1471" s="2">
        <v>4737.759</v>
      </c>
      <c r="D1471" s="2">
        <f t="shared" si="1"/>
        <v>143989.063</v>
      </c>
      <c r="E1471" s="4">
        <f t="shared" si="2"/>
        <v>0.03345710209</v>
      </c>
    </row>
    <row r="1472" ht="15.75" customHeight="1">
      <c r="B1472" s="3">
        <v>44937.0</v>
      </c>
      <c r="C1472" s="2">
        <v>41.831</v>
      </c>
      <c r="D1472" s="2">
        <f t="shared" si="1"/>
        <v>144030.894</v>
      </c>
      <c r="E1472" s="4">
        <f t="shared" si="2"/>
        <v>0.0002904729292</v>
      </c>
    </row>
    <row r="1473" ht="15.75" customHeight="1">
      <c r="B1473" s="3">
        <v>44968.0</v>
      </c>
      <c r="C1473" s="2">
        <v>-3825.415</v>
      </c>
      <c r="D1473" s="2">
        <f t="shared" si="1"/>
        <v>140205.479</v>
      </c>
      <c r="E1473" s="4">
        <f t="shared" si="2"/>
        <v>-0.02691876451</v>
      </c>
    </row>
    <row r="1474" ht="15.75" customHeight="1">
      <c r="B1474" s="3">
        <v>44996.0</v>
      </c>
      <c r="C1474" s="2">
        <v>-1765.808</v>
      </c>
      <c r="D1474" s="2">
        <f t="shared" si="1"/>
        <v>138439.671</v>
      </c>
      <c r="E1474" s="4">
        <f t="shared" si="2"/>
        <v>-0.01267441144</v>
      </c>
    </row>
    <row r="1475" ht="15.75" customHeight="1">
      <c r="B1475" s="3">
        <v>45088.0</v>
      </c>
      <c r="C1475" s="2">
        <v>2956.242</v>
      </c>
      <c r="D1475" s="2">
        <f t="shared" si="1"/>
        <v>141395.913</v>
      </c>
      <c r="E1475" s="4">
        <f t="shared" si="2"/>
        <v>0.02112920694</v>
      </c>
    </row>
    <row r="1476" ht="15.75" customHeight="1">
      <c r="B1476" s="3">
        <v>45118.0</v>
      </c>
      <c r="C1476" s="2">
        <v>1219.444</v>
      </c>
      <c r="D1476" s="2">
        <f t="shared" si="1"/>
        <v>142615.357</v>
      </c>
      <c r="E1476" s="4">
        <f t="shared" si="2"/>
        <v>0.008587345803</v>
      </c>
    </row>
    <row r="1477" ht="15.75" customHeight="1">
      <c r="B1477" s="3">
        <v>45149.0</v>
      </c>
      <c r="C1477" s="2">
        <v>109.19</v>
      </c>
      <c r="D1477" s="2">
        <f t="shared" si="1"/>
        <v>142724.547</v>
      </c>
      <c r="E1477" s="4">
        <f t="shared" si="2"/>
        <v>0.0007653328805</v>
      </c>
    </row>
    <row r="1478" ht="15.75" customHeight="1">
      <c r="B1478" s="3">
        <v>45180.0</v>
      </c>
      <c r="C1478" s="2">
        <v>-2054.922</v>
      </c>
      <c r="D1478" s="2">
        <f t="shared" si="1"/>
        <v>140669.625</v>
      </c>
      <c r="E1478" s="4">
        <f t="shared" si="2"/>
        <v>-0.01450247196</v>
      </c>
    </row>
    <row r="1479" ht="15.75" customHeight="1">
      <c r="B1479" s="3">
        <v>45210.0</v>
      </c>
      <c r="C1479" s="2">
        <v>2667.691</v>
      </c>
      <c r="D1479" s="2">
        <f t="shared" si="1"/>
        <v>143337.316</v>
      </c>
      <c r="E1479" s="4">
        <f t="shared" si="2"/>
        <v>0.01878664973</v>
      </c>
    </row>
    <row r="1480" ht="15.75" customHeight="1">
      <c r="B1480" s="3" t="s">
        <v>891</v>
      </c>
      <c r="C1480" s="2">
        <v>1828.486</v>
      </c>
      <c r="D1480" s="2">
        <f t="shared" si="1"/>
        <v>145165.802</v>
      </c>
      <c r="E1480" s="4">
        <f t="shared" si="2"/>
        <v>0.01267584555</v>
      </c>
    </row>
    <row r="1481" ht="15.75" customHeight="1">
      <c r="B1481" s="3" t="s">
        <v>892</v>
      </c>
      <c r="C1481" s="2">
        <v>-1276.748</v>
      </c>
      <c r="D1481" s="2">
        <f t="shared" si="1"/>
        <v>143889.054</v>
      </c>
      <c r="E1481" s="4">
        <f t="shared" si="2"/>
        <v>-0.008834006948</v>
      </c>
    </row>
    <row r="1482" ht="15.75" customHeight="1">
      <c r="B1482" s="3" t="s">
        <v>893</v>
      </c>
      <c r="C1482" s="2">
        <v>-246.803</v>
      </c>
      <c r="D1482" s="2">
        <f t="shared" si="1"/>
        <v>143642.251</v>
      </c>
      <c r="E1482" s="4">
        <f t="shared" si="2"/>
        <v>-0.00171670393</v>
      </c>
    </row>
    <row r="1483" ht="15.75" customHeight="1">
      <c r="B1483" s="3" t="s">
        <v>894</v>
      </c>
      <c r="C1483" s="2">
        <v>1753.167</v>
      </c>
      <c r="D1483" s="2">
        <f t="shared" si="1"/>
        <v>145395.418</v>
      </c>
      <c r="E1483" s="4">
        <f t="shared" si="2"/>
        <v>0.01213121118</v>
      </c>
    </row>
    <row r="1484" ht="15.75" customHeight="1">
      <c r="B1484" s="3" t="s">
        <v>895</v>
      </c>
      <c r="C1484" s="2">
        <v>3691.395</v>
      </c>
      <c r="D1484" s="2">
        <f t="shared" si="1"/>
        <v>149086.813</v>
      </c>
      <c r="E1484" s="4">
        <f t="shared" si="2"/>
        <v>0.02507172233</v>
      </c>
    </row>
    <row r="1485" ht="15.75" customHeight="1">
      <c r="B1485" s="3" t="s">
        <v>896</v>
      </c>
      <c r="C1485" s="2">
        <v>-4530.065</v>
      </c>
      <c r="D1485" s="2">
        <f t="shared" si="1"/>
        <v>144556.748</v>
      </c>
      <c r="E1485" s="4">
        <f t="shared" si="2"/>
        <v>-0.03085662368</v>
      </c>
    </row>
    <row r="1486" ht="15.75" customHeight="1">
      <c r="B1486" s="3" t="s">
        <v>897</v>
      </c>
      <c r="C1486" s="2">
        <v>-181.649</v>
      </c>
      <c r="D1486" s="2">
        <f t="shared" si="1"/>
        <v>144375.099</v>
      </c>
      <c r="E1486" s="4">
        <f t="shared" si="2"/>
        <v>-0.001257383191</v>
      </c>
    </row>
    <row r="1487" ht="15.75" customHeight="1">
      <c r="B1487" s="3" t="s">
        <v>898</v>
      </c>
      <c r="C1487" s="2">
        <v>815.789</v>
      </c>
      <c r="D1487" s="2">
        <f t="shared" si="1"/>
        <v>145190.888</v>
      </c>
      <c r="E1487" s="4">
        <f t="shared" si="2"/>
        <v>0.00563457861</v>
      </c>
    </row>
    <row r="1488" ht="15.75" customHeight="1">
      <c r="B1488" s="3" t="s">
        <v>899</v>
      </c>
      <c r="C1488" s="2">
        <v>-250.29</v>
      </c>
      <c r="D1488" s="2">
        <f t="shared" si="1"/>
        <v>144940.598</v>
      </c>
      <c r="E1488" s="4">
        <f t="shared" si="2"/>
        <v>-0.001725356083</v>
      </c>
    </row>
    <row r="1489" ht="15.75" customHeight="1">
      <c r="B1489" s="3" t="s">
        <v>900</v>
      </c>
      <c r="C1489" s="2">
        <v>-1457.126</v>
      </c>
      <c r="D1489" s="2">
        <f t="shared" si="1"/>
        <v>143483.472</v>
      </c>
      <c r="E1489" s="4">
        <f t="shared" si="2"/>
        <v>-0.01010413865</v>
      </c>
    </row>
    <row r="1490" ht="15.75" customHeight="1">
      <c r="B1490" s="3" t="s">
        <v>901</v>
      </c>
      <c r="C1490" s="2">
        <v>2272.355</v>
      </c>
      <c r="D1490" s="2">
        <f t="shared" si="1"/>
        <v>145755.827</v>
      </c>
      <c r="E1490" s="4">
        <f t="shared" si="2"/>
        <v>0.01571295298</v>
      </c>
    </row>
    <row r="1491" ht="15.75" customHeight="1">
      <c r="B1491" s="3" t="s">
        <v>902</v>
      </c>
      <c r="C1491" s="2">
        <v>3116.174</v>
      </c>
      <c r="D1491" s="2">
        <f t="shared" si="1"/>
        <v>148872.001</v>
      </c>
      <c r="E1491" s="4">
        <f t="shared" si="2"/>
        <v>0.02115407921</v>
      </c>
    </row>
    <row r="1492" ht="15.75" customHeight="1">
      <c r="B1492" s="3" t="s">
        <v>903</v>
      </c>
      <c r="C1492" s="2">
        <v>2000.081</v>
      </c>
      <c r="D1492" s="2">
        <f t="shared" si="1"/>
        <v>150872.082</v>
      </c>
      <c r="E1492" s="4">
        <f t="shared" si="2"/>
        <v>0.01334545566</v>
      </c>
    </row>
    <row r="1493" ht="15.75" customHeight="1">
      <c r="B1493" s="3">
        <v>44938.0</v>
      </c>
      <c r="C1493" s="2">
        <v>-616.157</v>
      </c>
      <c r="D1493" s="2">
        <f t="shared" si="1"/>
        <v>150255.925</v>
      </c>
      <c r="E1493" s="4">
        <f t="shared" si="2"/>
        <v>-0.004092331803</v>
      </c>
    </row>
    <row r="1494" ht="15.75" customHeight="1">
      <c r="B1494" s="3">
        <v>45028.0</v>
      </c>
      <c r="C1494" s="2">
        <v>2984.283</v>
      </c>
      <c r="D1494" s="2">
        <f t="shared" si="1"/>
        <v>153240.208</v>
      </c>
      <c r="E1494" s="4">
        <f t="shared" si="2"/>
        <v>0.01966667027</v>
      </c>
    </row>
    <row r="1495" ht="15.75" customHeight="1">
      <c r="B1495" s="3">
        <v>45058.0</v>
      </c>
      <c r="C1495" s="2">
        <v>-1758.083</v>
      </c>
      <c r="D1495" s="2">
        <f t="shared" si="1"/>
        <v>151482.125</v>
      </c>
      <c r="E1495" s="4">
        <f t="shared" si="2"/>
        <v>-0.01153904599</v>
      </c>
    </row>
    <row r="1496" ht="15.75" customHeight="1">
      <c r="B1496" s="3">
        <v>45089.0</v>
      </c>
      <c r="C1496" s="2">
        <v>4244.561</v>
      </c>
      <c r="D1496" s="2">
        <f t="shared" si="1"/>
        <v>155726.686</v>
      </c>
      <c r="E1496" s="4">
        <f t="shared" si="2"/>
        <v>0.02763482667</v>
      </c>
    </row>
    <row r="1497" ht="15.75" customHeight="1">
      <c r="B1497" s="3">
        <v>45119.0</v>
      </c>
      <c r="C1497" s="2">
        <v>2500.507</v>
      </c>
      <c r="D1497" s="2">
        <f t="shared" si="1"/>
        <v>158227.193</v>
      </c>
      <c r="E1497" s="4">
        <f t="shared" si="2"/>
        <v>0.01592947272</v>
      </c>
    </row>
    <row r="1498" ht="15.75" customHeight="1">
      <c r="B1498" s="3">
        <v>45150.0</v>
      </c>
      <c r="C1498" s="2">
        <v>-3231.161</v>
      </c>
      <c r="D1498" s="2">
        <f t="shared" si="1"/>
        <v>154996.032</v>
      </c>
      <c r="E1498" s="4">
        <f t="shared" si="2"/>
        <v>-0.02063241398</v>
      </c>
    </row>
    <row r="1499" ht="15.75" customHeight="1">
      <c r="B1499" s="3">
        <v>45242.0</v>
      </c>
      <c r="C1499" s="2">
        <v>598.26</v>
      </c>
      <c r="D1499" s="2">
        <f t="shared" si="1"/>
        <v>155594.292</v>
      </c>
      <c r="E1499" s="4">
        <f t="shared" si="2"/>
        <v>0.003852410675</v>
      </c>
    </row>
    <row r="1500" ht="15.75" customHeight="1">
      <c r="B1500" s="3">
        <v>45272.0</v>
      </c>
      <c r="C1500" s="2">
        <v>-1640.103</v>
      </c>
      <c r="D1500" s="2">
        <f t="shared" si="1"/>
        <v>153954.189</v>
      </c>
      <c r="E1500" s="4">
        <f t="shared" si="2"/>
        <v>-0.01059684313</v>
      </c>
    </row>
    <row r="1501" ht="15.75" customHeight="1">
      <c r="B1501" s="3" t="s">
        <v>904</v>
      </c>
      <c r="C1501" s="2">
        <v>-2715.196</v>
      </c>
      <c r="D1501" s="2">
        <f t="shared" si="1"/>
        <v>151238.993</v>
      </c>
      <c r="E1501" s="4">
        <f t="shared" si="2"/>
        <v>-0.01779376342</v>
      </c>
    </row>
    <row r="1502" ht="15.75" customHeight="1">
      <c r="B1502" s="3" t="s">
        <v>905</v>
      </c>
      <c r="C1502" s="2">
        <v>4963.335</v>
      </c>
      <c r="D1502" s="2">
        <f t="shared" si="1"/>
        <v>156202.328</v>
      </c>
      <c r="E1502" s="4">
        <f t="shared" si="2"/>
        <v>0.03229082055</v>
      </c>
    </row>
    <row r="1503" ht="15.75" customHeight="1">
      <c r="B1503" s="3" t="s">
        <v>906</v>
      </c>
      <c r="C1503" s="2">
        <v>2736.482</v>
      </c>
      <c r="D1503" s="2">
        <f t="shared" si="1"/>
        <v>158938.81</v>
      </c>
      <c r="E1503" s="4">
        <f t="shared" si="2"/>
        <v>0.01736714412</v>
      </c>
    </row>
    <row r="1504" ht="15.75" customHeight="1">
      <c r="B1504" s="3" t="s">
        <v>907</v>
      </c>
      <c r="C1504" s="2">
        <v>20839.557</v>
      </c>
      <c r="D1504" s="2">
        <f t="shared" si="1"/>
        <v>179778.367</v>
      </c>
      <c r="E1504" s="4">
        <f t="shared" si="2"/>
        <v>0.1232055124</v>
      </c>
    </row>
    <row r="1505" ht="15.75" customHeight="1">
      <c r="B1505" s="3" t="s">
        <v>908</v>
      </c>
      <c r="C1505" s="2">
        <v>10219.261</v>
      </c>
      <c r="D1505" s="2">
        <f t="shared" si="1"/>
        <v>189997.628</v>
      </c>
      <c r="E1505" s="4">
        <f t="shared" si="2"/>
        <v>0.05528679009</v>
      </c>
    </row>
    <row r="1506" ht="15.75" customHeight="1">
      <c r="B1506" s="3" t="s">
        <v>909</v>
      </c>
      <c r="C1506" s="2">
        <v>664.761</v>
      </c>
      <c r="D1506" s="2">
        <f t="shared" si="1"/>
        <v>190662.389</v>
      </c>
      <c r="E1506" s="4">
        <f t="shared" si="2"/>
        <v>0.003492679273</v>
      </c>
    </row>
    <row r="1507" ht="15.75" customHeight="1">
      <c r="B1507" s="3" t="s">
        <v>910</v>
      </c>
      <c r="C1507" s="2">
        <v>1216.561</v>
      </c>
      <c r="D1507" s="2">
        <f t="shared" si="1"/>
        <v>191878.95</v>
      </c>
      <c r="E1507" s="4">
        <f t="shared" si="2"/>
        <v>0.006360437303</v>
      </c>
    </row>
    <row r="1508" ht="15.75" customHeight="1">
      <c r="B1508" s="3" t="s">
        <v>911</v>
      </c>
      <c r="C1508" s="2">
        <v>898.186</v>
      </c>
      <c r="D1508" s="2">
        <f t="shared" si="1"/>
        <v>192777.136</v>
      </c>
      <c r="E1508" s="4">
        <f t="shared" si="2"/>
        <v>0.004670081484</v>
      </c>
    </row>
    <row r="1509" ht="15.75" customHeight="1">
      <c r="B1509" s="3" t="s">
        <v>912</v>
      </c>
      <c r="C1509" s="2">
        <v>-5445.375</v>
      </c>
      <c r="D1509" s="2">
        <f t="shared" si="1"/>
        <v>187331.761</v>
      </c>
      <c r="E1509" s="4">
        <f t="shared" si="2"/>
        <v>-0.02865361798</v>
      </c>
    </row>
    <row r="1510" ht="15.75" customHeight="1">
      <c r="B1510" s="3" t="s">
        <v>913</v>
      </c>
      <c r="C1510" s="2">
        <v>1069.912</v>
      </c>
      <c r="D1510" s="2">
        <f t="shared" si="1"/>
        <v>188401.673</v>
      </c>
      <c r="E1510" s="4">
        <f t="shared" si="2"/>
        <v>0.005695074193</v>
      </c>
    </row>
    <row r="1511" ht="15.75" customHeight="1">
      <c r="B1511" s="3" t="s">
        <v>914</v>
      </c>
      <c r="C1511" s="2">
        <v>738.163</v>
      </c>
      <c r="D1511" s="2">
        <f t="shared" si="1"/>
        <v>189139.836</v>
      </c>
      <c r="E1511" s="4">
        <f t="shared" si="2"/>
        <v>0.003910372359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29"/>
    <col customWidth="1" min="3" max="3" width="15.86"/>
    <col customWidth="1" min="4" max="26" width="9.14"/>
  </cols>
  <sheetData>
    <row r="1">
      <c r="B1" s="2" t="s">
        <v>0</v>
      </c>
      <c r="C1" s="2">
        <v>89826.39</v>
      </c>
      <c r="D1" s="2">
        <v>89826.39</v>
      </c>
    </row>
    <row r="2">
      <c r="B2" s="3">
        <v>43132.0</v>
      </c>
      <c r="C2" s="2">
        <v>-40.276</v>
      </c>
      <c r="D2" s="2">
        <f>C1+C2</f>
        <v>89786.114</v>
      </c>
      <c r="E2" s="5">
        <f t="shared" ref="E2:E1510" si="1">LN(D2/D1)</f>
        <v>-0.0004484765791</v>
      </c>
    </row>
    <row r="3">
      <c r="B3" s="3">
        <v>43160.0</v>
      </c>
      <c r="C3" s="2">
        <v>703.932</v>
      </c>
      <c r="D3" s="2">
        <f t="shared" ref="D3:D1510" si="2">D2+C3</f>
        <v>90490.046</v>
      </c>
      <c r="E3" s="5">
        <f t="shared" si="1"/>
        <v>0.007809524872</v>
      </c>
    </row>
    <row r="4">
      <c r="B4" s="3">
        <v>43191.0</v>
      </c>
      <c r="C4" s="2">
        <v>395.089</v>
      </c>
      <c r="D4" s="2">
        <f t="shared" si="2"/>
        <v>90885.135</v>
      </c>
      <c r="E4" s="5">
        <f t="shared" si="1"/>
        <v>0.004356600751</v>
      </c>
    </row>
    <row r="5">
      <c r="B5" s="3">
        <v>43221.0</v>
      </c>
      <c r="C5" s="2">
        <v>-68.407</v>
      </c>
      <c r="D5" s="2">
        <f t="shared" si="2"/>
        <v>90816.728</v>
      </c>
      <c r="E5" s="5">
        <f t="shared" si="1"/>
        <v>-0.0007529587435</v>
      </c>
    </row>
    <row r="6">
      <c r="B6" s="3">
        <v>43313.0</v>
      </c>
      <c r="C6" s="2">
        <v>-13.778</v>
      </c>
      <c r="D6" s="2">
        <f t="shared" si="2"/>
        <v>90802.95</v>
      </c>
      <c r="E6" s="5">
        <f t="shared" si="1"/>
        <v>-0.0001517236478</v>
      </c>
    </row>
    <row r="7">
      <c r="B7" s="3">
        <v>43344.0</v>
      </c>
      <c r="C7" s="2">
        <v>0.0</v>
      </c>
      <c r="D7" s="2">
        <f t="shared" si="2"/>
        <v>90802.95</v>
      </c>
      <c r="E7" s="5">
        <f t="shared" si="1"/>
        <v>0</v>
      </c>
    </row>
    <row r="8">
      <c r="B8" s="3">
        <v>43374.0</v>
      </c>
      <c r="C8" s="2">
        <v>2266.947</v>
      </c>
      <c r="D8" s="2">
        <f t="shared" si="2"/>
        <v>93069.897</v>
      </c>
      <c r="E8" s="5">
        <f t="shared" si="1"/>
        <v>0.02465901744</v>
      </c>
    </row>
    <row r="9">
      <c r="B9" s="3">
        <v>43405.0</v>
      </c>
      <c r="C9" s="2">
        <v>179.498</v>
      </c>
      <c r="D9" s="2">
        <f t="shared" si="2"/>
        <v>93249.395</v>
      </c>
      <c r="E9" s="5">
        <f t="shared" si="1"/>
        <v>0.001926779064</v>
      </c>
    </row>
    <row r="10">
      <c r="B10" s="3">
        <v>43435.0</v>
      </c>
      <c r="C10" s="2">
        <v>13.906</v>
      </c>
      <c r="D10" s="2">
        <f t="shared" si="2"/>
        <v>93263.301</v>
      </c>
      <c r="E10" s="5">
        <f t="shared" si="1"/>
        <v>0.0001491158546</v>
      </c>
    </row>
    <row r="11">
      <c r="B11" s="3" t="s">
        <v>1</v>
      </c>
      <c r="C11" s="2">
        <v>97.998</v>
      </c>
      <c r="D11" s="2">
        <f t="shared" si="2"/>
        <v>93361.299</v>
      </c>
      <c r="E11" s="5">
        <f t="shared" si="1"/>
        <v>0.001050215341</v>
      </c>
    </row>
    <row r="12">
      <c r="B12" s="3" t="s">
        <v>2</v>
      </c>
      <c r="C12" s="2">
        <v>-41.852</v>
      </c>
      <c r="D12" s="2">
        <f t="shared" si="2"/>
        <v>93319.447</v>
      </c>
      <c r="E12" s="5">
        <f t="shared" si="1"/>
        <v>-0.0004483804741</v>
      </c>
    </row>
    <row r="13">
      <c r="B13" s="3" t="s">
        <v>3</v>
      </c>
      <c r="C13" s="2">
        <v>42.245</v>
      </c>
      <c r="D13" s="2">
        <f t="shared" si="2"/>
        <v>93361.692</v>
      </c>
      <c r="E13" s="5">
        <f t="shared" si="1"/>
        <v>0.0004525899183</v>
      </c>
    </row>
    <row r="14">
      <c r="B14" s="3" t="s">
        <v>4</v>
      </c>
      <c r="C14" s="2">
        <v>-112.482</v>
      </c>
      <c r="D14" s="2">
        <f t="shared" si="2"/>
        <v>93249.21</v>
      </c>
      <c r="E14" s="5">
        <f t="shared" si="1"/>
        <v>-0.001205524569</v>
      </c>
    </row>
    <row r="15">
      <c r="B15" s="3" t="s">
        <v>5</v>
      </c>
      <c r="C15" s="2">
        <v>-84.734</v>
      </c>
      <c r="D15" s="2">
        <f t="shared" si="2"/>
        <v>93164.476</v>
      </c>
      <c r="E15" s="5">
        <f t="shared" si="1"/>
        <v>-0.0009090964044</v>
      </c>
    </row>
    <row r="16">
      <c r="B16" s="3" t="s">
        <v>6</v>
      </c>
      <c r="C16" s="2">
        <v>0.0</v>
      </c>
      <c r="D16" s="2">
        <f t="shared" si="2"/>
        <v>93164.476</v>
      </c>
      <c r="E16" s="5">
        <f t="shared" si="1"/>
        <v>0</v>
      </c>
    </row>
    <row r="17">
      <c r="B17" s="3" t="s">
        <v>7</v>
      </c>
      <c r="C17" s="2">
        <v>28.536</v>
      </c>
      <c r="D17" s="2">
        <f t="shared" si="2"/>
        <v>93193.012</v>
      </c>
      <c r="E17" s="5">
        <f t="shared" si="1"/>
        <v>0.000306250106</v>
      </c>
    </row>
    <row r="18">
      <c r="B18" s="3" t="s">
        <v>8</v>
      </c>
      <c r="C18" s="2">
        <v>228.159</v>
      </c>
      <c r="D18" s="2">
        <f t="shared" si="2"/>
        <v>93421.171</v>
      </c>
      <c r="E18" s="5">
        <f t="shared" si="1"/>
        <v>0.002445249445</v>
      </c>
    </row>
    <row r="19">
      <c r="B19" s="3" t="s">
        <v>9</v>
      </c>
      <c r="C19" s="2">
        <v>-28.537</v>
      </c>
      <c r="D19" s="2">
        <f t="shared" si="2"/>
        <v>93392.634</v>
      </c>
      <c r="E19" s="5">
        <f t="shared" si="1"/>
        <v>-0.0003055127561</v>
      </c>
    </row>
    <row r="20">
      <c r="B20" s="3" t="s">
        <v>10</v>
      </c>
      <c r="C20" s="2">
        <v>2194.529</v>
      </c>
      <c r="D20" s="2">
        <f t="shared" si="2"/>
        <v>95587.163</v>
      </c>
      <c r="E20" s="5">
        <f t="shared" si="1"/>
        <v>0.02322605577</v>
      </c>
    </row>
    <row r="21" ht="15.75" customHeight="1">
      <c r="B21" s="3" t="s">
        <v>11</v>
      </c>
      <c r="C21" s="2">
        <v>387.215</v>
      </c>
      <c r="D21" s="2">
        <f t="shared" si="2"/>
        <v>95974.378</v>
      </c>
      <c r="E21" s="5">
        <f t="shared" si="1"/>
        <v>0.004042727213</v>
      </c>
    </row>
    <row r="22" ht="15.75" customHeight="1">
      <c r="B22" s="3" t="s">
        <v>12</v>
      </c>
      <c r="C22" s="2">
        <v>226.976</v>
      </c>
      <c r="D22" s="2">
        <f t="shared" si="2"/>
        <v>96201.354</v>
      </c>
      <c r="E22" s="5">
        <f t="shared" si="1"/>
        <v>0.002362172405</v>
      </c>
    </row>
    <row r="23" ht="15.75" customHeight="1">
      <c r="B23" s="3">
        <v>43102.0</v>
      </c>
      <c r="C23" s="2">
        <v>752.245</v>
      </c>
      <c r="D23" s="2">
        <f t="shared" si="2"/>
        <v>96953.599</v>
      </c>
      <c r="E23" s="5">
        <f t="shared" si="1"/>
        <v>0.007789070811</v>
      </c>
    </row>
    <row r="24" ht="15.75" customHeight="1">
      <c r="B24" s="3">
        <v>43133.0</v>
      </c>
      <c r="C24" s="2">
        <v>453.977</v>
      </c>
      <c r="D24" s="2">
        <f t="shared" si="2"/>
        <v>97407.576</v>
      </c>
      <c r="E24" s="5">
        <f t="shared" si="1"/>
        <v>0.004671486737</v>
      </c>
    </row>
    <row r="25" ht="15.75" customHeight="1">
      <c r="B25" s="3">
        <v>43222.0</v>
      </c>
      <c r="C25" s="2">
        <v>708.22</v>
      </c>
      <c r="D25" s="2">
        <f t="shared" si="2"/>
        <v>98115.796</v>
      </c>
      <c r="E25" s="5">
        <f t="shared" si="1"/>
        <v>0.007244383013</v>
      </c>
    </row>
    <row r="26" ht="15.75" customHeight="1">
      <c r="B26" s="3">
        <v>43253.0</v>
      </c>
      <c r="C26" s="2">
        <v>532.682</v>
      </c>
      <c r="D26" s="2">
        <f t="shared" si="2"/>
        <v>98648.478</v>
      </c>
      <c r="E26" s="5">
        <f t="shared" si="1"/>
        <v>0.005414431091</v>
      </c>
    </row>
    <row r="27" ht="15.75" customHeight="1">
      <c r="B27" s="3">
        <v>43283.0</v>
      </c>
      <c r="C27" s="2">
        <v>271.028</v>
      </c>
      <c r="D27" s="2">
        <f t="shared" si="2"/>
        <v>98919.506</v>
      </c>
      <c r="E27" s="5">
        <f t="shared" si="1"/>
        <v>0.002743644638</v>
      </c>
    </row>
    <row r="28" ht="15.75" customHeight="1">
      <c r="B28" s="3">
        <v>43314.0</v>
      </c>
      <c r="C28" s="2">
        <v>-107.87</v>
      </c>
      <c r="D28" s="2">
        <f t="shared" si="2"/>
        <v>98811.636</v>
      </c>
      <c r="E28" s="5">
        <f t="shared" si="1"/>
        <v>-0.001091077608</v>
      </c>
    </row>
    <row r="29" ht="15.75" customHeight="1">
      <c r="B29" s="3">
        <v>43345.0</v>
      </c>
      <c r="C29" s="2">
        <v>-298.542</v>
      </c>
      <c r="D29" s="2">
        <f t="shared" si="2"/>
        <v>98513.094</v>
      </c>
      <c r="E29" s="5">
        <f t="shared" si="1"/>
        <v>-0.003025897745</v>
      </c>
    </row>
    <row r="30" ht="15.75" customHeight="1">
      <c r="B30" s="3">
        <v>43436.0</v>
      </c>
      <c r="C30" s="2">
        <v>237.202</v>
      </c>
      <c r="D30" s="2">
        <f t="shared" si="2"/>
        <v>98750.296</v>
      </c>
      <c r="E30" s="5">
        <f t="shared" si="1"/>
        <v>0.002404927892</v>
      </c>
    </row>
    <row r="31" ht="15.75" customHeight="1">
      <c r="B31" s="3" t="s">
        <v>13</v>
      </c>
      <c r="C31" s="2">
        <v>307.32</v>
      </c>
      <c r="D31" s="2">
        <f t="shared" si="2"/>
        <v>99057.616</v>
      </c>
      <c r="E31" s="5">
        <f t="shared" si="1"/>
        <v>0.003107259403</v>
      </c>
    </row>
    <row r="32" ht="15.75" customHeight="1">
      <c r="B32" s="3" t="s">
        <v>14</v>
      </c>
      <c r="C32" s="2">
        <v>428.716</v>
      </c>
      <c r="D32" s="2">
        <f t="shared" si="2"/>
        <v>99486.332</v>
      </c>
      <c r="E32" s="5">
        <f t="shared" si="1"/>
        <v>0.004318607247</v>
      </c>
    </row>
    <row r="33" ht="15.75" customHeight="1">
      <c r="B33" s="3" t="s">
        <v>15</v>
      </c>
      <c r="C33" s="2">
        <v>-122.227</v>
      </c>
      <c r="D33" s="2">
        <f t="shared" si="2"/>
        <v>99364.105</v>
      </c>
      <c r="E33" s="5">
        <f t="shared" si="1"/>
        <v>-0.001229336151</v>
      </c>
    </row>
    <row r="34" ht="15.75" customHeight="1">
      <c r="B34" s="3" t="s">
        <v>16</v>
      </c>
      <c r="C34" s="2">
        <v>0.0</v>
      </c>
      <c r="D34" s="2">
        <f t="shared" si="2"/>
        <v>99364.105</v>
      </c>
      <c r="E34" s="5">
        <f t="shared" si="1"/>
        <v>0</v>
      </c>
    </row>
    <row r="35" ht="15.75" customHeight="1">
      <c r="B35" s="3" t="s">
        <v>17</v>
      </c>
      <c r="C35" s="2">
        <v>-247.579</v>
      </c>
      <c r="D35" s="2">
        <f t="shared" si="2"/>
        <v>99116.526</v>
      </c>
      <c r="E35" s="5">
        <f t="shared" si="1"/>
        <v>-0.002494743463</v>
      </c>
    </row>
    <row r="36" ht="15.75" customHeight="1">
      <c r="B36" s="3" t="s">
        <v>18</v>
      </c>
      <c r="C36" s="2">
        <v>41.024</v>
      </c>
      <c r="D36" s="2">
        <f t="shared" si="2"/>
        <v>99157.55</v>
      </c>
      <c r="E36" s="5">
        <f t="shared" si="1"/>
        <v>0.0004138110379</v>
      </c>
    </row>
    <row r="37" ht="15.75" customHeight="1">
      <c r="B37" s="3" t="s">
        <v>19</v>
      </c>
      <c r="C37" s="2">
        <v>231.199</v>
      </c>
      <c r="D37" s="2">
        <f t="shared" si="2"/>
        <v>99388.749</v>
      </c>
      <c r="E37" s="5">
        <f t="shared" si="1"/>
        <v>0.002328918803</v>
      </c>
    </row>
    <row r="38" ht="15.75" customHeight="1">
      <c r="B38" s="3" t="s">
        <v>20</v>
      </c>
      <c r="C38" s="2">
        <v>340.363</v>
      </c>
      <c r="D38" s="2">
        <f t="shared" si="2"/>
        <v>99729.112</v>
      </c>
      <c r="E38" s="5">
        <f t="shared" si="1"/>
        <v>0.003418712212</v>
      </c>
    </row>
    <row r="39" ht="15.75" customHeight="1">
      <c r="B39" s="3" t="s">
        <v>21</v>
      </c>
      <c r="C39" s="2">
        <v>207.502</v>
      </c>
      <c r="D39" s="2">
        <f t="shared" si="2"/>
        <v>99936.614</v>
      </c>
      <c r="E39" s="5">
        <f t="shared" si="1"/>
        <v>0.002078494681</v>
      </c>
    </row>
    <row r="40" ht="15.75" customHeight="1">
      <c r="B40" s="3" t="s">
        <v>22</v>
      </c>
      <c r="C40" s="2">
        <v>97.984</v>
      </c>
      <c r="D40" s="2">
        <f t="shared" si="2"/>
        <v>100034.598</v>
      </c>
      <c r="E40" s="5">
        <f t="shared" si="1"/>
        <v>0.0009799811369</v>
      </c>
    </row>
    <row r="41" ht="15.75" customHeight="1">
      <c r="B41" s="3" t="s">
        <v>23</v>
      </c>
      <c r="C41" s="2">
        <v>469.944</v>
      </c>
      <c r="D41" s="2">
        <f t="shared" si="2"/>
        <v>100504.542</v>
      </c>
      <c r="E41" s="5">
        <f t="shared" si="1"/>
        <v>0.004686814357</v>
      </c>
    </row>
    <row r="42" ht="15.75" customHeight="1">
      <c r="B42" s="3">
        <v>43103.0</v>
      </c>
      <c r="C42" s="2">
        <v>218.717</v>
      </c>
      <c r="D42" s="2">
        <f t="shared" si="2"/>
        <v>100723.259</v>
      </c>
      <c r="E42" s="5">
        <f t="shared" si="1"/>
        <v>0.002173825734</v>
      </c>
    </row>
    <row r="43" ht="15.75" customHeight="1">
      <c r="B43" s="3">
        <v>43134.0</v>
      </c>
      <c r="C43" s="2">
        <v>94.429</v>
      </c>
      <c r="D43" s="2">
        <f t="shared" si="2"/>
        <v>100817.688</v>
      </c>
      <c r="E43" s="5">
        <f t="shared" si="1"/>
        <v>0.0009370701916</v>
      </c>
    </row>
    <row r="44" ht="15.75" customHeight="1">
      <c r="B44" s="3">
        <v>43223.0</v>
      </c>
      <c r="C44" s="2">
        <v>108.475</v>
      </c>
      <c r="D44" s="2">
        <f t="shared" si="2"/>
        <v>100926.163</v>
      </c>
      <c r="E44" s="5">
        <f t="shared" si="1"/>
        <v>0.001075373647</v>
      </c>
    </row>
    <row r="45" ht="15.75" customHeight="1">
      <c r="B45" s="3">
        <v>43254.0</v>
      </c>
      <c r="C45" s="2">
        <v>-54.836</v>
      </c>
      <c r="D45" s="2">
        <f t="shared" si="2"/>
        <v>100871.327</v>
      </c>
      <c r="E45" s="5">
        <f t="shared" si="1"/>
        <v>-0.0005434755541</v>
      </c>
    </row>
    <row r="46" ht="15.75" customHeight="1">
      <c r="B46" s="3">
        <v>43284.0</v>
      </c>
      <c r="C46" s="2">
        <v>192.442</v>
      </c>
      <c r="D46" s="2">
        <f t="shared" si="2"/>
        <v>101063.769</v>
      </c>
      <c r="E46" s="5">
        <f t="shared" si="1"/>
        <v>0.001905979318</v>
      </c>
    </row>
    <row r="47" ht="15.75" customHeight="1">
      <c r="B47" s="3">
        <v>43315.0</v>
      </c>
      <c r="C47" s="2">
        <v>755.706</v>
      </c>
      <c r="D47" s="2">
        <f t="shared" si="2"/>
        <v>101819.475</v>
      </c>
      <c r="E47" s="5">
        <f t="shared" si="1"/>
        <v>0.007449698458</v>
      </c>
    </row>
    <row r="48" ht="15.75" customHeight="1">
      <c r="B48" s="3">
        <v>43346.0</v>
      </c>
      <c r="C48" s="2">
        <v>-358.936</v>
      </c>
      <c r="D48" s="2">
        <f t="shared" si="2"/>
        <v>101460.539</v>
      </c>
      <c r="E48" s="5">
        <f t="shared" si="1"/>
        <v>-0.00353144774</v>
      </c>
    </row>
    <row r="49" ht="15.75" customHeight="1">
      <c r="B49" s="3">
        <v>43437.0</v>
      </c>
      <c r="C49" s="2">
        <v>449.452</v>
      </c>
      <c r="D49" s="2">
        <f t="shared" si="2"/>
        <v>101909.991</v>
      </c>
      <c r="E49" s="5">
        <f t="shared" si="1"/>
        <v>0.004420037965</v>
      </c>
    </row>
    <row r="50" ht="15.75" customHeight="1">
      <c r="B50" s="3" t="s">
        <v>24</v>
      </c>
      <c r="C50" s="2">
        <v>98.193</v>
      </c>
      <c r="D50" s="2">
        <f t="shared" si="2"/>
        <v>102008.184</v>
      </c>
      <c r="E50" s="5">
        <f t="shared" si="1"/>
        <v>0.0009630628323</v>
      </c>
    </row>
    <row r="51" ht="15.75" customHeight="1">
      <c r="B51" s="3" t="s">
        <v>25</v>
      </c>
      <c r="C51" s="2">
        <v>-27.878</v>
      </c>
      <c r="D51" s="2">
        <f t="shared" si="2"/>
        <v>101980.306</v>
      </c>
      <c r="E51" s="5">
        <f t="shared" si="1"/>
        <v>-0.0002733291489</v>
      </c>
    </row>
    <row r="52" ht="15.75" customHeight="1">
      <c r="B52" s="3" t="s">
        <v>26</v>
      </c>
      <c r="C52" s="2">
        <v>83.179</v>
      </c>
      <c r="D52" s="2">
        <f t="shared" si="2"/>
        <v>102063.485</v>
      </c>
      <c r="E52" s="5">
        <f t="shared" si="1"/>
        <v>0.0008153054224</v>
      </c>
    </row>
    <row r="53" ht="15.75" customHeight="1">
      <c r="B53" s="3" t="s">
        <v>27</v>
      </c>
      <c r="C53" s="2">
        <v>-110.826</v>
      </c>
      <c r="D53" s="2">
        <f t="shared" si="2"/>
        <v>101952.659</v>
      </c>
      <c r="E53" s="5">
        <f t="shared" si="1"/>
        <v>-0.00108644354</v>
      </c>
    </row>
    <row r="54" ht="15.75" customHeight="1">
      <c r="B54" s="3" t="s">
        <v>28</v>
      </c>
      <c r="C54" s="2">
        <v>-513.453</v>
      </c>
      <c r="D54" s="2">
        <f t="shared" si="2"/>
        <v>101439.206</v>
      </c>
      <c r="E54" s="5">
        <f t="shared" si="1"/>
        <v>-0.005048914722</v>
      </c>
    </row>
    <row r="55" ht="15.75" customHeight="1">
      <c r="B55" s="3" t="s">
        <v>29</v>
      </c>
      <c r="C55" s="2">
        <v>-2024.658</v>
      </c>
      <c r="D55" s="2">
        <f t="shared" si="2"/>
        <v>99414.548</v>
      </c>
      <c r="E55" s="5">
        <f t="shared" si="1"/>
        <v>-0.02016120227</v>
      </c>
    </row>
    <row r="56" ht="15.75" customHeight="1">
      <c r="B56" s="3" t="s">
        <v>30</v>
      </c>
      <c r="C56" s="2">
        <v>-4000.577</v>
      </c>
      <c r="D56" s="2">
        <f t="shared" si="2"/>
        <v>95413.971</v>
      </c>
      <c r="E56" s="5">
        <f t="shared" si="1"/>
        <v>-0.04107344683</v>
      </c>
    </row>
    <row r="57" ht="15.75" customHeight="1">
      <c r="B57" s="3" t="s">
        <v>31</v>
      </c>
      <c r="C57" s="2">
        <v>54.707</v>
      </c>
      <c r="D57" s="2">
        <f t="shared" si="2"/>
        <v>95468.678</v>
      </c>
      <c r="E57" s="5">
        <f t="shared" si="1"/>
        <v>0.0005732003593</v>
      </c>
    </row>
    <row r="58" ht="15.75" customHeight="1">
      <c r="B58" s="3" t="s">
        <v>32</v>
      </c>
      <c r="C58" s="2">
        <v>-4817.634</v>
      </c>
      <c r="D58" s="2">
        <f t="shared" si="2"/>
        <v>90651.044</v>
      </c>
      <c r="E58" s="5">
        <f t="shared" si="1"/>
        <v>-0.05178076067</v>
      </c>
    </row>
    <row r="59" ht="15.75" customHeight="1">
      <c r="B59" s="3" t="s">
        <v>33</v>
      </c>
      <c r="C59" s="2">
        <v>25.987</v>
      </c>
      <c r="D59" s="2">
        <f t="shared" si="2"/>
        <v>90677.031</v>
      </c>
      <c r="E59" s="5">
        <f t="shared" si="1"/>
        <v>0.0002866296372</v>
      </c>
    </row>
    <row r="60" ht="15.75" customHeight="1">
      <c r="B60" s="3" t="s">
        <v>34</v>
      </c>
      <c r="C60" s="2">
        <v>-173.504</v>
      </c>
      <c r="D60" s="2">
        <f t="shared" si="2"/>
        <v>90503.527</v>
      </c>
      <c r="E60" s="5">
        <f t="shared" si="1"/>
        <v>-0.001915261273</v>
      </c>
    </row>
    <row r="61" ht="15.75" customHeight="1">
      <c r="B61" s="3" t="s">
        <v>35</v>
      </c>
      <c r="C61" s="2">
        <v>262.318</v>
      </c>
      <c r="D61" s="2">
        <f t="shared" si="2"/>
        <v>90765.845</v>
      </c>
      <c r="E61" s="5">
        <f t="shared" si="1"/>
        <v>0.002894236133</v>
      </c>
    </row>
    <row r="62" ht="15.75" customHeight="1">
      <c r="B62" s="3" t="s">
        <v>36</v>
      </c>
      <c r="C62" s="2">
        <v>-65.399</v>
      </c>
      <c r="D62" s="2">
        <f t="shared" si="2"/>
        <v>90700.446</v>
      </c>
      <c r="E62" s="5">
        <f t="shared" si="1"/>
        <v>-0.0007207840362</v>
      </c>
    </row>
    <row r="63" ht="15.75" customHeight="1">
      <c r="B63" s="3">
        <v>43135.0</v>
      </c>
      <c r="C63" s="2">
        <v>66.302</v>
      </c>
      <c r="D63" s="2">
        <f t="shared" si="2"/>
        <v>90766.748</v>
      </c>
      <c r="E63" s="5">
        <f t="shared" si="1"/>
        <v>0.0007307326629</v>
      </c>
    </row>
    <row r="64" ht="15.75" customHeight="1">
      <c r="B64" s="3">
        <v>43163.0</v>
      </c>
      <c r="C64" s="2">
        <v>207.429</v>
      </c>
      <c r="D64" s="2">
        <f t="shared" si="2"/>
        <v>90974.177</v>
      </c>
      <c r="E64" s="5">
        <f t="shared" si="1"/>
        <v>0.002282689934</v>
      </c>
    </row>
    <row r="65" ht="15.75" customHeight="1">
      <c r="B65" s="3">
        <v>43194.0</v>
      </c>
      <c r="C65" s="2">
        <v>-26.257</v>
      </c>
      <c r="D65" s="2">
        <f t="shared" si="2"/>
        <v>90947.92</v>
      </c>
      <c r="E65" s="5">
        <f t="shared" si="1"/>
        <v>-0.000288662022</v>
      </c>
    </row>
    <row r="66" ht="15.75" customHeight="1">
      <c r="B66" s="3">
        <v>43224.0</v>
      </c>
      <c r="C66" s="2">
        <v>132.812</v>
      </c>
      <c r="D66" s="2">
        <f t="shared" si="2"/>
        <v>91080.732</v>
      </c>
      <c r="E66" s="5">
        <f t="shared" si="1"/>
        <v>0.00145924306</v>
      </c>
    </row>
    <row r="67" ht="15.75" customHeight="1">
      <c r="B67" s="3">
        <v>43255.0</v>
      </c>
      <c r="C67" s="2">
        <v>0.0</v>
      </c>
      <c r="D67" s="2">
        <f t="shared" si="2"/>
        <v>91080.732</v>
      </c>
      <c r="E67" s="5">
        <f t="shared" si="1"/>
        <v>0</v>
      </c>
    </row>
    <row r="68" ht="15.75" customHeight="1">
      <c r="B68" s="3">
        <v>43347.0</v>
      </c>
      <c r="C68" s="2">
        <v>117.732</v>
      </c>
      <c r="D68" s="2">
        <f t="shared" si="2"/>
        <v>91198.464</v>
      </c>
      <c r="E68" s="5">
        <f t="shared" si="1"/>
        <v>0.001291776779</v>
      </c>
    </row>
    <row r="69" ht="15.75" customHeight="1">
      <c r="B69" s="3">
        <v>43377.0</v>
      </c>
      <c r="C69" s="2">
        <v>236.32</v>
      </c>
      <c r="D69" s="2">
        <f t="shared" si="2"/>
        <v>91434.784</v>
      </c>
      <c r="E69" s="5">
        <f t="shared" si="1"/>
        <v>0.002587920157</v>
      </c>
    </row>
    <row r="70" ht="15.75" customHeight="1">
      <c r="B70" s="3">
        <v>43408.0</v>
      </c>
      <c r="C70" s="2">
        <v>-774.227</v>
      </c>
      <c r="D70" s="2">
        <f t="shared" si="2"/>
        <v>90660.557</v>
      </c>
      <c r="E70" s="5">
        <f t="shared" si="1"/>
        <v>-0.008503585662</v>
      </c>
    </row>
    <row r="71" ht="15.75" customHeight="1">
      <c r="B71" s="3">
        <v>43438.0</v>
      </c>
      <c r="C71" s="2">
        <v>-132.756</v>
      </c>
      <c r="D71" s="2">
        <f t="shared" si="2"/>
        <v>90527.801</v>
      </c>
      <c r="E71" s="5">
        <f t="shared" si="1"/>
        <v>-0.001465392426</v>
      </c>
    </row>
    <row r="72" ht="15.75" customHeight="1">
      <c r="B72" s="3" t="s">
        <v>37</v>
      </c>
      <c r="C72" s="2">
        <v>26.773</v>
      </c>
      <c r="D72" s="2">
        <f t="shared" si="2"/>
        <v>90554.574</v>
      </c>
      <c r="E72" s="5">
        <f t="shared" si="1"/>
        <v>0.0002956996803</v>
      </c>
    </row>
    <row r="73" ht="15.75" customHeight="1">
      <c r="B73" s="3" t="s">
        <v>38</v>
      </c>
      <c r="C73" s="2">
        <v>-133.483</v>
      </c>
      <c r="D73" s="2">
        <f t="shared" si="2"/>
        <v>90421.091</v>
      </c>
      <c r="E73" s="5">
        <f t="shared" si="1"/>
        <v>-0.001475148874</v>
      </c>
    </row>
    <row r="74" ht="15.75" customHeight="1">
      <c r="B74" s="3" t="s">
        <v>39</v>
      </c>
      <c r="C74" s="2">
        <v>-67.284</v>
      </c>
      <c r="D74" s="2">
        <f t="shared" si="2"/>
        <v>90353.807</v>
      </c>
      <c r="E74" s="5">
        <f t="shared" si="1"/>
        <v>-0.0007443954205</v>
      </c>
    </row>
    <row r="75" ht="15.75" customHeight="1">
      <c r="B75" s="3" t="s">
        <v>40</v>
      </c>
      <c r="C75" s="2">
        <v>68.001</v>
      </c>
      <c r="D75" s="2">
        <f t="shared" si="2"/>
        <v>90421.808</v>
      </c>
      <c r="E75" s="5">
        <f t="shared" si="1"/>
        <v>0.000752324955</v>
      </c>
    </row>
    <row r="76" ht="15.75" customHeight="1">
      <c r="B76" s="3" t="s">
        <v>41</v>
      </c>
      <c r="C76" s="2">
        <v>204.174</v>
      </c>
      <c r="D76" s="2">
        <f t="shared" si="2"/>
        <v>90625.982</v>
      </c>
      <c r="E76" s="5">
        <f t="shared" si="1"/>
        <v>0.002255471735</v>
      </c>
    </row>
    <row r="77" ht="15.75" customHeight="1">
      <c r="B77" s="3" t="s">
        <v>42</v>
      </c>
      <c r="C77" s="2">
        <v>0.0</v>
      </c>
      <c r="D77" s="2">
        <f t="shared" si="2"/>
        <v>90625.982</v>
      </c>
      <c r="E77" s="5">
        <f t="shared" si="1"/>
        <v>0</v>
      </c>
    </row>
    <row r="78" ht="15.75" customHeight="1">
      <c r="B78" s="3" t="s">
        <v>43</v>
      </c>
      <c r="C78" s="2">
        <v>-13.42</v>
      </c>
      <c r="D78" s="2">
        <f t="shared" si="2"/>
        <v>90612.562</v>
      </c>
      <c r="E78" s="5">
        <f t="shared" si="1"/>
        <v>-0.0001480921191</v>
      </c>
    </row>
    <row r="79" ht="15.75" customHeight="1">
      <c r="B79" s="3" t="s">
        <v>44</v>
      </c>
      <c r="C79" s="2">
        <v>1838.694</v>
      </c>
      <c r="D79" s="2">
        <f t="shared" si="2"/>
        <v>92451.256</v>
      </c>
      <c r="E79" s="5">
        <f t="shared" si="1"/>
        <v>0.0200886866</v>
      </c>
    </row>
    <row r="80" ht="15.75" customHeight="1">
      <c r="B80" s="3" t="s">
        <v>45</v>
      </c>
      <c r="C80" s="2">
        <v>-198.628</v>
      </c>
      <c r="D80" s="2">
        <f t="shared" si="2"/>
        <v>92252.628</v>
      </c>
      <c r="E80" s="5">
        <f t="shared" si="1"/>
        <v>-0.002150773143</v>
      </c>
    </row>
    <row r="81" ht="15.75" customHeight="1">
      <c r="B81" s="3" t="s">
        <v>46</v>
      </c>
      <c r="C81" s="2">
        <v>225.526</v>
      </c>
      <c r="D81" s="2">
        <f t="shared" si="2"/>
        <v>92478.154</v>
      </c>
      <c r="E81" s="5">
        <f t="shared" si="1"/>
        <v>0.002441673332</v>
      </c>
    </row>
    <row r="82" ht="15.75" customHeight="1">
      <c r="B82" s="3" t="s">
        <v>47</v>
      </c>
      <c r="C82" s="2">
        <v>40.214</v>
      </c>
      <c r="D82" s="2">
        <f t="shared" si="2"/>
        <v>92518.368</v>
      </c>
      <c r="E82" s="5">
        <f t="shared" si="1"/>
        <v>0.0004347541262</v>
      </c>
    </row>
    <row r="83" ht="15.75" customHeight="1">
      <c r="B83" s="3" t="s">
        <v>48</v>
      </c>
      <c r="C83" s="2">
        <v>26.841</v>
      </c>
      <c r="D83" s="2">
        <f t="shared" si="2"/>
        <v>92545.209</v>
      </c>
      <c r="E83" s="5">
        <f t="shared" si="1"/>
        <v>0.0002900732886</v>
      </c>
    </row>
    <row r="84" ht="15.75" customHeight="1">
      <c r="B84" s="3">
        <v>43105.0</v>
      </c>
      <c r="C84" s="2">
        <v>-266.216</v>
      </c>
      <c r="D84" s="2">
        <f t="shared" si="2"/>
        <v>92278.993</v>
      </c>
      <c r="E84" s="5">
        <f t="shared" si="1"/>
        <v>-0.002880750261</v>
      </c>
    </row>
    <row r="85" ht="15.75" customHeight="1">
      <c r="B85" s="3">
        <v>43136.0</v>
      </c>
      <c r="C85" s="2">
        <v>333.62</v>
      </c>
      <c r="D85" s="2">
        <f t="shared" si="2"/>
        <v>92612.613</v>
      </c>
      <c r="E85" s="5">
        <f t="shared" si="1"/>
        <v>0.003608821074</v>
      </c>
    </row>
    <row r="86" ht="15.75" customHeight="1">
      <c r="B86" s="3">
        <v>43164.0</v>
      </c>
      <c r="C86" s="2">
        <v>-808.162</v>
      </c>
      <c r="D86" s="2">
        <f t="shared" si="2"/>
        <v>91804.451</v>
      </c>
      <c r="E86" s="5">
        <f t="shared" si="1"/>
        <v>-0.00876455959</v>
      </c>
    </row>
    <row r="87" ht="15.75" customHeight="1">
      <c r="B87" s="3">
        <v>43195.0</v>
      </c>
      <c r="C87" s="2">
        <v>3410.821</v>
      </c>
      <c r="D87" s="2">
        <f t="shared" si="2"/>
        <v>95215.272</v>
      </c>
      <c r="E87" s="5">
        <f t="shared" si="1"/>
        <v>0.03647956681</v>
      </c>
    </row>
    <row r="88" ht="15.75" customHeight="1">
      <c r="B88" s="3">
        <v>43286.0</v>
      </c>
      <c r="C88" s="2">
        <v>-26.784</v>
      </c>
      <c r="D88" s="2">
        <f t="shared" si="2"/>
        <v>95188.488</v>
      </c>
      <c r="E88" s="5">
        <f t="shared" si="1"/>
        <v>-0.0002813389838</v>
      </c>
    </row>
    <row r="89" ht="15.75" customHeight="1">
      <c r="B89" s="3">
        <v>43317.0</v>
      </c>
      <c r="C89" s="2">
        <v>282.208</v>
      </c>
      <c r="D89" s="2">
        <f t="shared" si="2"/>
        <v>95470.696</v>
      </c>
      <c r="E89" s="5">
        <f t="shared" si="1"/>
        <v>0.002960342116</v>
      </c>
    </row>
    <row r="90" ht="15.75" customHeight="1">
      <c r="B90" s="3">
        <v>43348.0</v>
      </c>
      <c r="C90" s="2">
        <v>1531.597</v>
      </c>
      <c r="D90" s="2">
        <f t="shared" si="2"/>
        <v>97002.293</v>
      </c>
      <c r="E90" s="5">
        <f t="shared" si="1"/>
        <v>0.01591526517</v>
      </c>
    </row>
    <row r="91" ht="15.75" customHeight="1">
      <c r="B91" s="3">
        <v>43378.0</v>
      </c>
      <c r="C91" s="2">
        <v>40.7</v>
      </c>
      <c r="D91" s="2">
        <f t="shared" si="2"/>
        <v>97042.993</v>
      </c>
      <c r="E91" s="5">
        <f t="shared" si="1"/>
        <v>0.0004194897123</v>
      </c>
    </row>
    <row r="92" ht="15.75" customHeight="1">
      <c r="B92" s="3">
        <v>43409.0</v>
      </c>
      <c r="C92" s="2">
        <v>-27.394</v>
      </c>
      <c r="D92" s="2">
        <f t="shared" si="2"/>
        <v>97015.599</v>
      </c>
      <c r="E92" s="5">
        <f t="shared" si="1"/>
        <v>-0.0002823271044</v>
      </c>
    </row>
    <row r="93" ht="15.75" customHeight="1">
      <c r="B93" s="3" t="s">
        <v>49</v>
      </c>
      <c r="C93" s="2">
        <v>13.725</v>
      </c>
      <c r="D93" s="2">
        <f t="shared" si="2"/>
        <v>97029.324</v>
      </c>
      <c r="E93" s="5">
        <f t="shared" si="1"/>
        <v>0.0001414620884</v>
      </c>
    </row>
    <row r="94" ht="15.75" customHeight="1">
      <c r="B94" s="3" t="s">
        <v>50</v>
      </c>
      <c r="C94" s="2">
        <v>-151.116</v>
      </c>
      <c r="D94" s="2">
        <f t="shared" si="2"/>
        <v>96878.208</v>
      </c>
      <c r="E94" s="5">
        <f t="shared" si="1"/>
        <v>-0.001558640132</v>
      </c>
    </row>
    <row r="95" ht="15.75" customHeight="1">
      <c r="B95" s="3" t="s">
        <v>51</v>
      </c>
      <c r="C95" s="2">
        <v>109.155</v>
      </c>
      <c r="D95" s="2">
        <f t="shared" si="2"/>
        <v>96987.363</v>
      </c>
      <c r="E95" s="5">
        <f t="shared" si="1"/>
        <v>0.001126089702</v>
      </c>
    </row>
    <row r="96" ht="15.75" customHeight="1">
      <c r="B96" s="3" t="s">
        <v>52</v>
      </c>
      <c r="C96" s="2">
        <v>-13.704</v>
      </c>
      <c r="D96" s="2">
        <f t="shared" si="2"/>
        <v>96973.659</v>
      </c>
      <c r="E96" s="5">
        <f t="shared" si="1"/>
        <v>-0.0001413067418</v>
      </c>
    </row>
    <row r="97" ht="15.75" customHeight="1">
      <c r="B97" s="3" t="s">
        <v>53</v>
      </c>
      <c r="C97" s="2">
        <v>54.783</v>
      </c>
      <c r="D97" s="2">
        <f t="shared" si="2"/>
        <v>97028.442</v>
      </c>
      <c r="E97" s="5">
        <f t="shared" si="1"/>
        <v>0.0005647670945</v>
      </c>
    </row>
    <row r="98" ht="15.75" customHeight="1">
      <c r="B98" s="3" t="s">
        <v>54</v>
      </c>
      <c r="C98" s="2">
        <v>68.304</v>
      </c>
      <c r="D98" s="2">
        <f t="shared" si="2"/>
        <v>97096.746</v>
      </c>
      <c r="E98" s="5">
        <f t="shared" si="1"/>
        <v>0.0007037108736</v>
      </c>
    </row>
    <row r="99" ht="15.75" customHeight="1">
      <c r="B99" s="3" t="s">
        <v>55</v>
      </c>
      <c r="C99" s="2">
        <v>165.144</v>
      </c>
      <c r="D99" s="2">
        <f t="shared" si="2"/>
        <v>97261.89</v>
      </c>
      <c r="E99" s="5">
        <f t="shared" si="1"/>
        <v>0.001699374344</v>
      </c>
    </row>
    <row r="100" ht="15.75" customHeight="1">
      <c r="B100" s="3" t="s">
        <v>56</v>
      </c>
      <c r="C100" s="2">
        <v>178.349</v>
      </c>
      <c r="D100" s="2">
        <f t="shared" si="2"/>
        <v>97440.239</v>
      </c>
      <c r="E100" s="5">
        <f t="shared" si="1"/>
        <v>0.001832019514</v>
      </c>
    </row>
    <row r="101" ht="15.75" customHeight="1">
      <c r="B101" s="3" t="s">
        <v>57</v>
      </c>
      <c r="C101" s="2">
        <v>123.876</v>
      </c>
      <c r="D101" s="2">
        <f t="shared" si="2"/>
        <v>97564.115</v>
      </c>
      <c r="E101" s="5">
        <f t="shared" si="1"/>
        <v>0.00127049488</v>
      </c>
    </row>
    <row r="102" ht="15.75" customHeight="1">
      <c r="B102" s="3" t="s">
        <v>58</v>
      </c>
      <c r="C102" s="2">
        <v>302.207</v>
      </c>
      <c r="D102" s="2">
        <f t="shared" si="2"/>
        <v>97866.322</v>
      </c>
      <c r="E102" s="5">
        <f t="shared" si="1"/>
        <v>0.003092734638</v>
      </c>
    </row>
    <row r="103" ht="15.75" customHeight="1">
      <c r="B103" s="3" t="s">
        <v>59</v>
      </c>
      <c r="C103" s="2">
        <v>0.0</v>
      </c>
      <c r="D103" s="2">
        <f t="shared" si="2"/>
        <v>97866.322</v>
      </c>
      <c r="E103" s="5">
        <f t="shared" si="1"/>
        <v>0</v>
      </c>
    </row>
    <row r="104" ht="15.75" customHeight="1">
      <c r="B104" s="3" t="s">
        <v>60</v>
      </c>
      <c r="C104" s="2">
        <v>-108.384</v>
      </c>
      <c r="D104" s="2">
        <f t="shared" si="2"/>
        <v>97757.938</v>
      </c>
      <c r="E104" s="5">
        <f t="shared" si="1"/>
        <v>-0.001108083538</v>
      </c>
    </row>
    <row r="105" ht="15.75" customHeight="1">
      <c r="B105" s="3" t="s">
        <v>61</v>
      </c>
      <c r="C105" s="2">
        <v>233.28</v>
      </c>
      <c r="D105" s="2">
        <f t="shared" si="2"/>
        <v>97991.218</v>
      </c>
      <c r="E105" s="5">
        <f t="shared" si="1"/>
        <v>0.002383459681</v>
      </c>
    </row>
    <row r="106" ht="15.75" customHeight="1">
      <c r="B106" s="3">
        <v>43106.0</v>
      </c>
      <c r="C106" s="2">
        <v>-95.416</v>
      </c>
      <c r="D106" s="2">
        <f t="shared" si="2"/>
        <v>97895.802</v>
      </c>
      <c r="E106" s="5">
        <f t="shared" si="1"/>
        <v>-0.0009741942835</v>
      </c>
    </row>
    <row r="107" ht="15.75" customHeight="1">
      <c r="B107" s="3">
        <v>43196.0</v>
      </c>
      <c r="C107" s="2">
        <v>-633.88</v>
      </c>
      <c r="D107" s="2">
        <f t="shared" si="2"/>
        <v>97261.922</v>
      </c>
      <c r="E107" s="5">
        <f t="shared" si="1"/>
        <v>-0.006496101882</v>
      </c>
    </row>
    <row r="108" ht="15.75" customHeight="1">
      <c r="B108" s="3">
        <v>43226.0</v>
      </c>
      <c r="C108" s="2">
        <v>235.314</v>
      </c>
      <c r="D108" s="2">
        <f t="shared" si="2"/>
        <v>97497.236</v>
      </c>
      <c r="E108" s="5">
        <f t="shared" si="1"/>
        <v>0.00241646264</v>
      </c>
    </row>
    <row r="109" ht="15.75" customHeight="1">
      <c r="B109" s="3">
        <v>43257.0</v>
      </c>
      <c r="C109" s="2">
        <v>0.0</v>
      </c>
      <c r="D109" s="2">
        <f t="shared" si="2"/>
        <v>97497.236</v>
      </c>
      <c r="E109" s="5">
        <f t="shared" si="1"/>
        <v>0</v>
      </c>
    </row>
    <row r="110" ht="15.75" customHeight="1">
      <c r="B110" s="3">
        <v>43287.0</v>
      </c>
      <c r="C110" s="2">
        <v>41.915</v>
      </c>
      <c r="D110" s="2">
        <f t="shared" si="2"/>
        <v>97539.151</v>
      </c>
      <c r="E110" s="5">
        <f t="shared" si="1"/>
        <v>0.0004298172386</v>
      </c>
    </row>
    <row r="111" ht="15.75" customHeight="1">
      <c r="B111" s="3">
        <v>43318.0</v>
      </c>
      <c r="C111" s="2">
        <v>97.749</v>
      </c>
      <c r="D111" s="2">
        <f t="shared" si="2"/>
        <v>97636.9</v>
      </c>
      <c r="E111" s="5">
        <f t="shared" si="1"/>
        <v>0.001001649615</v>
      </c>
    </row>
    <row r="112" ht="15.75" customHeight="1">
      <c r="B112" s="3">
        <v>43410.0</v>
      </c>
      <c r="C112" s="2">
        <v>84.05</v>
      </c>
      <c r="D112" s="2">
        <f t="shared" si="2"/>
        <v>97720.95</v>
      </c>
      <c r="E112" s="5">
        <f t="shared" si="1"/>
        <v>0.0008604722583</v>
      </c>
    </row>
    <row r="113" ht="15.75" customHeight="1">
      <c r="B113" s="3">
        <v>43440.0</v>
      </c>
      <c r="C113" s="2">
        <v>-2902.835</v>
      </c>
      <c r="D113" s="2">
        <f t="shared" si="2"/>
        <v>94818.115</v>
      </c>
      <c r="E113" s="5">
        <f t="shared" si="1"/>
        <v>-0.03015549049</v>
      </c>
    </row>
    <row r="114" ht="15.75" customHeight="1">
      <c r="B114" s="3" t="s">
        <v>62</v>
      </c>
      <c r="C114" s="2">
        <v>-154.532</v>
      </c>
      <c r="D114" s="2">
        <f t="shared" si="2"/>
        <v>94663.583</v>
      </c>
      <c r="E114" s="5">
        <f t="shared" si="1"/>
        <v>-0.001631102485</v>
      </c>
    </row>
    <row r="115" ht="15.75" customHeight="1">
      <c r="B115" s="3" t="s">
        <v>63</v>
      </c>
      <c r="C115" s="2">
        <v>167.908</v>
      </c>
      <c r="D115" s="2">
        <f t="shared" si="2"/>
        <v>94831.491</v>
      </c>
      <c r="E115" s="5">
        <f t="shared" si="1"/>
        <v>0.001772162626</v>
      </c>
    </row>
    <row r="116" ht="15.75" customHeight="1">
      <c r="B116" s="3" t="s">
        <v>64</v>
      </c>
      <c r="C116" s="2">
        <v>-112.25</v>
      </c>
      <c r="D116" s="2">
        <f t="shared" si="2"/>
        <v>94719.241</v>
      </c>
      <c r="E116" s="5">
        <f t="shared" si="1"/>
        <v>-0.001184379632</v>
      </c>
    </row>
    <row r="117" ht="15.75" customHeight="1">
      <c r="B117" s="3" t="s">
        <v>65</v>
      </c>
      <c r="C117" s="2">
        <v>14.018</v>
      </c>
      <c r="D117" s="2">
        <f t="shared" si="2"/>
        <v>94733.259</v>
      </c>
      <c r="E117" s="5">
        <f t="shared" si="1"/>
        <v>0.0001479843235</v>
      </c>
    </row>
    <row r="118" ht="15.75" customHeight="1">
      <c r="B118" s="3" t="s">
        <v>66</v>
      </c>
      <c r="C118" s="2">
        <v>181.854</v>
      </c>
      <c r="D118" s="2">
        <f t="shared" si="2"/>
        <v>94915.113</v>
      </c>
      <c r="E118" s="5">
        <f t="shared" si="1"/>
        <v>0.001917802445</v>
      </c>
    </row>
    <row r="119" ht="15.75" customHeight="1">
      <c r="B119" s="3" t="s">
        <v>67</v>
      </c>
      <c r="C119" s="2">
        <v>55.733</v>
      </c>
      <c r="D119" s="2">
        <f t="shared" si="2"/>
        <v>94970.846</v>
      </c>
      <c r="E119" s="5">
        <f t="shared" si="1"/>
        <v>0.0005870155107</v>
      </c>
    </row>
    <row r="120" ht="15.75" customHeight="1">
      <c r="B120" s="3" t="s">
        <v>68</v>
      </c>
      <c r="C120" s="2">
        <v>-725.763</v>
      </c>
      <c r="D120" s="2">
        <f t="shared" si="2"/>
        <v>94245.083</v>
      </c>
      <c r="E120" s="5">
        <f t="shared" si="1"/>
        <v>-0.007671305085</v>
      </c>
    </row>
    <row r="121" ht="15.75" customHeight="1">
      <c r="B121" s="3" t="s">
        <v>69</v>
      </c>
      <c r="C121" s="2">
        <v>0.0</v>
      </c>
      <c r="D121" s="2">
        <f t="shared" si="2"/>
        <v>94245.083</v>
      </c>
      <c r="E121" s="5">
        <f t="shared" si="1"/>
        <v>0</v>
      </c>
    </row>
    <row r="122" ht="15.75" customHeight="1">
      <c r="B122" s="3" t="s">
        <v>70</v>
      </c>
      <c r="C122" s="2">
        <v>0.0</v>
      </c>
      <c r="D122" s="2">
        <f t="shared" si="2"/>
        <v>94245.083</v>
      </c>
      <c r="E122" s="5">
        <f t="shared" si="1"/>
        <v>0</v>
      </c>
    </row>
    <row r="123" ht="15.75" customHeight="1">
      <c r="B123" s="3" t="s">
        <v>71</v>
      </c>
      <c r="C123" s="2">
        <v>68.527</v>
      </c>
      <c r="D123" s="2">
        <f t="shared" si="2"/>
        <v>94313.61</v>
      </c>
      <c r="E123" s="5">
        <f t="shared" si="1"/>
        <v>0.0007268506365</v>
      </c>
    </row>
    <row r="124" ht="15.75" customHeight="1">
      <c r="B124" s="3" t="s">
        <v>72</v>
      </c>
      <c r="C124" s="2">
        <v>13.671</v>
      </c>
      <c r="D124" s="2">
        <f t="shared" si="2"/>
        <v>94327.281</v>
      </c>
      <c r="E124" s="5">
        <f t="shared" si="1"/>
        <v>0.0001449420637</v>
      </c>
    </row>
    <row r="125" ht="15.75" customHeight="1">
      <c r="B125" s="3" t="s">
        <v>73</v>
      </c>
      <c r="C125" s="2">
        <v>13.554</v>
      </c>
      <c r="D125" s="2">
        <f t="shared" si="2"/>
        <v>94340.835</v>
      </c>
      <c r="E125" s="5">
        <f t="shared" si="1"/>
        <v>0.0001436808753</v>
      </c>
    </row>
    <row r="126" ht="15.75" customHeight="1">
      <c r="B126" s="3" t="s">
        <v>74</v>
      </c>
      <c r="C126" s="2">
        <v>0.0</v>
      </c>
      <c r="D126" s="2">
        <f t="shared" si="2"/>
        <v>94340.835</v>
      </c>
      <c r="E126" s="5">
        <f t="shared" si="1"/>
        <v>0</v>
      </c>
    </row>
    <row r="127" ht="15.75" customHeight="1">
      <c r="B127" s="3">
        <v>43138.0</v>
      </c>
      <c r="C127" s="2">
        <v>163.807</v>
      </c>
      <c r="D127" s="2">
        <f t="shared" si="2"/>
        <v>94504.642</v>
      </c>
      <c r="E127" s="5">
        <f t="shared" si="1"/>
        <v>0.001734826205</v>
      </c>
    </row>
    <row r="128" ht="15.75" customHeight="1">
      <c r="B128" s="3">
        <v>43166.0</v>
      </c>
      <c r="C128" s="2">
        <v>-13.693</v>
      </c>
      <c r="D128" s="2">
        <f t="shared" si="2"/>
        <v>94490.949</v>
      </c>
      <c r="E128" s="5">
        <f t="shared" si="1"/>
        <v>-0.0001449028515</v>
      </c>
    </row>
    <row r="129" ht="15.75" customHeight="1">
      <c r="B129" s="3">
        <v>43227.0</v>
      </c>
      <c r="C129" s="2">
        <v>258.88</v>
      </c>
      <c r="D129" s="2">
        <f t="shared" si="2"/>
        <v>94749.829</v>
      </c>
      <c r="E129" s="5">
        <f t="shared" si="1"/>
        <v>0.002735987077</v>
      </c>
    </row>
    <row r="130" ht="15.75" customHeight="1">
      <c r="B130" s="3">
        <v>43258.0</v>
      </c>
      <c r="C130" s="2">
        <v>54.984</v>
      </c>
      <c r="D130" s="2">
        <f t="shared" si="2"/>
        <v>94804.813</v>
      </c>
      <c r="E130" s="5">
        <f t="shared" si="1"/>
        <v>0.0005801388028</v>
      </c>
    </row>
    <row r="131" ht="15.75" customHeight="1">
      <c r="B131" s="3">
        <v>43350.0</v>
      </c>
      <c r="C131" s="2">
        <v>-83.182</v>
      </c>
      <c r="D131" s="2">
        <f t="shared" si="2"/>
        <v>94721.631</v>
      </c>
      <c r="E131" s="5">
        <f t="shared" si="1"/>
        <v>-0.0008777878547</v>
      </c>
    </row>
    <row r="132" ht="15.75" customHeight="1">
      <c r="B132" s="3">
        <v>43380.0</v>
      </c>
      <c r="C132" s="2">
        <v>-125.909</v>
      </c>
      <c r="D132" s="2">
        <f t="shared" si="2"/>
        <v>94595.722</v>
      </c>
      <c r="E132" s="5">
        <f t="shared" si="1"/>
        <v>-0.001330137112</v>
      </c>
    </row>
    <row r="133" ht="15.75" customHeight="1">
      <c r="B133" s="3">
        <v>43411.0</v>
      </c>
      <c r="C133" s="2">
        <v>-322.891</v>
      </c>
      <c r="D133" s="2">
        <f t="shared" si="2"/>
        <v>94272.831</v>
      </c>
      <c r="E133" s="5">
        <f t="shared" si="1"/>
        <v>-0.003419217328</v>
      </c>
    </row>
    <row r="134" ht="15.75" customHeight="1">
      <c r="B134" s="3">
        <v>43441.0</v>
      </c>
      <c r="C134" s="2">
        <v>236.965</v>
      </c>
      <c r="D134" s="2">
        <f t="shared" si="2"/>
        <v>94509.796</v>
      </c>
      <c r="E134" s="5">
        <f t="shared" si="1"/>
        <v>0.002510454783</v>
      </c>
    </row>
    <row r="135" ht="15.75" customHeight="1">
      <c r="B135" s="3" t="s">
        <v>75</v>
      </c>
      <c r="C135" s="2">
        <v>-28.125</v>
      </c>
      <c r="D135" s="2">
        <f t="shared" si="2"/>
        <v>94481.671</v>
      </c>
      <c r="E135" s="5">
        <f t="shared" si="1"/>
        <v>-0.0002976324874</v>
      </c>
    </row>
    <row r="136" ht="15.75" customHeight="1">
      <c r="B136" s="3" t="s">
        <v>76</v>
      </c>
      <c r="C136" s="2">
        <v>-154.855</v>
      </c>
      <c r="D136" s="2">
        <f t="shared" si="2"/>
        <v>94326.816</v>
      </c>
      <c r="E136" s="5">
        <f t="shared" si="1"/>
        <v>-0.001640339766</v>
      </c>
    </row>
    <row r="137" ht="15.75" customHeight="1">
      <c r="B137" s="3" t="s">
        <v>77</v>
      </c>
      <c r="C137" s="2">
        <v>0.0</v>
      </c>
      <c r="D137" s="2">
        <f t="shared" si="2"/>
        <v>94326.816</v>
      </c>
      <c r="E137" s="5">
        <f t="shared" si="1"/>
        <v>0</v>
      </c>
    </row>
    <row r="138" ht="15.75" customHeight="1">
      <c r="B138" s="3" t="s">
        <v>78</v>
      </c>
      <c r="C138" s="2">
        <v>0.0</v>
      </c>
      <c r="D138" s="2">
        <f t="shared" si="2"/>
        <v>94326.816</v>
      </c>
      <c r="E138" s="5">
        <f t="shared" si="1"/>
        <v>0</v>
      </c>
    </row>
    <row r="139" ht="15.75" customHeight="1">
      <c r="B139" s="3" t="s">
        <v>79</v>
      </c>
      <c r="C139" s="2">
        <v>353.76</v>
      </c>
      <c r="D139" s="2">
        <f t="shared" si="2"/>
        <v>94680.576</v>
      </c>
      <c r="E139" s="5">
        <f t="shared" si="1"/>
        <v>0.003743350028</v>
      </c>
    </row>
    <row r="140" ht="15.75" customHeight="1">
      <c r="B140" s="3" t="s">
        <v>80</v>
      </c>
      <c r="C140" s="2">
        <v>-592.03</v>
      </c>
      <c r="D140" s="2">
        <f t="shared" si="2"/>
        <v>94088.546</v>
      </c>
      <c r="E140" s="5">
        <f t="shared" si="1"/>
        <v>-0.006272550668</v>
      </c>
    </row>
    <row r="141" ht="15.75" customHeight="1">
      <c r="B141" s="3" t="s">
        <v>81</v>
      </c>
      <c r="C141" s="2">
        <v>-197.164</v>
      </c>
      <c r="D141" s="2">
        <f t="shared" si="2"/>
        <v>93891.382</v>
      </c>
      <c r="E141" s="5">
        <f t="shared" si="1"/>
        <v>-0.002097714095</v>
      </c>
    </row>
    <row r="142" ht="15.75" customHeight="1">
      <c r="B142" s="3" t="s">
        <v>82</v>
      </c>
      <c r="C142" s="2">
        <v>-70.545</v>
      </c>
      <c r="D142" s="2">
        <f t="shared" si="2"/>
        <v>93820.837</v>
      </c>
      <c r="E142" s="5">
        <f t="shared" si="1"/>
        <v>-0.0007516293153</v>
      </c>
    </row>
    <row r="143" ht="15.75" customHeight="1">
      <c r="B143" s="3" t="s">
        <v>83</v>
      </c>
      <c r="C143" s="2">
        <v>28.354</v>
      </c>
      <c r="D143" s="2">
        <f t="shared" si="2"/>
        <v>93849.191</v>
      </c>
      <c r="E143" s="5">
        <f t="shared" si="1"/>
        <v>0.0003021686576</v>
      </c>
    </row>
    <row r="144" ht="15.75" customHeight="1">
      <c r="B144" s="3" t="s">
        <v>84</v>
      </c>
      <c r="C144" s="2">
        <v>-14.306</v>
      </c>
      <c r="D144" s="2">
        <f t="shared" si="2"/>
        <v>93834.885</v>
      </c>
      <c r="E144" s="5">
        <f t="shared" si="1"/>
        <v>-0.0001524476699</v>
      </c>
    </row>
    <row r="145" ht="15.75" customHeight="1">
      <c r="B145" s="3" t="s">
        <v>85</v>
      </c>
      <c r="C145" s="2">
        <v>128.366</v>
      </c>
      <c r="D145" s="2">
        <f t="shared" si="2"/>
        <v>93963.251</v>
      </c>
      <c r="E145" s="5">
        <f t="shared" si="1"/>
        <v>0.001367063835</v>
      </c>
    </row>
    <row r="146" ht="15.75" customHeight="1">
      <c r="B146" s="3" t="s">
        <v>86</v>
      </c>
      <c r="C146" s="2">
        <v>-240.877</v>
      </c>
      <c r="D146" s="2">
        <f t="shared" si="2"/>
        <v>93722.374</v>
      </c>
      <c r="E146" s="5">
        <f t="shared" si="1"/>
        <v>-0.002566814931</v>
      </c>
    </row>
    <row r="147" ht="15.75" customHeight="1">
      <c r="B147" s="3" t="s">
        <v>87</v>
      </c>
      <c r="C147" s="2">
        <v>-535.375</v>
      </c>
      <c r="D147" s="2">
        <f t="shared" si="2"/>
        <v>93186.999</v>
      </c>
      <c r="E147" s="5">
        <f t="shared" si="1"/>
        <v>-0.005728727838</v>
      </c>
    </row>
    <row r="148" ht="15.75" customHeight="1">
      <c r="B148" s="3">
        <v>43108.0</v>
      </c>
      <c r="C148" s="2">
        <v>0.0</v>
      </c>
      <c r="D148" s="2">
        <f t="shared" si="2"/>
        <v>93186.999</v>
      </c>
      <c r="E148" s="5">
        <f t="shared" si="1"/>
        <v>0</v>
      </c>
    </row>
    <row r="149" ht="15.75" customHeight="1">
      <c r="B149" s="3">
        <v>43139.0</v>
      </c>
      <c r="C149" s="2">
        <v>-14.143</v>
      </c>
      <c r="D149" s="2">
        <f t="shared" si="2"/>
        <v>93172.856</v>
      </c>
      <c r="E149" s="5">
        <f t="shared" si="1"/>
        <v>-0.0001517816166</v>
      </c>
    </row>
    <row r="150" ht="15.75" customHeight="1">
      <c r="B150" s="3">
        <v>43167.0</v>
      </c>
      <c r="C150" s="2">
        <v>113.716</v>
      </c>
      <c r="D150" s="2">
        <f t="shared" si="2"/>
        <v>93286.572</v>
      </c>
      <c r="E150" s="5">
        <f t="shared" si="1"/>
        <v>0.001219740029</v>
      </c>
    </row>
    <row r="151" ht="15.75" customHeight="1">
      <c r="B151" s="3">
        <v>43259.0</v>
      </c>
      <c r="C151" s="2">
        <v>-57.13</v>
      </c>
      <c r="D151" s="2">
        <f t="shared" si="2"/>
        <v>93229.442</v>
      </c>
      <c r="E151" s="5">
        <f t="shared" si="1"/>
        <v>-0.000612601573</v>
      </c>
    </row>
    <row r="152" ht="15.75" customHeight="1">
      <c r="B152" s="3">
        <v>43289.0</v>
      </c>
      <c r="C152" s="2">
        <v>71.671</v>
      </c>
      <c r="D152" s="2">
        <f t="shared" si="2"/>
        <v>93301.113</v>
      </c>
      <c r="E152" s="5">
        <f t="shared" si="1"/>
        <v>0.0007684639498</v>
      </c>
    </row>
    <row r="153" ht="15.75" customHeight="1">
      <c r="B153" s="3">
        <v>43320.0</v>
      </c>
      <c r="C153" s="2">
        <v>287.498</v>
      </c>
      <c r="D153" s="2">
        <f t="shared" si="2"/>
        <v>93588.611</v>
      </c>
      <c r="E153" s="5">
        <f t="shared" si="1"/>
        <v>0.003076661687</v>
      </c>
    </row>
    <row r="154" ht="15.75" customHeight="1">
      <c r="B154" s="3">
        <v>43351.0</v>
      </c>
      <c r="C154" s="2">
        <v>517.374</v>
      </c>
      <c r="D154" s="2">
        <f t="shared" si="2"/>
        <v>94105.985</v>
      </c>
      <c r="E154" s="5">
        <f t="shared" si="1"/>
        <v>0.005512948389</v>
      </c>
    </row>
    <row r="155" ht="15.75" customHeight="1">
      <c r="B155" s="3">
        <v>43381.0</v>
      </c>
      <c r="C155" s="2">
        <v>574.179</v>
      </c>
      <c r="D155" s="2">
        <f t="shared" si="2"/>
        <v>94680.164</v>
      </c>
      <c r="E155" s="5">
        <f t="shared" si="1"/>
        <v>0.006082869675</v>
      </c>
    </row>
    <row r="156" ht="15.75" customHeight="1">
      <c r="B156" s="3" t="s">
        <v>88</v>
      </c>
      <c r="C156" s="2">
        <v>71.284</v>
      </c>
      <c r="D156" s="2">
        <f t="shared" si="2"/>
        <v>94751.448</v>
      </c>
      <c r="E156" s="5">
        <f t="shared" si="1"/>
        <v>0.000752609373</v>
      </c>
    </row>
    <row r="157" ht="15.75" customHeight="1">
      <c r="B157" s="3" t="s">
        <v>89</v>
      </c>
      <c r="C157" s="2">
        <v>127.798</v>
      </c>
      <c r="D157" s="2">
        <f t="shared" si="2"/>
        <v>94879.246</v>
      </c>
      <c r="E157" s="5">
        <f t="shared" si="1"/>
        <v>0.00134786217</v>
      </c>
    </row>
    <row r="158" ht="15.75" customHeight="1">
      <c r="B158" s="3" t="s">
        <v>90</v>
      </c>
      <c r="C158" s="2">
        <v>214.376</v>
      </c>
      <c r="D158" s="2">
        <f t="shared" si="2"/>
        <v>95093.622</v>
      </c>
      <c r="E158" s="5">
        <f t="shared" si="1"/>
        <v>0.002256912719</v>
      </c>
    </row>
    <row r="159" ht="15.75" customHeight="1">
      <c r="B159" s="3" t="s">
        <v>91</v>
      </c>
      <c r="C159" s="2">
        <v>198.6</v>
      </c>
      <c r="D159" s="2">
        <f t="shared" si="2"/>
        <v>95292.222</v>
      </c>
      <c r="E159" s="5">
        <f t="shared" si="1"/>
        <v>0.002086290324</v>
      </c>
    </row>
    <row r="160" ht="15.75" customHeight="1">
      <c r="B160" s="3" t="s">
        <v>92</v>
      </c>
      <c r="C160" s="2">
        <v>214.535</v>
      </c>
      <c r="D160" s="2">
        <f t="shared" si="2"/>
        <v>95506.757</v>
      </c>
      <c r="E160" s="5">
        <f t="shared" si="1"/>
        <v>0.002248807531</v>
      </c>
    </row>
    <row r="161" ht="15.75" customHeight="1">
      <c r="B161" s="3" t="s">
        <v>93</v>
      </c>
      <c r="C161" s="2">
        <v>229.615</v>
      </c>
      <c r="D161" s="2">
        <f t="shared" si="2"/>
        <v>95736.372</v>
      </c>
      <c r="E161" s="5">
        <f t="shared" si="1"/>
        <v>0.002401290039</v>
      </c>
    </row>
    <row r="162" ht="15.75" customHeight="1">
      <c r="B162" s="3" t="s">
        <v>94</v>
      </c>
      <c r="C162" s="2">
        <v>86.318</v>
      </c>
      <c r="D162" s="2">
        <f t="shared" si="2"/>
        <v>95822.69</v>
      </c>
      <c r="E162" s="5">
        <f t="shared" si="1"/>
        <v>0.0009012155827</v>
      </c>
    </row>
    <row r="163" ht="15.75" customHeight="1">
      <c r="B163" s="3" t="s">
        <v>95</v>
      </c>
      <c r="C163" s="2">
        <v>72.082</v>
      </c>
      <c r="D163" s="2">
        <f t="shared" si="2"/>
        <v>95894.772</v>
      </c>
      <c r="E163" s="5">
        <f t="shared" si="1"/>
        <v>0.0007519607515</v>
      </c>
    </row>
    <row r="164" ht="15.75" customHeight="1">
      <c r="B164" s="3" t="s">
        <v>96</v>
      </c>
      <c r="C164" s="2">
        <v>0.0</v>
      </c>
      <c r="D164" s="2">
        <f t="shared" si="2"/>
        <v>95894.772</v>
      </c>
      <c r="E164" s="5">
        <f t="shared" si="1"/>
        <v>0</v>
      </c>
    </row>
    <row r="165" ht="15.75" customHeight="1">
      <c r="B165" s="3" t="s">
        <v>97</v>
      </c>
      <c r="C165" s="2">
        <v>402.855</v>
      </c>
      <c r="D165" s="2">
        <f t="shared" si="2"/>
        <v>96297.627</v>
      </c>
      <c r="E165" s="5">
        <f t="shared" si="1"/>
        <v>0.004192211472</v>
      </c>
    </row>
    <row r="166" ht="15.75" customHeight="1">
      <c r="B166" s="3" t="s">
        <v>98</v>
      </c>
      <c r="C166" s="2">
        <v>144.77</v>
      </c>
      <c r="D166" s="2">
        <f t="shared" si="2"/>
        <v>96442.397</v>
      </c>
      <c r="E166" s="5">
        <f t="shared" si="1"/>
        <v>0.00150223108</v>
      </c>
    </row>
    <row r="167" ht="15.75" customHeight="1">
      <c r="B167" s="3" t="s">
        <v>99</v>
      </c>
      <c r="C167" s="2">
        <v>72.948</v>
      </c>
      <c r="D167" s="2">
        <f t="shared" si="2"/>
        <v>96515.345</v>
      </c>
      <c r="E167" s="5">
        <f t="shared" si="1"/>
        <v>0.0007561034112</v>
      </c>
    </row>
    <row r="168" ht="15.75" customHeight="1">
      <c r="B168" s="3" t="s">
        <v>100</v>
      </c>
      <c r="C168" s="2">
        <v>-14.594</v>
      </c>
      <c r="D168" s="2">
        <f t="shared" si="2"/>
        <v>96500.751</v>
      </c>
      <c r="E168" s="5">
        <f t="shared" si="1"/>
        <v>-0.0001512205493</v>
      </c>
    </row>
    <row r="169" ht="15.75" customHeight="1">
      <c r="B169" s="3" t="s">
        <v>101</v>
      </c>
      <c r="C169" s="2">
        <v>-58.713</v>
      </c>
      <c r="D169" s="2">
        <f t="shared" si="2"/>
        <v>96442.038</v>
      </c>
      <c r="E169" s="5">
        <f t="shared" si="1"/>
        <v>-0.0006086052981</v>
      </c>
    </row>
    <row r="170" ht="15.75" customHeight="1">
      <c r="B170" s="3" t="s">
        <v>102</v>
      </c>
      <c r="C170" s="2">
        <v>3522.338</v>
      </c>
      <c r="D170" s="2">
        <f t="shared" si="2"/>
        <v>99964.376</v>
      </c>
      <c r="E170" s="5">
        <f t="shared" si="1"/>
        <v>0.03587169712</v>
      </c>
    </row>
    <row r="171" ht="15.75" customHeight="1">
      <c r="B171" s="3">
        <v>43199.0</v>
      </c>
      <c r="C171" s="2">
        <v>-190.046</v>
      </c>
      <c r="D171" s="2">
        <f t="shared" si="2"/>
        <v>99774.33</v>
      </c>
      <c r="E171" s="5">
        <f t="shared" si="1"/>
        <v>-0.001902946716</v>
      </c>
    </row>
    <row r="172" ht="15.75" customHeight="1">
      <c r="B172" s="3">
        <v>43229.0</v>
      </c>
      <c r="C172" s="2">
        <v>0.0</v>
      </c>
      <c r="D172" s="2">
        <f t="shared" si="2"/>
        <v>99774.33</v>
      </c>
      <c r="E172" s="5">
        <f t="shared" si="1"/>
        <v>0</v>
      </c>
    </row>
    <row r="173" ht="15.75" customHeight="1">
      <c r="B173" s="3">
        <v>43260.0</v>
      </c>
      <c r="C173" s="2">
        <v>-378.436</v>
      </c>
      <c r="D173" s="2">
        <f t="shared" si="2"/>
        <v>99395.894</v>
      </c>
      <c r="E173" s="5">
        <f t="shared" si="1"/>
        <v>-0.003800130841</v>
      </c>
    </row>
    <row r="174" ht="15.75" customHeight="1">
      <c r="B174" s="3">
        <v>43290.0</v>
      </c>
      <c r="C174" s="2">
        <v>-246.608</v>
      </c>
      <c r="D174" s="2">
        <f t="shared" si="2"/>
        <v>99149.286</v>
      </c>
      <c r="E174" s="5">
        <f t="shared" si="1"/>
        <v>-0.002484151233</v>
      </c>
    </row>
    <row r="175" ht="15.75" customHeight="1">
      <c r="B175" s="3">
        <v>43382.0</v>
      </c>
      <c r="C175" s="2">
        <v>622.445</v>
      </c>
      <c r="D175" s="2">
        <f t="shared" si="2"/>
        <v>99771.731</v>
      </c>
      <c r="E175" s="5">
        <f t="shared" si="1"/>
        <v>0.00625823295</v>
      </c>
    </row>
    <row r="176" ht="15.75" customHeight="1">
      <c r="B176" s="3">
        <v>43413.0</v>
      </c>
      <c r="C176" s="2">
        <v>0.0</v>
      </c>
      <c r="D176" s="2">
        <f t="shared" si="2"/>
        <v>99771.731</v>
      </c>
      <c r="E176" s="5">
        <f t="shared" si="1"/>
        <v>0</v>
      </c>
    </row>
    <row r="177" ht="15.75" customHeight="1">
      <c r="B177" s="3">
        <v>43443.0</v>
      </c>
      <c r="C177" s="2">
        <v>87.348</v>
      </c>
      <c r="D177" s="2">
        <f t="shared" si="2"/>
        <v>99859.079</v>
      </c>
      <c r="E177" s="5">
        <f t="shared" si="1"/>
        <v>0.0008750954382</v>
      </c>
    </row>
    <row r="178" ht="15.75" customHeight="1">
      <c r="B178" s="3" t="s">
        <v>103</v>
      </c>
      <c r="C178" s="2">
        <v>160.196</v>
      </c>
      <c r="D178" s="2">
        <f t="shared" si="2"/>
        <v>100019.275</v>
      </c>
      <c r="E178" s="5">
        <f t="shared" si="1"/>
        <v>0.001602935296</v>
      </c>
    </row>
    <row r="179" ht="15.75" customHeight="1">
      <c r="B179" s="3" t="s">
        <v>104</v>
      </c>
      <c r="C179" s="2">
        <v>14.644</v>
      </c>
      <c r="D179" s="2">
        <f t="shared" si="2"/>
        <v>100033.919</v>
      </c>
      <c r="E179" s="5">
        <f t="shared" si="1"/>
        <v>0.000146401062</v>
      </c>
    </row>
    <row r="180" ht="15.75" customHeight="1">
      <c r="B180" s="3" t="s">
        <v>105</v>
      </c>
      <c r="C180" s="2">
        <v>0.0</v>
      </c>
      <c r="D180" s="2">
        <f t="shared" si="2"/>
        <v>100033.919</v>
      </c>
      <c r="E180" s="5">
        <f t="shared" si="1"/>
        <v>0</v>
      </c>
    </row>
    <row r="181" ht="15.75" customHeight="1">
      <c r="B181" s="3" t="s">
        <v>106</v>
      </c>
      <c r="C181" s="2">
        <v>14.569</v>
      </c>
      <c r="D181" s="2">
        <f t="shared" si="2"/>
        <v>100048.488</v>
      </c>
      <c r="E181" s="5">
        <f t="shared" si="1"/>
        <v>0.0001456299956</v>
      </c>
    </row>
    <row r="182" ht="15.75" customHeight="1">
      <c r="B182" s="3" t="s">
        <v>107</v>
      </c>
      <c r="C182" s="2">
        <v>0.0</v>
      </c>
      <c r="D182" s="2">
        <f t="shared" si="2"/>
        <v>100048.488</v>
      </c>
      <c r="E182" s="5">
        <f t="shared" si="1"/>
        <v>0</v>
      </c>
    </row>
    <row r="183" ht="15.75" customHeight="1">
      <c r="B183" s="3" t="s">
        <v>108</v>
      </c>
      <c r="C183" s="2">
        <v>571.976</v>
      </c>
      <c r="D183" s="2">
        <f t="shared" si="2"/>
        <v>100620.464</v>
      </c>
      <c r="E183" s="5">
        <f t="shared" si="1"/>
        <v>0.00570070799</v>
      </c>
    </row>
    <row r="184" ht="15.75" customHeight="1">
      <c r="B184" s="3" t="s">
        <v>109</v>
      </c>
      <c r="C184" s="2">
        <v>236.508</v>
      </c>
      <c r="D184" s="2">
        <f t="shared" si="2"/>
        <v>100856.972</v>
      </c>
      <c r="E184" s="5">
        <f t="shared" si="1"/>
        <v>0.002347737924</v>
      </c>
    </row>
    <row r="185" ht="15.75" customHeight="1">
      <c r="B185" s="3" t="s">
        <v>110</v>
      </c>
      <c r="C185" s="2">
        <v>-177.318</v>
      </c>
      <c r="D185" s="2">
        <f t="shared" si="2"/>
        <v>100679.654</v>
      </c>
      <c r="E185" s="5">
        <f t="shared" si="1"/>
        <v>-0.001759660755</v>
      </c>
    </row>
    <row r="186" ht="15.75" customHeight="1">
      <c r="B186" s="3" t="s">
        <v>111</v>
      </c>
      <c r="C186" s="2">
        <v>-471.186</v>
      </c>
      <c r="D186" s="2">
        <f t="shared" si="2"/>
        <v>100208.468</v>
      </c>
      <c r="E186" s="5">
        <f t="shared" si="1"/>
        <v>-0.004691037572</v>
      </c>
    </row>
    <row r="187" ht="15.75" customHeight="1">
      <c r="B187" s="3" t="s">
        <v>112</v>
      </c>
      <c r="C187" s="2">
        <v>44.119</v>
      </c>
      <c r="D187" s="2">
        <f t="shared" si="2"/>
        <v>100252.587</v>
      </c>
      <c r="E187" s="5">
        <f t="shared" si="1"/>
        <v>0.0004401752821</v>
      </c>
    </row>
    <row r="188" ht="15.75" customHeight="1">
      <c r="B188" s="3" t="s">
        <v>113</v>
      </c>
      <c r="C188" s="2">
        <v>175.129</v>
      </c>
      <c r="D188" s="2">
        <f t="shared" si="2"/>
        <v>100427.716</v>
      </c>
      <c r="E188" s="5">
        <f t="shared" si="1"/>
        <v>0.001745353598</v>
      </c>
    </row>
    <row r="189" ht="15.75" customHeight="1">
      <c r="B189" s="3" t="s">
        <v>114</v>
      </c>
      <c r="C189" s="2">
        <v>0.0</v>
      </c>
      <c r="D189" s="2">
        <f t="shared" si="2"/>
        <v>100427.716</v>
      </c>
      <c r="E189" s="5">
        <f t="shared" si="1"/>
        <v>0</v>
      </c>
    </row>
    <row r="190" ht="15.75" customHeight="1">
      <c r="B190" s="3">
        <v>43110.0</v>
      </c>
      <c r="C190" s="2">
        <v>-73.188</v>
      </c>
      <c r="D190" s="2">
        <f t="shared" si="2"/>
        <v>100354.528</v>
      </c>
      <c r="E190" s="5">
        <f t="shared" si="1"/>
        <v>-0.000729028641</v>
      </c>
    </row>
    <row r="191" ht="15.75" customHeight="1">
      <c r="B191" s="3">
        <v>43141.0</v>
      </c>
      <c r="C191" s="2">
        <v>176.292</v>
      </c>
      <c r="D191" s="2">
        <f t="shared" si="2"/>
        <v>100530.82</v>
      </c>
      <c r="E191" s="5">
        <f t="shared" si="1"/>
        <v>0.001755150856</v>
      </c>
    </row>
    <row r="192" ht="15.75" customHeight="1">
      <c r="B192" s="3">
        <v>43169.0</v>
      </c>
      <c r="C192" s="2">
        <v>381.828</v>
      </c>
      <c r="D192" s="2">
        <f t="shared" si="2"/>
        <v>100912.648</v>
      </c>
      <c r="E192" s="5">
        <f t="shared" si="1"/>
        <v>0.003790924184</v>
      </c>
    </row>
    <row r="193" ht="15.75" customHeight="1">
      <c r="B193" s="3">
        <v>43200.0</v>
      </c>
      <c r="C193" s="2">
        <v>279.227</v>
      </c>
      <c r="D193" s="2">
        <f t="shared" si="2"/>
        <v>101191.875</v>
      </c>
      <c r="E193" s="5">
        <f t="shared" si="1"/>
        <v>0.002763195732</v>
      </c>
    </row>
    <row r="194" ht="15.75" customHeight="1">
      <c r="B194" s="3">
        <v>43230.0</v>
      </c>
      <c r="C194" s="2">
        <v>379.067</v>
      </c>
      <c r="D194" s="2">
        <f t="shared" si="2"/>
        <v>101570.942</v>
      </c>
      <c r="E194" s="5">
        <f t="shared" si="1"/>
        <v>0.003739023231</v>
      </c>
    </row>
    <row r="195" ht="15.75" customHeight="1">
      <c r="B195" s="3">
        <v>43322.0</v>
      </c>
      <c r="C195" s="2">
        <v>72.496</v>
      </c>
      <c r="D195" s="2">
        <f t="shared" si="2"/>
        <v>101643.438</v>
      </c>
      <c r="E195" s="5">
        <f t="shared" si="1"/>
        <v>0.0007134928451</v>
      </c>
    </row>
    <row r="196" ht="15.75" customHeight="1">
      <c r="B196" s="3">
        <v>43353.0</v>
      </c>
      <c r="C196" s="2">
        <v>-14.493</v>
      </c>
      <c r="D196" s="2">
        <f t="shared" si="2"/>
        <v>101628.945</v>
      </c>
      <c r="E196" s="5">
        <f t="shared" si="1"/>
        <v>-0.0001425968428</v>
      </c>
    </row>
    <row r="197" ht="15.75" customHeight="1">
      <c r="B197" s="3">
        <v>43383.0</v>
      </c>
      <c r="C197" s="2">
        <v>-72.385</v>
      </c>
      <c r="D197" s="2">
        <f t="shared" si="2"/>
        <v>101556.56</v>
      </c>
      <c r="E197" s="5">
        <f t="shared" si="1"/>
        <v>-0.0007125016429</v>
      </c>
    </row>
    <row r="198" ht="15.75" customHeight="1">
      <c r="B198" s="3">
        <v>43414.0</v>
      </c>
      <c r="C198" s="2">
        <v>-28.002</v>
      </c>
      <c r="D198" s="2">
        <f t="shared" si="2"/>
        <v>101528.558</v>
      </c>
      <c r="E198" s="5">
        <f t="shared" si="1"/>
        <v>-0.0002757661463</v>
      </c>
    </row>
    <row r="199" ht="15.75" customHeight="1">
      <c r="B199" s="3">
        <v>43444.0</v>
      </c>
      <c r="C199" s="2">
        <v>-27.427</v>
      </c>
      <c r="D199" s="2">
        <f t="shared" si="2"/>
        <v>101501.131</v>
      </c>
      <c r="E199" s="5">
        <f t="shared" si="1"/>
        <v>-0.0002701772367</v>
      </c>
    </row>
    <row r="200" ht="15.75" customHeight="1">
      <c r="B200" s="3" t="s">
        <v>115</v>
      </c>
      <c r="C200" s="2">
        <v>-69.548</v>
      </c>
      <c r="D200" s="2">
        <f t="shared" si="2"/>
        <v>101431.583</v>
      </c>
      <c r="E200" s="5">
        <f t="shared" si="1"/>
        <v>-0.0006854291883</v>
      </c>
    </row>
    <row r="201" ht="15.75" customHeight="1">
      <c r="B201" s="3" t="s">
        <v>116</v>
      </c>
      <c r="C201" s="2">
        <v>96.793</v>
      </c>
      <c r="D201" s="2">
        <f t="shared" si="2"/>
        <v>101528.376</v>
      </c>
      <c r="E201" s="5">
        <f t="shared" si="1"/>
        <v>0.0009538138243</v>
      </c>
    </row>
    <row r="202" ht="15.75" customHeight="1">
      <c r="B202" s="3" t="s">
        <v>117</v>
      </c>
      <c r="C202" s="2">
        <v>353.134</v>
      </c>
      <c r="D202" s="2">
        <f t="shared" si="2"/>
        <v>101881.51</v>
      </c>
      <c r="E202" s="5">
        <f t="shared" si="1"/>
        <v>0.003472145447</v>
      </c>
    </row>
    <row r="203" ht="15.75" customHeight="1">
      <c r="B203" s="3" t="s">
        <v>118</v>
      </c>
      <c r="C203" s="2">
        <v>-42.367</v>
      </c>
      <c r="D203" s="2">
        <f t="shared" si="2"/>
        <v>101839.143</v>
      </c>
      <c r="E203" s="5">
        <f t="shared" si="1"/>
        <v>-0.0004159323072</v>
      </c>
    </row>
    <row r="204" ht="15.75" customHeight="1">
      <c r="B204" s="3" t="s">
        <v>119</v>
      </c>
      <c r="C204" s="2">
        <v>55.682</v>
      </c>
      <c r="D204" s="2">
        <f t="shared" si="2"/>
        <v>101894.825</v>
      </c>
      <c r="E204" s="5">
        <f t="shared" si="1"/>
        <v>0.000546614803</v>
      </c>
    </row>
    <row r="205" ht="15.75" customHeight="1">
      <c r="B205" s="3" t="s">
        <v>120</v>
      </c>
      <c r="C205" s="2">
        <v>0.0</v>
      </c>
      <c r="D205" s="2">
        <f t="shared" si="2"/>
        <v>101894.825</v>
      </c>
      <c r="E205" s="5">
        <f t="shared" si="1"/>
        <v>0</v>
      </c>
    </row>
    <row r="206" ht="15.75" customHeight="1">
      <c r="B206" s="3" t="s">
        <v>121</v>
      </c>
      <c r="C206" s="2">
        <v>166.274</v>
      </c>
      <c r="D206" s="2">
        <f t="shared" si="2"/>
        <v>102061.099</v>
      </c>
      <c r="E206" s="5">
        <f t="shared" si="1"/>
        <v>0.001630489898</v>
      </c>
    </row>
    <row r="207" ht="15.75" customHeight="1">
      <c r="B207" s="3" t="s">
        <v>122</v>
      </c>
      <c r="C207" s="2">
        <v>316.952</v>
      </c>
      <c r="D207" s="2">
        <f t="shared" si="2"/>
        <v>102378.051</v>
      </c>
      <c r="E207" s="5">
        <f t="shared" si="1"/>
        <v>0.003100700174</v>
      </c>
    </row>
    <row r="208" ht="15.75" customHeight="1">
      <c r="B208" s="3" t="s">
        <v>123</v>
      </c>
      <c r="C208" s="2">
        <v>2070.055</v>
      </c>
      <c r="D208" s="2">
        <f t="shared" si="2"/>
        <v>104448.106</v>
      </c>
      <c r="E208" s="5">
        <f t="shared" si="1"/>
        <v>0.02001801083</v>
      </c>
    </row>
    <row r="209" ht="15.75" customHeight="1">
      <c r="B209" s="3" t="s">
        <v>124</v>
      </c>
      <c r="C209" s="2">
        <v>13.604</v>
      </c>
      <c r="D209" s="2">
        <f t="shared" si="2"/>
        <v>104461.71</v>
      </c>
      <c r="E209" s="5">
        <f t="shared" si="1"/>
        <v>0.0001302380164</v>
      </c>
    </row>
    <row r="210" ht="15.75" customHeight="1">
      <c r="B210" s="3" t="s">
        <v>125</v>
      </c>
      <c r="C210" s="2">
        <v>200.523</v>
      </c>
      <c r="D210" s="2">
        <f t="shared" si="2"/>
        <v>104662.233</v>
      </c>
      <c r="E210" s="5">
        <f t="shared" si="1"/>
        <v>0.001917743694</v>
      </c>
    </row>
    <row r="211" ht="15.75" customHeight="1">
      <c r="B211" s="3" t="s">
        <v>126</v>
      </c>
      <c r="C211" s="2">
        <v>0.0</v>
      </c>
      <c r="D211" s="2">
        <f t="shared" si="2"/>
        <v>104662.233</v>
      </c>
      <c r="E211" s="5">
        <f t="shared" si="1"/>
        <v>0</v>
      </c>
    </row>
    <row r="212" ht="15.75" customHeight="1">
      <c r="B212" s="3" t="s">
        <v>127</v>
      </c>
      <c r="C212" s="2">
        <v>553.083</v>
      </c>
      <c r="D212" s="2">
        <f t="shared" si="2"/>
        <v>105215.316</v>
      </c>
      <c r="E212" s="5">
        <f t="shared" si="1"/>
        <v>0.00527054259</v>
      </c>
    </row>
    <row r="213" ht="15.75" customHeight="1">
      <c r="B213" s="3">
        <v>43111.0</v>
      </c>
      <c r="C213" s="2">
        <v>-218.186</v>
      </c>
      <c r="D213" s="2">
        <f t="shared" si="2"/>
        <v>104997.13</v>
      </c>
      <c r="E213" s="5">
        <f t="shared" si="1"/>
        <v>-0.002075862609</v>
      </c>
    </row>
    <row r="214" ht="15.75" customHeight="1">
      <c r="B214" s="3">
        <v>43142.0</v>
      </c>
      <c r="C214" s="2">
        <v>289.4</v>
      </c>
      <c r="D214" s="2">
        <f t="shared" si="2"/>
        <v>105286.53</v>
      </c>
      <c r="E214" s="5">
        <f t="shared" si="1"/>
        <v>0.002752474279</v>
      </c>
    </row>
    <row r="215" ht="15.75" customHeight="1">
      <c r="B215" s="3">
        <v>43231.0</v>
      </c>
      <c r="C215" s="2">
        <v>273.903</v>
      </c>
      <c r="D215" s="2">
        <f t="shared" si="2"/>
        <v>105560.433</v>
      </c>
      <c r="E215" s="5">
        <f t="shared" si="1"/>
        <v>0.00259812283</v>
      </c>
    </row>
    <row r="216" ht="15.75" customHeight="1">
      <c r="B216" s="3">
        <v>43262.0</v>
      </c>
      <c r="C216" s="2">
        <v>-110.179</v>
      </c>
      <c r="D216" s="2">
        <f t="shared" si="2"/>
        <v>105450.254</v>
      </c>
      <c r="E216" s="5">
        <f t="shared" si="1"/>
        <v>-0.001044297913</v>
      </c>
    </row>
    <row r="217" ht="15.75" customHeight="1">
      <c r="B217" s="3">
        <v>43292.0</v>
      </c>
      <c r="C217" s="2">
        <v>41.579</v>
      </c>
      <c r="D217" s="2">
        <f t="shared" si="2"/>
        <v>105491.833</v>
      </c>
      <c r="E217" s="5">
        <f t="shared" si="1"/>
        <v>0.000394221951</v>
      </c>
    </row>
    <row r="218" ht="15.75" customHeight="1">
      <c r="B218" s="3">
        <v>43323.0</v>
      </c>
      <c r="C218" s="2">
        <v>-1457.838</v>
      </c>
      <c r="D218" s="2">
        <f t="shared" si="2"/>
        <v>104033.995</v>
      </c>
      <c r="E218" s="5">
        <f t="shared" si="1"/>
        <v>-0.01391581687</v>
      </c>
    </row>
    <row r="219" ht="15.75" customHeight="1">
      <c r="B219" s="3">
        <v>43354.0</v>
      </c>
      <c r="C219" s="2">
        <v>522.648</v>
      </c>
      <c r="D219" s="2">
        <f t="shared" si="2"/>
        <v>104556.643</v>
      </c>
      <c r="E219" s="5">
        <f t="shared" si="1"/>
        <v>0.005011242103</v>
      </c>
    </row>
    <row r="220" ht="15.75" customHeight="1">
      <c r="B220" s="3">
        <v>43445.0</v>
      </c>
      <c r="C220" s="2">
        <v>83.988</v>
      </c>
      <c r="D220" s="2">
        <f t="shared" si="2"/>
        <v>104640.631</v>
      </c>
      <c r="E220" s="5">
        <f t="shared" si="1"/>
        <v>0.0008029550568</v>
      </c>
    </row>
    <row r="221" ht="15.75" customHeight="1">
      <c r="B221" s="3" t="s">
        <v>128</v>
      </c>
      <c r="C221" s="2">
        <v>137.222</v>
      </c>
      <c r="D221" s="2">
        <f t="shared" si="2"/>
        <v>104777.853</v>
      </c>
      <c r="E221" s="5">
        <f t="shared" si="1"/>
        <v>0.001310505329</v>
      </c>
    </row>
    <row r="222" ht="15.75" customHeight="1">
      <c r="B222" s="3" t="s">
        <v>129</v>
      </c>
      <c r="C222" s="2">
        <v>383.666</v>
      </c>
      <c r="D222" s="2">
        <f t="shared" si="2"/>
        <v>105161.519</v>
      </c>
      <c r="E222" s="5">
        <f t="shared" si="1"/>
        <v>0.003655021195</v>
      </c>
    </row>
    <row r="223" ht="15.75" customHeight="1">
      <c r="B223" s="3" t="s">
        <v>130</v>
      </c>
      <c r="C223" s="2">
        <v>217.633</v>
      </c>
      <c r="D223" s="2">
        <f t="shared" si="2"/>
        <v>105379.152</v>
      </c>
      <c r="E223" s="5">
        <f t="shared" si="1"/>
        <v>0.002067373268</v>
      </c>
    </row>
    <row r="224" ht="15.75" customHeight="1">
      <c r="B224" s="3" t="s">
        <v>131</v>
      </c>
      <c r="C224" s="2">
        <v>275.013</v>
      </c>
      <c r="D224" s="2">
        <f t="shared" si="2"/>
        <v>105654.165</v>
      </c>
      <c r="E224" s="5">
        <f t="shared" si="1"/>
        <v>0.002606348226</v>
      </c>
    </row>
    <row r="225" ht="15.75" customHeight="1">
      <c r="B225" s="3" t="s">
        <v>132</v>
      </c>
      <c r="C225" s="2">
        <v>-68.911</v>
      </c>
      <c r="D225" s="2">
        <f t="shared" si="2"/>
        <v>105585.254</v>
      </c>
      <c r="E225" s="5">
        <f t="shared" si="1"/>
        <v>-0.0006524445368</v>
      </c>
    </row>
    <row r="226" ht="15.75" customHeight="1">
      <c r="B226" s="3" t="s">
        <v>133</v>
      </c>
      <c r="C226" s="2">
        <v>257.512</v>
      </c>
      <c r="D226" s="2">
        <f t="shared" si="2"/>
        <v>105842.766</v>
      </c>
      <c r="E226" s="5">
        <f t="shared" si="1"/>
        <v>0.002435931882</v>
      </c>
    </row>
    <row r="227" ht="15.75" customHeight="1">
      <c r="B227" s="3" t="s">
        <v>134</v>
      </c>
      <c r="C227" s="2">
        <v>266.162</v>
      </c>
      <c r="D227" s="2">
        <f t="shared" si="2"/>
        <v>106108.928</v>
      </c>
      <c r="E227" s="5">
        <f t="shared" si="1"/>
        <v>0.002511535859</v>
      </c>
    </row>
    <row r="228" ht="15.75" customHeight="1">
      <c r="B228" s="3" t="s">
        <v>135</v>
      </c>
      <c r="C228" s="2">
        <v>13.35</v>
      </c>
      <c r="D228" s="2">
        <f t="shared" si="2"/>
        <v>106122.278</v>
      </c>
      <c r="E228" s="5">
        <f t="shared" si="1"/>
        <v>0.0001258061929</v>
      </c>
    </row>
    <row r="229" ht="15.75" customHeight="1">
      <c r="B229" s="3" t="s">
        <v>136</v>
      </c>
      <c r="C229" s="2">
        <v>318.307</v>
      </c>
      <c r="D229" s="2">
        <f t="shared" si="2"/>
        <v>106440.585</v>
      </c>
      <c r="E229" s="5">
        <f t="shared" si="1"/>
        <v>0.002994946845</v>
      </c>
    </row>
    <row r="230" ht="15.75" customHeight="1">
      <c r="B230" s="3" t="s">
        <v>137</v>
      </c>
      <c r="C230" s="2">
        <v>40.411</v>
      </c>
      <c r="D230" s="2">
        <f t="shared" si="2"/>
        <v>106480.996</v>
      </c>
      <c r="E230" s="5">
        <f t="shared" si="1"/>
        <v>0.0003795857639</v>
      </c>
    </row>
    <row r="231" ht="15.75" customHeight="1">
      <c r="B231" s="3" t="s">
        <v>138</v>
      </c>
      <c r="C231" s="2">
        <v>-54.058</v>
      </c>
      <c r="D231" s="2">
        <f t="shared" si="2"/>
        <v>106426.938</v>
      </c>
      <c r="E231" s="5">
        <f t="shared" si="1"/>
        <v>-0.0005078063569</v>
      </c>
    </row>
    <row r="232" ht="15.75" customHeight="1">
      <c r="B232" s="3" t="s">
        <v>139</v>
      </c>
      <c r="C232" s="2">
        <v>-27.652</v>
      </c>
      <c r="D232" s="2">
        <f t="shared" si="2"/>
        <v>106399.286</v>
      </c>
      <c r="E232" s="5">
        <f t="shared" si="1"/>
        <v>-0.0002598551968</v>
      </c>
    </row>
    <row r="233" ht="15.75" customHeight="1">
      <c r="B233" s="3" t="s">
        <v>140</v>
      </c>
      <c r="C233" s="2">
        <v>-331.174</v>
      </c>
      <c r="D233" s="2">
        <f t="shared" si="2"/>
        <v>106068.112</v>
      </c>
      <c r="E233" s="5">
        <f t="shared" si="1"/>
        <v>-0.003117412566</v>
      </c>
    </row>
    <row r="234" ht="15.75" customHeight="1">
      <c r="B234" s="3">
        <v>43171.0</v>
      </c>
      <c r="C234" s="2">
        <v>-153.055</v>
      </c>
      <c r="D234" s="2">
        <f t="shared" si="2"/>
        <v>105915.057</v>
      </c>
      <c r="E234" s="5">
        <f t="shared" si="1"/>
        <v>-0.001444029989</v>
      </c>
    </row>
    <row r="235" ht="15.75" customHeight="1">
      <c r="B235" s="3">
        <v>43202.0</v>
      </c>
      <c r="C235" s="2">
        <v>225.061</v>
      </c>
      <c r="D235" s="2">
        <f t="shared" si="2"/>
        <v>106140.118</v>
      </c>
      <c r="E235" s="5">
        <f t="shared" si="1"/>
        <v>0.002122665335</v>
      </c>
    </row>
    <row r="236" ht="15.75" customHeight="1">
      <c r="B236" s="3">
        <v>43263.0</v>
      </c>
      <c r="C236" s="2">
        <v>0.0</v>
      </c>
      <c r="D236" s="2">
        <f t="shared" si="2"/>
        <v>106140.118</v>
      </c>
      <c r="E236" s="5">
        <f t="shared" si="1"/>
        <v>0</v>
      </c>
    </row>
    <row r="237" ht="15.75" customHeight="1">
      <c r="B237" s="3">
        <v>43293.0</v>
      </c>
      <c r="C237" s="2">
        <v>-54.381</v>
      </c>
      <c r="D237" s="2">
        <f t="shared" si="2"/>
        <v>106085.737</v>
      </c>
      <c r="E237" s="5">
        <f t="shared" si="1"/>
        <v>-0.0005124823381</v>
      </c>
    </row>
    <row r="238" ht="15.75" customHeight="1">
      <c r="B238" s="3">
        <v>43385.0</v>
      </c>
      <c r="C238" s="2">
        <v>-916.363</v>
      </c>
      <c r="D238" s="2">
        <f t="shared" si="2"/>
        <v>105169.374</v>
      </c>
      <c r="E238" s="5">
        <f t="shared" si="1"/>
        <v>-0.008675470554</v>
      </c>
    </row>
    <row r="239" ht="15.75" customHeight="1">
      <c r="B239" s="3">
        <v>43416.0</v>
      </c>
      <c r="C239" s="2">
        <v>-718.423</v>
      </c>
      <c r="D239" s="2">
        <f t="shared" si="2"/>
        <v>104450.951</v>
      </c>
      <c r="E239" s="5">
        <f t="shared" si="1"/>
        <v>-0.00685454345</v>
      </c>
    </row>
    <row r="240" ht="15.75" customHeight="1">
      <c r="B240" s="3">
        <v>43446.0</v>
      </c>
      <c r="C240" s="2">
        <v>133.0</v>
      </c>
      <c r="D240" s="2">
        <f t="shared" si="2"/>
        <v>104583.951</v>
      </c>
      <c r="E240" s="5">
        <f t="shared" si="1"/>
        <v>0.001272514941</v>
      </c>
    </row>
    <row r="241" ht="15.75" customHeight="1">
      <c r="B241" s="3" t="s">
        <v>141</v>
      </c>
      <c r="C241" s="2">
        <v>280.815</v>
      </c>
      <c r="D241" s="2">
        <f t="shared" si="2"/>
        <v>104864.766</v>
      </c>
      <c r="E241" s="5">
        <f t="shared" si="1"/>
        <v>0.002681469453</v>
      </c>
    </row>
    <row r="242" ht="15.75" customHeight="1">
      <c r="B242" s="3" t="s">
        <v>142</v>
      </c>
      <c r="C242" s="2">
        <v>133.719</v>
      </c>
      <c r="D242" s="2">
        <f t="shared" si="2"/>
        <v>104998.485</v>
      </c>
      <c r="E242" s="5">
        <f t="shared" si="1"/>
        <v>0.001274344293</v>
      </c>
    </row>
    <row r="243" ht="15.75" customHeight="1">
      <c r="B243" s="3" t="s">
        <v>143</v>
      </c>
      <c r="C243" s="2">
        <v>39.355</v>
      </c>
      <c r="D243" s="2">
        <f t="shared" si="2"/>
        <v>105037.84</v>
      </c>
      <c r="E243" s="5">
        <f t="shared" si="1"/>
        <v>0.0003747447063</v>
      </c>
    </row>
    <row r="244" ht="15.75" customHeight="1">
      <c r="B244" s="3" t="s">
        <v>144</v>
      </c>
      <c r="C244" s="2">
        <v>804.794</v>
      </c>
      <c r="D244" s="2">
        <f t="shared" si="2"/>
        <v>105842.634</v>
      </c>
      <c r="E244" s="5">
        <f t="shared" si="1"/>
        <v>0.00763273993</v>
      </c>
    </row>
    <row r="245" ht="15.75" customHeight="1">
      <c r="B245" s="3" t="s">
        <v>145</v>
      </c>
      <c r="C245" s="2">
        <v>459.943</v>
      </c>
      <c r="D245" s="2">
        <f t="shared" si="2"/>
        <v>106302.577</v>
      </c>
      <c r="E245" s="5">
        <f t="shared" si="1"/>
        <v>0.004336121645</v>
      </c>
    </row>
    <row r="246" ht="15.75" customHeight="1">
      <c r="B246" s="3" t="s">
        <v>146</v>
      </c>
      <c r="C246" s="2">
        <v>25.161</v>
      </c>
      <c r="D246" s="2">
        <f t="shared" si="2"/>
        <v>106327.738</v>
      </c>
      <c r="E246" s="5">
        <f t="shared" si="1"/>
        <v>0.0002366642792</v>
      </c>
    </row>
    <row r="247" ht="15.75" customHeight="1">
      <c r="B247" s="3" t="s">
        <v>147</v>
      </c>
      <c r="C247" s="2">
        <v>544.84</v>
      </c>
      <c r="D247" s="2">
        <f t="shared" si="2"/>
        <v>106872.578</v>
      </c>
      <c r="E247" s="5">
        <f t="shared" si="1"/>
        <v>0.005111072969</v>
      </c>
    </row>
    <row r="248" ht="15.75" customHeight="1">
      <c r="B248" s="3" t="s">
        <v>148</v>
      </c>
      <c r="C248" s="2">
        <v>278.935</v>
      </c>
      <c r="D248" s="2">
        <f t="shared" si="2"/>
        <v>107151.513</v>
      </c>
      <c r="E248" s="5">
        <f t="shared" si="1"/>
        <v>0.0026065772</v>
      </c>
    </row>
    <row r="249" ht="15.75" customHeight="1">
      <c r="B249" s="3" t="s">
        <v>149</v>
      </c>
      <c r="C249" s="2">
        <v>0.0</v>
      </c>
      <c r="D249" s="2">
        <f t="shared" si="2"/>
        <v>107151.513</v>
      </c>
      <c r="E249" s="5">
        <f t="shared" si="1"/>
        <v>0</v>
      </c>
    </row>
    <row r="250" ht="15.75" customHeight="1">
      <c r="B250" s="3" t="s">
        <v>150</v>
      </c>
      <c r="C250" s="2">
        <v>297.24</v>
      </c>
      <c r="D250" s="2">
        <f t="shared" si="2"/>
        <v>107448.753</v>
      </c>
      <c r="E250" s="5">
        <f t="shared" si="1"/>
        <v>0.002770175411</v>
      </c>
    </row>
    <row r="251" ht="15.75" customHeight="1">
      <c r="B251" s="3" t="s">
        <v>151</v>
      </c>
      <c r="C251" s="2">
        <v>512.179</v>
      </c>
      <c r="D251" s="2">
        <f t="shared" si="2"/>
        <v>107960.932</v>
      </c>
      <c r="E251" s="5">
        <f t="shared" si="1"/>
        <v>0.004755403316</v>
      </c>
    </row>
    <row r="252" ht="15.75" customHeight="1">
      <c r="B252" s="3" t="s">
        <v>152</v>
      </c>
      <c r="C252" s="2">
        <v>411.266</v>
      </c>
      <c r="D252" s="2">
        <f t="shared" si="2"/>
        <v>108372.198</v>
      </c>
      <c r="E252" s="5">
        <f t="shared" si="1"/>
        <v>0.003802159156</v>
      </c>
    </row>
    <row r="253" ht="15.75" customHeight="1">
      <c r="B253" s="3">
        <v>43497.0</v>
      </c>
      <c r="C253" s="2">
        <v>12.57</v>
      </c>
      <c r="D253" s="2">
        <f t="shared" si="2"/>
        <v>108384.768</v>
      </c>
      <c r="E253" s="5">
        <f t="shared" si="1"/>
        <v>0.0001159824318</v>
      </c>
    </row>
    <row r="254" ht="15.75" customHeight="1">
      <c r="B254" s="3">
        <v>43525.0</v>
      </c>
      <c r="C254" s="2">
        <v>276.89</v>
      </c>
      <c r="D254" s="2">
        <f t="shared" si="2"/>
        <v>108661.658</v>
      </c>
      <c r="E254" s="5">
        <f t="shared" si="1"/>
        <v>0.002551437085</v>
      </c>
    </row>
    <row r="255" ht="15.75" customHeight="1">
      <c r="B255" s="3">
        <v>43556.0</v>
      </c>
      <c r="C255" s="2">
        <v>147.332</v>
      </c>
      <c r="D255" s="2">
        <f t="shared" si="2"/>
        <v>108808.99</v>
      </c>
      <c r="E255" s="5">
        <f t="shared" si="1"/>
        <v>0.001354960073</v>
      </c>
    </row>
    <row r="256" ht="15.75" customHeight="1">
      <c r="B256" s="3">
        <v>43647.0</v>
      </c>
      <c r="C256" s="2">
        <v>88.894</v>
      </c>
      <c r="D256" s="2">
        <f t="shared" si="2"/>
        <v>108897.884</v>
      </c>
      <c r="E256" s="5">
        <f t="shared" si="1"/>
        <v>0.000816639395</v>
      </c>
    </row>
    <row r="257" ht="15.75" customHeight="1">
      <c r="B257" s="3">
        <v>43678.0</v>
      </c>
      <c r="C257" s="2">
        <v>-63.94</v>
      </c>
      <c r="D257" s="2">
        <f t="shared" si="2"/>
        <v>108833.944</v>
      </c>
      <c r="E257" s="5">
        <f t="shared" si="1"/>
        <v>-0.0005873280211</v>
      </c>
    </row>
    <row r="258" ht="15.75" customHeight="1">
      <c r="B258" s="3">
        <v>43709.0</v>
      </c>
      <c r="C258" s="2">
        <v>77.474</v>
      </c>
      <c r="D258" s="2">
        <f t="shared" si="2"/>
        <v>108911.418</v>
      </c>
      <c r="E258" s="5">
        <f t="shared" si="1"/>
        <v>0.0007116018689</v>
      </c>
    </row>
    <row r="259" ht="15.75" customHeight="1">
      <c r="B259" s="3">
        <v>43739.0</v>
      </c>
      <c r="C259" s="2">
        <v>0.0</v>
      </c>
      <c r="D259" s="2">
        <f t="shared" si="2"/>
        <v>108911.418</v>
      </c>
      <c r="E259" s="5">
        <f t="shared" si="1"/>
        <v>0</v>
      </c>
    </row>
    <row r="260" ht="15.75" customHeight="1">
      <c r="B260" s="3">
        <v>43770.0</v>
      </c>
      <c r="C260" s="2">
        <v>0.0</v>
      </c>
      <c r="D260" s="2">
        <f t="shared" si="2"/>
        <v>108911.418</v>
      </c>
      <c r="E260" s="5">
        <f t="shared" si="1"/>
        <v>0</v>
      </c>
    </row>
    <row r="261" ht="15.75" customHeight="1">
      <c r="B261" s="3" t="s">
        <v>153</v>
      </c>
      <c r="C261" s="2">
        <v>-39.078</v>
      </c>
      <c r="D261" s="2">
        <f t="shared" si="2"/>
        <v>108872.34</v>
      </c>
      <c r="E261" s="5">
        <f t="shared" si="1"/>
        <v>-0.0003588697411</v>
      </c>
    </row>
    <row r="262" ht="15.75" customHeight="1">
      <c r="B262" s="3" t="s">
        <v>154</v>
      </c>
      <c r="C262" s="2">
        <v>-116.629</v>
      </c>
      <c r="D262" s="2">
        <f t="shared" si="2"/>
        <v>108755.711</v>
      </c>
      <c r="E262" s="5">
        <f t="shared" si="1"/>
        <v>-0.001071819654</v>
      </c>
    </row>
    <row r="263" ht="15.75" customHeight="1">
      <c r="B263" s="3" t="s">
        <v>155</v>
      </c>
      <c r="C263" s="2">
        <v>0.0</v>
      </c>
      <c r="D263" s="2">
        <f t="shared" si="2"/>
        <v>108755.711</v>
      </c>
      <c r="E263" s="5">
        <f t="shared" si="1"/>
        <v>0</v>
      </c>
    </row>
    <row r="264" ht="15.75" customHeight="1">
      <c r="B264" s="3" t="s">
        <v>156</v>
      </c>
      <c r="C264" s="2">
        <v>91.892</v>
      </c>
      <c r="D264" s="2">
        <f t="shared" si="2"/>
        <v>108847.603</v>
      </c>
      <c r="E264" s="5">
        <f t="shared" si="1"/>
        <v>0.0008445827756</v>
      </c>
    </row>
    <row r="265" ht="15.75" customHeight="1">
      <c r="B265" s="3" t="s">
        <v>157</v>
      </c>
      <c r="C265" s="2">
        <v>0.0</v>
      </c>
      <c r="D265" s="2">
        <f t="shared" si="2"/>
        <v>108847.603</v>
      </c>
      <c r="E265" s="5">
        <f t="shared" si="1"/>
        <v>0</v>
      </c>
    </row>
    <row r="266" ht="15.75" customHeight="1">
      <c r="B266" s="3" t="s">
        <v>158</v>
      </c>
      <c r="C266" s="2">
        <v>-67.015</v>
      </c>
      <c r="D266" s="2">
        <f t="shared" si="2"/>
        <v>108780.588</v>
      </c>
      <c r="E266" s="5">
        <f t="shared" si="1"/>
        <v>-0.0006158669225</v>
      </c>
    </row>
    <row r="267" ht="15.75" customHeight="1">
      <c r="B267" s="3" t="s">
        <v>159</v>
      </c>
      <c r="C267" s="2">
        <v>-237.848</v>
      </c>
      <c r="D267" s="2">
        <f t="shared" si="2"/>
        <v>108542.74</v>
      </c>
      <c r="E267" s="5">
        <f t="shared" si="1"/>
        <v>-0.002188886919</v>
      </c>
    </row>
    <row r="268" ht="15.75" customHeight="1">
      <c r="B268" s="3" t="s">
        <v>160</v>
      </c>
      <c r="C268" s="2">
        <v>13.243</v>
      </c>
      <c r="D268" s="2">
        <f t="shared" si="2"/>
        <v>108555.983</v>
      </c>
      <c r="E268" s="5">
        <f t="shared" si="1"/>
        <v>0.0001219997965</v>
      </c>
    </row>
    <row r="269" ht="15.75" customHeight="1">
      <c r="B269" s="3" t="s">
        <v>161</v>
      </c>
      <c r="C269" s="2">
        <v>-159.137</v>
      </c>
      <c r="D269" s="2">
        <f t="shared" si="2"/>
        <v>108396.846</v>
      </c>
      <c r="E269" s="5">
        <f t="shared" si="1"/>
        <v>-0.001467019621</v>
      </c>
    </row>
    <row r="270" ht="15.75" customHeight="1">
      <c r="B270" s="3" t="s">
        <v>162</v>
      </c>
      <c r="C270" s="2">
        <v>-6901.237</v>
      </c>
      <c r="D270" s="2">
        <f t="shared" si="2"/>
        <v>101495.609</v>
      </c>
      <c r="E270" s="5">
        <f t="shared" si="1"/>
        <v>-0.06578345618</v>
      </c>
    </row>
    <row r="271" ht="15.75" customHeight="1">
      <c r="B271" s="3" t="s">
        <v>163</v>
      </c>
      <c r="C271" s="2">
        <v>0.0</v>
      </c>
      <c r="D271" s="2">
        <f t="shared" si="2"/>
        <v>101495.609</v>
      </c>
      <c r="E271" s="5">
        <f t="shared" si="1"/>
        <v>0</v>
      </c>
    </row>
    <row r="272" ht="15.75" customHeight="1">
      <c r="B272" s="3" t="s">
        <v>164</v>
      </c>
      <c r="C272" s="2">
        <v>-212.007</v>
      </c>
      <c r="D272" s="2">
        <f t="shared" si="2"/>
        <v>101283.602</v>
      </c>
      <c r="E272" s="5">
        <f t="shared" si="1"/>
        <v>-0.002091013928</v>
      </c>
    </row>
    <row r="273" ht="15.75" customHeight="1">
      <c r="B273" s="3" t="s">
        <v>165</v>
      </c>
      <c r="C273" s="2">
        <v>80.747</v>
      </c>
      <c r="D273" s="2">
        <f t="shared" si="2"/>
        <v>101364.349</v>
      </c>
      <c r="E273" s="5">
        <f t="shared" si="1"/>
        <v>0.00079691903</v>
      </c>
    </row>
    <row r="274" ht="15.75" customHeight="1">
      <c r="B274" s="3">
        <v>43467.0</v>
      </c>
      <c r="C274" s="2">
        <v>122.189</v>
      </c>
      <c r="D274" s="2">
        <f t="shared" si="2"/>
        <v>101486.538</v>
      </c>
      <c r="E274" s="5">
        <f t="shared" si="1"/>
        <v>0.001204717579</v>
      </c>
    </row>
    <row r="275" ht="15.75" customHeight="1">
      <c r="B275" s="3">
        <v>43557.0</v>
      </c>
      <c r="C275" s="2">
        <v>231.039</v>
      </c>
      <c r="D275" s="2">
        <f t="shared" si="2"/>
        <v>101717.577</v>
      </c>
      <c r="E275" s="5">
        <f t="shared" si="1"/>
        <v>0.002273960835</v>
      </c>
    </row>
    <row r="276" ht="15.75" customHeight="1">
      <c r="B276" s="3">
        <v>43587.0</v>
      </c>
      <c r="C276" s="2">
        <v>0.0</v>
      </c>
      <c r="D276" s="2">
        <f t="shared" si="2"/>
        <v>101717.577</v>
      </c>
      <c r="E276" s="5">
        <f t="shared" si="1"/>
        <v>0</v>
      </c>
    </row>
    <row r="277" ht="15.75" customHeight="1">
      <c r="B277" s="3">
        <v>43618.0</v>
      </c>
      <c r="C277" s="2">
        <v>82.484</v>
      </c>
      <c r="D277" s="2">
        <f t="shared" si="2"/>
        <v>101800.061</v>
      </c>
      <c r="E277" s="5">
        <f t="shared" si="1"/>
        <v>0.0008105833512</v>
      </c>
    </row>
    <row r="278" ht="15.75" customHeight="1">
      <c r="B278" s="3">
        <v>43648.0</v>
      </c>
      <c r="C278" s="2">
        <v>-192.053</v>
      </c>
      <c r="D278" s="2">
        <f t="shared" si="2"/>
        <v>101608.008</v>
      </c>
      <c r="E278" s="5">
        <f t="shared" si="1"/>
        <v>-0.001888352394</v>
      </c>
    </row>
    <row r="279" ht="15.75" customHeight="1">
      <c r="B279" s="3">
        <v>43679.0</v>
      </c>
      <c r="C279" s="2">
        <v>-299.016</v>
      </c>
      <c r="D279" s="2">
        <f t="shared" si="2"/>
        <v>101308.992</v>
      </c>
      <c r="E279" s="5">
        <f t="shared" si="1"/>
        <v>-0.002947177579</v>
      </c>
    </row>
    <row r="280" ht="15.75" customHeight="1">
      <c r="B280" s="3">
        <v>43771.0</v>
      </c>
      <c r="C280" s="2">
        <v>40.816</v>
      </c>
      <c r="D280" s="2">
        <f t="shared" si="2"/>
        <v>101349.808</v>
      </c>
      <c r="E280" s="5">
        <f t="shared" si="1"/>
        <v>0.0004028051143</v>
      </c>
    </row>
    <row r="281" ht="15.75" customHeight="1">
      <c r="B281" s="3">
        <v>43801.0</v>
      </c>
      <c r="C281" s="2">
        <v>0.0</v>
      </c>
      <c r="D281" s="2">
        <f t="shared" si="2"/>
        <v>101349.808</v>
      </c>
      <c r="E281" s="5">
        <f t="shared" si="1"/>
        <v>0</v>
      </c>
    </row>
    <row r="282" ht="15.75" customHeight="1">
      <c r="B282" s="3" t="s">
        <v>166</v>
      </c>
      <c r="C282" s="2">
        <v>82.75</v>
      </c>
      <c r="D282" s="2">
        <f t="shared" si="2"/>
        <v>101432.558</v>
      </c>
      <c r="E282" s="5">
        <f t="shared" si="1"/>
        <v>0.0008161459621</v>
      </c>
    </row>
    <row r="283" ht="15.75" customHeight="1">
      <c r="B283" s="3" t="s">
        <v>167</v>
      </c>
      <c r="C283" s="2">
        <v>373.528</v>
      </c>
      <c r="D283" s="2">
        <f t="shared" si="2"/>
        <v>101806.086</v>
      </c>
      <c r="E283" s="5">
        <f t="shared" si="1"/>
        <v>0.003675761786</v>
      </c>
    </row>
    <row r="284" ht="15.75" customHeight="1">
      <c r="B284" s="3" t="s">
        <v>168</v>
      </c>
      <c r="C284" s="2">
        <v>-124.222</v>
      </c>
      <c r="D284" s="2">
        <f t="shared" si="2"/>
        <v>101681.864</v>
      </c>
      <c r="E284" s="5">
        <f t="shared" si="1"/>
        <v>-0.001220927484</v>
      </c>
    </row>
    <row r="285" ht="15.75" customHeight="1">
      <c r="B285" s="3" t="s">
        <v>169</v>
      </c>
      <c r="C285" s="2">
        <v>223.26</v>
      </c>
      <c r="D285" s="2">
        <f t="shared" si="2"/>
        <v>101905.124</v>
      </c>
      <c r="E285" s="5">
        <f t="shared" si="1"/>
        <v>0.002193264822</v>
      </c>
    </row>
    <row r="286" ht="15.75" customHeight="1">
      <c r="B286" s="3" t="s">
        <v>170</v>
      </c>
      <c r="C286" s="2">
        <v>181.682</v>
      </c>
      <c r="D286" s="2">
        <f t="shared" si="2"/>
        <v>102086.806</v>
      </c>
      <c r="E286" s="5">
        <f t="shared" si="1"/>
        <v>0.001781267014</v>
      </c>
    </row>
    <row r="287" ht="15.75" customHeight="1">
      <c r="B287" s="3" t="s">
        <v>171</v>
      </c>
      <c r="C287" s="2">
        <v>182.041</v>
      </c>
      <c r="D287" s="2">
        <f t="shared" si="2"/>
        <v>102268.847</v>
      </c>
      <c r="E287" s="5">
        <f t="shared" si="1"/>
        <v>0.001781610105</v>
      </c>
    </row>
    <row r="288" ht="15.75" customHeight="1">
      <c r="B288" s="3" t="s">
        <v>172</v>
      </c>
      <c r="C288" s="2">
        <v>-139.55</v>
      </c>
      <c r="D288" s="2">
        <f t="shared" si="2"/>
        <v>102129.297</v>
      </c>
      <c r="E288" s="5">
        <f t="shared" si="1"/>
        <v>-0.001365472494</v>
      </c>
    </row>
    <row r="289" ht="15.75" customHeight="1">
      <c r="B289" s="3" t="s">
        <v>173</v>
      </c>
      <c r="C289" s="2">
        <v>-98.315</v>
      </c>
      <c r="D289" s="2">
        <f t="shared" si="2"/>
        <v>102030.982</v>
      </c>
      <c r="E289" s="5">
        <f t="shared" si="1"/>
        <v>-0.0009631159213</v>
      </c>
    </row>
    <row r="290" ht="15.75" customHeight="1">
      <c r="B290" s="3" t="s">
        <v>174</v>
      </c>
      <c r="C290" s="2">
        <v>-14.064</v>
      </c>
      <c r="D290" s="2">
        <f t="shared" si="2"/>
        <v>102016.918</v>
      </c>
      <c r="E290" s="5">
        <f t="shared" si="1"/>
        <v>-0.0001378499854</v>
      </c>
    </row>
    <row r="291" ht="15.75" customHeight="1">
      <c r="B291" s="3" t="s">
        <v>175</v>
      </c>
      <c r="C291" s="2">
        <v>-84.319</v>
      </c>
      <c r="D291" s="2">
        <f t="shared" si="2"/>
        <v>101932.599</v>
      </c>
      <c r="E291" s="5">
        <f t="shared" si="1"/>
        <v>-0.0008268615297</v>
      </c>
    </row>
    <row r="292" ht="15.75" customHeight="1">
      <c r="B292" s="3" t="s">
        <v>176</v>
      </c>
      <c r="C292" s="2">
        <v>-56.191</v>
      </c>
      <c r="D292" s="2">
        <f t="shared" si="2"/>
        <v>101876.408</v>
      </c>
      <c r="E292" s="5">
        <f t="shared" si="1"/>
        <v>-0.0005514084215</v>
      </c>
    </row>
    <row r="293" ht="15.75" customHeight="1">
      <c r="B293" s="3">
        <v>43468.0</v>
      </c>
      <c r="C293" s="2">
        <v>-98.086</v>
      </c>
      <c r="D293" s="2">
        <f t="shared" si="2"/>
        <v>101778.322</v>
      </c>
      <c r="E293" s="5">
        <f t="shared" si="1"/>
        <v>-0.0009632578392</v>
      </c>
    </row>
    <row r="294" ht="15.75" customHeight="1">
      <c r="B294" s="3">
        <v>43558.0</v>
      </c>
      <c r="C294" s="2">
        <v>197.534</v>
      </c>
      <c r="D294" s="2">
        <f t="shared" si="2"/>
        <v>101975.856</v>
      </c>
      <c r="E294" s="5">
        <f t="shared" si="1"/>
        <v>0.001938944897</v>
      </c>
    </row>
    <row r="295" ht="15.75" customHeight="1">
      <c r="B295" s="3">
        <v>43588.0</v>
      </c>
      <c r="C295" s="2">
        <v>168.661</v>
      </c>
      <c r="D295" s="2">
        <f t="shared" si="2"/>
        <v>102144.517</v>
      </c>
      <c r="E295" s="5">
        <f t="shared" si="1"/>
        <v>0.001652564474</v>
      </c>
    </row>
    <row r="296" ht="15.75" customHeight="1">
      <c r="B296" s="3">
        <v>43619.0</v>
      </c>
      <c r="C296" s="2">
        <v>84.238</v>
      </c>
      <c r="D296" s="2">
        <f t="shared" si="2"/>
        <v>102228.755</v>
      </c>
      <c r="E296" s="5">
        <f t="shared" si="1"/>
        <v>0.0008243544172</v>
      </c>
    </row>
    <row r="297" ht="15.75" customHeight="1">
      <c r="B297" s="3">
        <v>43649.0</v>
      </c>
      <c r="C297" s="2">
        <v>265.026</v>
      </c>
      <c r="D297" s="2">
        <f t="shared" si="2"/>
        <v>102493.781</v>
      </c>
      <c r="E297" s="5">
        <f t="shared" si="1"/>
        <v>0.002589125293</v>
      </c>
    </row>
    <row r="298" ht="15.75" customHeight="1">
      <c r="B298" s="3">
        <v>43680.0</v>
      </c>
      <c r="C298" s="2">
        <v>-193.737</v>
      </c>
      <c r="D298" s="2">
        <f t="shared" si="2"/>
        <v>102300.044</v>
      </c>
      <c r="E298" s="5">
        <f t="shared" si="1"/>
        <v>-0.001892020502</v>
      </c>
    </row>
    <row r="299" ht="15.75" customHeight="1">
      <c r="B299" s="3">
        <v>43772.0</v>
      </c>
      <c r="C299" s="2">
        <v>-151.913</v>
      </c>
      <c r="D299" s="2">
        <f t="shared" si="2"/>
        <v>102148.131</v>
      </c>
      <c r="E299" s="5">
        <f t="shared" si="1"/>
        <v>-0.001486078591</v>
      </c>
    </row>
    <row r="300" ht="15.75" customHeight="1">
      <c r="B300" s="3">
        <v>43802.0</v>
      </c>
      <c r="C300" s="2">
        <v>4119.768</v>
      </c>
      <c r="D300" s="2">
        <f t="shared" si="2"/>
        <v>106267.899</v>
      </c>
      <c r="E300" s="5">
        <f t="shared" si="1"/>
        <v>0.03953923032</v>
      </c>
    </row>
    <row r="301" ht="15.75" customHeight="1">
      <c r="B301" s="3" t="s">
        <v>177</v>
      </c>
      <c r="C301" s="2">
        <v>-28.11</v>
      </c>
      <c r="D301" s="2">
        <f t="shared" si="2"/>
        <v>106239.789</v>
      </c>
      <c r="E301" s="5">
        <f t="shared" si="1"/>
        <v>-0.0002645551361</v>
      </c>
    </row>
    <row r="302" ht="15.75" customHeight="1">
      <c r="B302" s="3" t="s">
        <v>178</v>
      </c>
      <c r="C302" s="2">
        <v>127.382</v>
      </c>
      <c r="D302" s="2">
        <f t="shared" si="2"/>
        <v>106367.171</v>
      </c>
      <c r="E302" s="5">
        <f t="shared" si="1"/>
        <v>0.001198286408</v>
      </c>
    </row>
    <row r="303" ht="15.75" customHeight="1">
      <c r="B303" s="3" t="s">
        <v>179</v>
      </c>
      <c r="C303" s="2">
        <v>2390.707</v>
      </c>
      <c r="D303" s="2">
        <f t="shared" si="2"/>
        <v>108757.878</v>
      </c>
      <c r="E303" s="5">
        <f t="shared" si="1"/>
        <v>0.02222712266</v>
      </c>
    </row>
    <row r="304" ht="15.75" customHeight="1">
      <c r="B304" s="3" t="s">
        <v>180</v>
      </c>
      <c r="C304" s="2">
        <v>0.0</v>
      </c>
      <c r="D304" s="2">
        <f t="shared" si="2"/>
        <v>108757.878</v>
      </c>
      <c r="E304" s="5">
        <f t="shared" si="1"/>
        <v>0</v>
      </c>
    </row>
    <row r="305" ht="15.75" customHeight="1">
      <c r="B305" s="3" t="s">
        <v>181</v>
      </c>
      <c r="C305" s="2">
        <v>85.62</v>
      </c>
      <c r="D305" s="2">
        <f t="shared" si="2"/>
        <v>108843.498</v>
      </c>
      <c r="E305" s="5">
        <f t="shared" si="1"/>
        <v>0.0007869435938</v>
      </c>
    </row>
    <row r="306" ht="15.75" customHeight="1">
      <c r="B306" s="3" t="s">
        <v>182</v>
      </c>
      <c r="C306" s="2">
        <v>-328.183</v>
      </c>
      <c r="D306" s="2">
        <f t="shared" si="2"/>
        <v>108515.315</v>
      </c>
      <c r="E306" s="5">
        <f t="shared" si="1"/>
        <v>-0.003019737225</v>
      </c>
    </row>
    <row r="307" ht="15.75" customHeight="1">
      <c r="B307" s="3" t="s">
        <v>183</v>
      </c>
      <c r="C307" s="2">
        <v>0.0</v>
      </c>
      <c r="D307" s="2">
        <f t="shared" si="2"/>
        <v>108515.315</v>
      </c>
      <c r="E307" s="5">
        <f t="shared" si="1"/>
        <v>0</v>
      </c>
    </row>
    <row r="308" ht="15.75" customHeight="1">
      <c r="B308" s="3" t="s">
        <v>184</v>
      </c>
      <c r="C308" s="2">
        <v>257.872</v>
      </c>
      <c r="D308" s="2">
        <f t="shared" si="2"/>
        <v>108773.187</v>
      </c>
      <c r="E308" s="5">
        <f t="shared" si="1"/>
        <v>0.002373545942</v>
      </c>
    </row>
    <row r="309" ht="15.75" customHeight="1">
      <c r="B309" s="3" t="s">
        <v>185</v>
      </c>
      <c r="C309" s="2">
        <v>70.278</v>
      </c>
      <c r="D309" s="2">
        <f t="shared" si="2"/>
        <v>108843.465</v>
      </c>
      <c r="E309" s="5">
        <f t="shared" si="1"/>
        <v>0.0006458880954</v>
      </c>
    </row>
    <row r="310" ht="15.75" customHeight="1">
      <c r="B310" s="3" t="s">
        <v>186</v>
      </c>
      <c r="C310" s="2">
        <v>126.403</v>
      </c>
      <c r="D310" s="2">
        <f t="shared" si="2"/>
        <v>108969.868</v>
      </c>
      <c r="E310" s="5">
        <f t="shared" si="1"/>
        <v>0.001160654515</v>
      </c>
    </row>
    <row r="311" ht="15.75" customHeight="1">
      <c r="B311" s="3" t="s">
        <v>187</v>
      </c>
      <c r="C311" s="2">
        <v>-70.728</v>
      </c>
      <c r="D311" s="2">
        <f t="shared" si="2"/>
        <v>108899.14</v>
      </c>
      <c r="E311" s="5">
        <f t="shared" si="1"/>
        <v>-0.0006492708911</v>
      </c>
    </row>
    <row r="312" ht="15.75" customHeight="1">
      <c r="B312" s="3" t="s">
        <v>188</v>
      </c>
      <c r="C312" s="2">
        <v>225.28</v>
      </c>
      <c r="D312" s="2">
        <f t="shared" si="2"/>
        <v>109124.42</v>
      </c>
      <c r="E312" s="5">
        <f t="shared" si="1"/>
        <v>0.002066566386</v>
      </c>
    </row>
    <row r="313" ht="15.75" customHeight="1">
      <c r="B313" s="3" t="s">
        <v>189</v>
      </c>
      <c r="C313" s="2">
        <v>0.0</v>
      </c>
      <c r="D313" s="2">
        <f t="shared" si="2"/>
        <v>109124.42</v>
      </c>
      <c r="E313" s="5">
        <f t="shared" si="1"/>
        <v>0</v>
      </c>
    </row>
    <row r="314" ht="15.75" customHeight="1">
      <c r="B314" s="3">
        <v>43469.0</v>
      </c>
      <c r="C314" s="2">
        <v>-156.513</v>
      </c>
      <c r="D314" s="2">
        <f t="shared" si="2"/>
        <v>108967.907</v>
      </c>
      <c r="E314" s="5">
        <f t="shared" si="1"/>
        <v>-0.001435291457</v>
      </c>
    </row>
    <row r="315" ht="15.75" customHeight="1">
      <c r="B315" s="3">
        <v>43500.0</v>
      </c>
      <c r="C315" s="2">
        <v>71.966</v>
      </c>
      <c r="D315" s="2">
        <f t="shared" si="2"/>
        <v>109039.873</v>
      </c>
      <c r="E315" s="5">
        <f t="shared" si="1"/>
        <v>0.0006602149943</v>
      </c>
    </row>
    <row r="316" ht="15.75" customHeight="1">
      <c r="B316" s="3">
        <v>43528.0</v>
      </c>
      <c r="C316" s="2">
        <v>1209.084</v>
      </c>
      <c r="D316" s="2">
        <f t="shared" si="2"/>
        <v>110248.957</v>
      </c>
      <c r="E316" s="5">
        <f t="shared" si="1"/>
        <v>0.01102743129</v>
      </c>
    </row>
    <row r="317" ht="15.75" customHeight="1">
      <c r="B317" s="3">
        <v>43559.0</v>
      </c>
      <c r="C317" s="2">
        <v>230.797</v>
      </c>
      <c r="D317" s="2">
        <f t="shared" si="2"/>
        <v>110479.754</v>
      </c>
      <c r="E317" s="5">
        <f t="shared" si="1"/>
        <v>0.002091228486</v>
      </c>
    </row>
    <row r="318" ht="15.75" customHeight="1">
      <c r="B318" s="3">
        <v>43589.0</v>
      </c>
      <c r="C318" s="2">
        <v>0.0</v>
      </c>
      <c r="D318" s="2">
        <f t="shared" si="2"/>
        <v>110479.754</v>
      </c>
      <c r="E318" s="5">
        <f t="shared" si="1"/>
        <v>0</v>
      </c>
    </row>
    <row r="319" ht="15.75" customHeight="1">
      <c r="B319" s="3">
        <v>43681.0</v>
      </c>
      <c r="C319" s="2">
        <v>479.329</v>
      </c>
      <c r="D319" s="2">
        <f t="shared" si="2"/>
        <v>110959.083</v>
      </c>
      <c r="E319" s="5">
        <f t="shared" si="1"/>
        <v>0.004329229282</v>
      </c>
    </row>
    <row r="320" ht="15.75" customHeight="1">
      <c r="B320" s="3">
        <v>43712.0</v>
      </c>
      <c r="C320" s="2">
        <v>0.0</v>
      </c>
      <c r="D320" s="2">
        <f t="shared" si="2"/>
        <v>110959.083</v>
      </c>
      <c r="E320" s="5">
        <f t="shared" si="1"/>
        <v>0</v>
      </c>
    </row>
    <row r="321" ht="15.75" customHeight="1">
      <c r="B321" s="3">
        <v>43742.0</v>
      </c>
      <c r="C321" s="2">
        <v>187.938</v>
      </c>
      <c r="D321" s="2">
        <f t="shared" si="2"/>
        <v>111147.021</v>
      </c>
      <c r="E321" s="5">
        <f t="shared" si="1"/>
        <v>0.001692326699</v>
      </c>
    </row>
    <row r="322" ht="15.75" customHeight="1">
      <c r="B322" s="3">
        <v>43773.0</v>
      </c>
      <c r="C322" s="2">
        <v>145.083</v>
      </c>
      <c r="D322" s="2">
        <f t="shared" si="2"/>
        <v>111292.104</v>
      </c>
      <c r="E322" s="5">
        <f t="shared" si="1"/>
        <v>0.001304473937</v>
      </c>
    </row>
    <row r="323" ht="15.75" customHeight="1">
      <c r="B323" s="3">
        <v>43803.0</v>
      </c>
      <c r="C323" s="2">
        <v>232.143</v>
      </c>
      <c r="D323" s="2">
        <f t="shared" si="2"/>
        <v>111524.247</v>
      </c>
      <c r="E323" s="5">
        <f t="shared" si="1"/>
        <v>0.002083716774</v>
      </c>
    </row>
    <row r="324" ht="15.75" customHeight="1">
      <c r="B324" s="3" t="s">
        <v>190</v>
      </c>
      <c r="C324" s="2">
        <v>87.638</v>
      </c>
      <c r="D324" s="2">
        <f t="shared" si="2"/>
        <v>111611.885</v>
      </c>
      <c r="E324" s="5">
        <f t="shared" si="1"/>
        <v>0.0007855115505</v>
      </c>
    </row>
    <row r="325" ht="15.75" customHeight="1">
      <c r="B325" s="3" t="s">
        <v>191</v>
      </c>
      <c r="C325" s="2">
        <v>72.988</v>
      </c>
      <c r="D325" s="2">
        <f t="shared" si="2"/>
        <v>111684.873</v>
      </c>
      <c r="E325" s="5">
        <f t="shared" si="1"/>
        <v>0.0006537309655</v>
      </c>
    </row>
    <row r="326" ht="15.75" customHeight="1">
      <c r="B326" s="3" t="s">
        <v>192</v>
      </c>
      <c r="C326" s="2">
        <v>160.654</v>
      </c>
      <c r="D326" s="2">
        <f t="shared" si="2"/>
        <v>111845.527</v>
      </c>
      <c r="E326" s="5">
        <f t="shared" si="1"/>
        <v>0.001437424419</v>
      </c>
    </row>
    <row r="327" ht="15.75" customHeight="1">
      <c r="B327" s="3" t="s">
        <v>193</v>
      </c>
      <c r="C327" s="2">
        <v>0.0</v>
      </c>
      <c r="D327" s="2">
        <f t="shared" si="2"/>
        <v>111845.527</v>
      </c>
      <c r="E327" s="5">
        <f t="shared" si="1"/>
        <v>0</v>
      </c>
    </row>
    <row r="328" ht="15.75" customHeight="1">
      <c r="B328" s="3" t="s">
        <v>194</v>
      </c>
      <c r="C328" s="2">
        <v>145.966</v>
      </c>
      <c r="D328" s="2">
        <f t="shared" si="2"/>
        <v>111991.493</v>
      </c>
      <c r="E328" s="5">
        <f t="shared" si="1"/>
        <v>0.001304216976</v>
      </c>
    </row>
    <row r="329" ht="15.75" customHeight="1">
      <c r="B329" s="3" t="s">
        <v>195</v>
      </c>
      <c r="C329" s="2">
        <v>233.788</v>
      </c>
      <c r="D329" s="2">
        <f t="shared" si="2"/>
        <v>112225.281</v>
      </c>
      <c r="E329" s="5">
        <f t="shared" si="1"/>
        <v>0.00208537551</v>
      </c>
    </row>
    <row r="330" ht="15.75" customHeight="1">
      <c r="B330" s="3" t="s">
        <v>196</v>
      </c>
      <c r="C330" s="2">
        <v>0.0</v>
      </c>
      <c r="D330" s="2">
        <f t="shared" si="2"/>
        <v>112225.281</v>
      </c>
      <c r="E330" s="5">
        <f t="shared" si="1"/>
        <v>0</v>
      </c>
    </row>
    <row r="331" ht="15.75" customHeight="1">
      <c r="B331" s="3" t="s">
        <v>197</v>
      </c>
      <c r="C331" s="2">
        <v>-367.732</v>
      </c>
      <c r="D331" s="2">
        <f t="shared" si="2"/>
        <v>111857.549</v>
      </c>
      <c r="E331" s="5">
        <f t="shared" si="1"/>
        <v>-0.003282110728</v>
      </c>
    </row>
    <row r="332" ht="15.75" customHeight="1">
      <c r="B332" s="3" t="s">
        <v>198</v>
      </c>
      <c r="C332" s="2">
        <v>0.0</v>
      </c>
      <c r="D332" s="2">
        <f t="shared" si="2"/>
        <v>111857.549</v>
      </c>
      <c r="E332" s="5">
        <f t="shared" si="1"/>
        <v>0</v>
      </c>
    </row>
    <row r="333" ht="15.75" customHeight="1">
      <c r="B333" s="3" t="s">
        <v>199</v>
      </c>
      <c r="C333" s="2">
        <v>0.0</v>
      </c>
      <c r="D333" s="2">
        <f t="shared" si="2"/>
        <v>111857.549</v>
      </c>
      <c r="E333" s="5">
        <f t="shared" si="1"/>
        <v>0</v>
      </c>
    </row>
    <row r="334" ht="15.75" customHeight="1">
      <c r="B334" s="3" t="s">
        <v>200</v>
      </c>
      <c r="C334" s="2">
        <v>-118.316</v>
      </c>
      <c r="D334" s="2">
        <f t="shared" si="2"/>
        <v>111739.233</v>
      </c>
      <c r="E334" s="5">
        <f t="shared" si="1"/>
        <v>-0.001058297977</v>
      </c>
    </row>
    <row r="335" ht="15.75" customHeight="1">
      <c r="B335" s="3">
        <v>43470.0</v>
      </c>
      <c r="C335" s="2">
        <v>-103.628</v>
      </c>
      <c r="D335" s="2">
        <f t="shared" si="2"/>
        <v>111635.605</v>
      </c>
      <c r="E335" s="5">
        <f t="shared" si="1"/>
        <v>-0.0009278395755</v>
      </c>
    </row>
    <row r="336" ht="15.75" customHeight="1">
      <c r="B336" s="3">
        <v>43501.0</v>
      </c>
      <c r="C336" s="2">
        <v>29.386</v>
      </c>
      <c r="D336" s="2">
        <f t="shared" si="2"/>
        <v>111664.991</v>
      </c>
      <c r="E336" s="5">
        <f t="shared" si="1"/>
        <v>0.0002631967912</v>
      </c>
    </row>
    <row r="337" ht="15.75" customHeight="1">
      <c r="B337" s="3">
        <v>43529.0</v>
      </c>
      <c r="C337" s="2">
        <v>29.325</v>
      </c>
      <c r="D337" s="2">
        <f t="shared" si="2"/>
        <v>111694.316</v>
      </c>
      <c r="E337" s="5">
        <f t="shared" si="1"/>
        <v>0.0002625814036</v>
      </c>
    </row>
    <row r="338" ht="15.75" customHeight="1">
      <c r="B338" s="3">
        <v>43621.0</v>
      </c>
      <c r="C338" s="2">
        <v>-236.884</v>
      </c>
      <c r="D338" s="2">
        <f t="shared" si="2"/>
        <v>111457.432</v>
      </c>
      <c r="E338" s="5">
        <f t="shared" si="1"/>
        <v>-0.002123076257</v>
      </c>
    </row>
    <row r="339" ht="15.75" customHeight="1">
      <c r="B339" s="3">
        <v>43651.0</v>
      </c>
      <c r="C339" s="2">
        <v>-29.48</v>
      </c>
      <c r="D339" s="2">
        <f t="shared" si="2"/>
        <v>111427.952</v>
      </c>
      <c r="E339" s="5">
        <f t="shared" si="1"/>
        <v>-0.000264530582</v>
      </c>
    </row>
    <row r="340" ht="15.75" customHeight="1">
      <c r="B340" s="3">
        <v>43682.0</v>
      </c>
      <c r="C340" s="2">
        <v>43.491</v>
      </c>
      <c r="D340" s="2">
        <f t="shared" si="2"/>
        <v>111471.443</v>
      </c>
      <c r="E340" s="5">
        <f t="shared" si="1"/>
        <v>0.0003902298663</v>
      </c>
    </row>
    <row r="341" ht="15.75" customHeight="1">
      <c r="B341" s="3">
        <v>43713.0</v>
      </c>
      <c r="C341" s="2">
        <v>28.948</v>
      </c>
      <c r="D341" s="2">
        <f t="shared" si="2"/>
        <v>111500.391</v>
      </c>
      <c r="E341" s="5">
        <f t="shared" si="1"/>
        <v>0.0002596561157</v>
      </c>
    </row>
    <row r="342" ht="15.75" customHeight="1">
      <c r="B342" s="3">
        <v>43743.0</v>
      </c>
      <c r="C342" s="2">
        <v>216.53</v>
      </c>
      <c r="D342" s="2">
        <f t="shared" si="2"/>
        <v>111716.921</v>
      </c>
      <c r="E342" s="5">
        <f t="shared" si="1"/>
        <v>0.001940083105</v>
      </c>
    </row>
    <row r="343" ht="15.75" customHeight="1">
      <c r="B343" s="3" t="s">
        <v>201</v>
      </c>
      <c r="C343" s="2">
        <v>144.941</v>
      </c>
      <c r="D343" s="2">
        <f t="shared" si="2"/>
        <v>111861.862</v>
      </c>
      <c r="E343" s="5">
        <f t="shared" si="1"/>
        <v>0.001296554336</v>
      </c>
    </row>
    <row r="344" ht="15.75" customHeight="1">
      <c r="B344" s="3" t="s">
        <v>202</v>
      </c>
      <c r="C344" s="2">
        <v>169.736</v>
      </c>
      <c r="D344" s="2">
        <f t="shared" si="2"/>
        <v>112031.598</v>
      </c>
      <c r="E344" s="5">
        <f t="shared" si="1"/>
        <v>0.001516221443</v>
      </c>
    </row>
    <row r="345" ht="15.75" customHeight="1">
      <c r="B345" s="3" t="s">
        <v>203</v>
      </c>
      <c r="C345" s="2">
        <v>42.78</v>
      </c>
      <c r="D345" s="2">
        <f t="shared" si="2"/>
        <v>112074.378</v>
      </c>
      <c r="E345" s="5">
        <f t="shared" si="1"/>
        <v>0.0003817836658</v>
      </c>
    </row>
    <row r="346" ht="15.75" customHeight="1">
      <c r="B346" s="3" t="s">
        <v>204</v>
      </c>
      <c r="C346" s="2">
        <v>172.151</v>
      </c>
      <c r="D346" s="2">
        <f t="shared" si="2"/>
        <v>112246.529</v>
      </c>
      <c r="E346" s="5">
        <f t="shared" si="1"/>
        <v>0.001534863924</v>
      </c>
    </row>
    <row r="347" ht="15.75" customHeight="1">
      <c r="B347" s="3" t="s">
        <v>205</v>
      </c>
      <c r="C347" s="2">
        <v>43.433</v>
      </c>
      <c r="D347" s="2">
        <f t="shared" si="2"/>
        <v>112289.962</v>
      </c>
      <c r="E347" s="5">
        <f t="shared" si="1"/>
        <v>0.0003868680796</v>
      </c>
    </row>
    <row r="348" ht="15.75" customHeight="1">
      <c r="B348" s="3" t="s">
        <v>206</v>
      </c>
      <c r="C348" s="2">
        <v>14.395</v>
      </c>
      <c r="D348" s="2">
        <f t="shared" si="2"/>
        <v>112304.357</v>
      </c>
      <c r="E348" s="5">
        <f t="shared" si="1"/>
        <v>0.0001281866797</v>
      </c>
    </row>
    <row r="349" ht="15.75" customHeight="1">
      <c r="B349" s="3" t="s">
        <v>207</v>
      </c>
      <c r="C349" s="2">
        <v>185.87</v>
      </c>
      <c r="D349" s="2">
        <f t="shared" si="2"/>
        <v>112490.227</v>
      </c>
      <c r="E349" s="5">
        <f t="shared" si="1"/>
        <v>0.001653687905</v>
      </c>
    </row>
    <row r="350" ht="15.75" customHeight="1">
      <c r="B350" s="3" t="s">
        <v>208</v>
      </c>
      <c r="C350" s="2">
        <v>475.841</v>
      </c>
      <c r="D350" s="2">
        <f t="shared" si="2"/>
        <v>112966.068</v>
      </c>
      <c r="E350" s="5">
        <f t="shared" si="1"/>
        <v>0.004221143673</v>
      </c>
    </row>
    <row r="351" ht="15.75" customHeight="1">
      <c r="B351" s="3" t="s">
        <v>209</v>
      </c>
      <c r="C351" s="2">
        <v>57.516</v>
      </c>
      <c r="D351" s="2">
        <f t="shared" si="2"/>
        <v>113023.584</v>
      </c>
      <c r="E351" s="5">
        <f t="shared" si="1"/>
        <v>0.000509014468</v>
      </c>
    </row>
    <row r="352" ht="15.75" customHeight="1">
      <c r="B352" s="3" t="s">
        <v>210</v>
      </c>
      <c r="C352" s="2">
        <v>56.836</v>
      </c>
      <c r="D352" s="2">
        <f t="shared" si="2"/>
        <v>113080.42</v>
      </c>
      <c r="E352" s="5">
        <f t="shared" si="1"/>
        <v>0.0005027421027</v>
      </c>
    </row>
    <row r="353" ht="15.75" customHeight="1">
      <c r="B353" s="3" t="s">
        <v>211</v>
      </c>
      <c r="C353" s="2">
        <v>99.615</v>
      </c>
      <c r="D353" s="2">
        <f t="shared" si="2"/>
        <v>113180.035</v>
      </c>
      <c r="E353" s="5">
        <f t="shared" si="1"/>
        <v>0.0008805339531</v>
      </c>
    </row>
    <row r="354" ht="15.75" customHeight="1">
      <c r="B354" s="3" t="s">
        <v>212</v>
      </c>
      <c r="C354" s="2">
        <v>0.0</v>
      </c>
      <c r="D354" s="2">
        <f t="shared" si="2"/>
        <v>113180.035</v>
      </c>
      <c r="E354" s="5">
        <f t="shared" si="1"/>
        <v>0</v>
      </c>
    </row>
    <row r="355" ht="15.75" customHeight="1">
      <c r="B355" s="3" t="s">
        <v>213</v>
      </c>
      <c r="C355" s="2">
        <v>406.409</v>
      </c>
      <c r="D355" s="2">
        <f t="shared" si="2"/>
        <v>113586.444</v>
      </c>
      <c r="E355" s="5">
        <f t="shared" si="1"/>
        <v>0.003584387224</v>
      </c>
    </row>
    <row r="356" ht="15.75" customHeight="1">
      <c r="B356" s="3" t="s">
        <v>214</v>
      </c>
      <c r="C356" s="2">
        <v>154.501</v>
      </c>
      <c r="D356" s="2">
        <f t="shared" si="2"/>
        <v>113740.945</v>
      </c>
      <c r="E356" s="5">
        <f t="shared" si="1"/>
        <v>0.001359282086</v>
      </c>
    </row>
    <row r="357" ht="15.75" customHeight="1">
      <c r="B357" s="3">
        <v>43530.0</v>
      </c>
      <c r="C357" s="2">
        <v>180.217</v>
      </c>
      <c r="D357" s="2">
        <f t="shared" si="2"/>
        <v>113921.162</v>
      </c>
      <c r="E357" s="5">
        <f t="shared" si="1"/>
        <v>0.001583197485</v>
      </c>
    </row>
    <row r="358" ht="15.75" customHeight="1">
      <c r="B358" s="3">
        <v>43561.0</v>
      </c>
      <c r="C358" s="2">
        <v>-27.649</v>
      </c>
      <c r="D358" s="2">
        <f t="shared" si="2"/>
        <v>113893.513</v>
      </c>
      <c r="E358" s="5">
        <f t="shared" si="1"/>
        <v>-0.0002427323888</v>
      </c>
    </row>
    <row r="359" ht="15.75" customHeight="1">
      <c r="B359" s="3">
        <v>43591.0</v>
      </c>
      <c r="C359" s="2">
        <v>211.824</v>
      </c>
      <c r="D359" s="2">
        <f t="shared" si="2"/>
        <v>114105.337</v>
      </c>
      <c r="E359" s="5">
        <f t="shared" si="1"/>
        <v>0.00185811517</v>
      </c>
    </row>
    <row r="360" ht="15.75" customHeight="1">
      <c r="B360" s="3">
        <v>43622.0</v>
      </c>
      <c r="C360" s="2">
        <v>85.431</v>
      </c>
      <c r="D360" s="2">
        <f t="shared" si="2"/>
        <v>114190.768</v>
      </c>
      <c r="E360" s="5">
        <f t="shared" si="1"/>
        <v>0.0007484227905</v>
      </c>
    </row>
    <row r="361" ht="15.75" customHeight="1">
      <c r="B361" s="3">
        <v>43652.0</v>
      </c>
      <c r="C361" s="2">
        <v>-28.66</v>
      </c>
      <c r="D361" s="2">
        <f t="shared" si="2"/>
        <v>114162.108</v>
      </c>
      <c r="E361" s="5">
        <f t="shared" si="1"/>
        <v>-0.0002510150137</v>
      </c>
    </row>
    <row r="362" ht="15.75" customHeight="1">
      <c r="B362" s="3">
        <v>43744.0</v>
      </c>
      <c r="C362" s="2">
        <v>304.114</v>
      </c>
      <c r="D362" s="2">
        <f t="shared" si="2"/>
        <v>114466.222</v>
      </c>
      <c r="E362" s="5">
        <f t="shared" si="1"/>
        <v>0.002660336795</v>
      </c>
    </row>
    <row r="363" ht="15.75" customHeight="1">
      <c r="B363" s="3">
        <v>43775.0</v>
      </c>
      <c r="C363" s="2">
        <v>0.0</v>
      </c>
      <c r="D363" s="2">
        <f t="shared" si="2"/>
        <v>114466.222</v>
      </c>
      <c r="E363" s="5">
        <f t="shared" si="1"/>
        <v>0</v>
      </c>
    </row>
    <row r="364" ht="15.75" customHeight="1">
      <c r="B364" s="3">
        <v>43805.0</v>
      </c>
      <c r="C364" s="2">
        <v>0.0</v>
      </c>
      <c r="D364" s="2">
        <f t="shared" si="2"/>
        <v>114466.222</v>
      </c>
      <c r="E364" s="5">
        <f t="shared" si="1"/>
        <v>0</v>
      </c>
    </row>
    <row r="365" ht="15.75" customHeight="1">
      <c r="B365" s="3" t="s">
        <v>215</v>
      </c>
      <c r="C365" s="2">
        <v>-29.031</v>
      </c>
      <c r="D365" s="2">
        <f t="shared" si="2"/>
        <v>114437.191</v>
      </c>
      <c r="E365" s="5">
        <f t="shared" si="1"/>
        <v>-0.0002536528379</v>
      </c>
    </row>
    <row r="366" ht="15.75" customHeight="1">
      <c r="B366" s="3" t="s">
        <v>216</v>
      </c>
      <c r="C366" s="2">
        <v>0.0</v>
      </c>
      <c r="D366" s="2">
        <f t="shared" si="2"/>
        <v>114437.191</v>
      </c>
      <c r="E366" s="5">
        <f t="shared" si="1"/>
        <v>0</v>
      </c>
    </row>
    <row r="367" ht="15.75" customHeight="1">
      <c r="B367" s="3" t="s">
        <v>217</v>
      </c>
      <c r="C367" s="2">
        <v>0.0</v>
      </c>
      <c r="D367" s="2">
        <f t="shared" si="2"/>
        <v>114437.191</v>
      </c>
      <c r="E367" s="5">
        <f t="shared" si="1"/>
        <v>0</v>
      </c>
    </row>
    <row r="368" ht="15.75" customHeight="1">
      <c r="B368" s="3" t="s">
        <v>218</v>
      </c>
      <c r="C368" s="2">
        <v>246.201</v>
      </c>
      <c r="D368" s="2">
        <f t="shared" si="2"/>
        <v>114683.392</v>
      </c>
      <c r="E368" s="5">
        <f t="shared" si="1"/>
        <v>0.002149096267</v>
      </c>
    </row>
    <row r="369" ht="15.75" customHeight="1">
      <c r="B369" s="3" t="s">
        <v>219</v>
      </c>
      <c r="C369" s="2">
        <v>160.858</v>
      </c>
      <c r="D369" s="2">
        <f t="shared" si="2"/>
        <v>114844.25</v>
      </c>
      <c r="E369" s="5">
        <f t="shared" si="1"/>
        <v>0.001401644045</v>
      </c>
    </row>
    <row r="370" ht="15.75" customHeight="1">
      <c r="B370" s="3" t="s">
        <v>220</v>
      </c>
      <c r="C370" s="2">
        <v>1349.377</v>
      </c>
      <c r="D370" s="2">
        <f t="shared" si="2"/>
        <v>116193.627</v>
      </c>
      <c r="E370" s="5">
        <f t="shared" si="1"/>
        <v>0.01168113524</v>
      </c>
    </row>
    <row r="371" ht="15.75" customHeight="1">
      <c r="B371" s="3" t="s">
        <v>221</v>
      </c>
      <c r="C371" s="2">
        <v>399.801</v>
      </c>
      <c r="D371" s="2">
        <f t="shared" si="2"/>
        <v>116593.428</v>
      </c>
      <c r="E371" s="5">
        <f t="shared" si="1"/>
        <v>0.003434910872</v>
      </c>
    </row>
    <row r="372" ht="15.75" customHeight="1">
      <c r="B372" s="3" t="s">
        <v>222</v>
      </c>
      <c r="C372" s="2">
        <v>0.0</v>
      </c>
      <c r="D372" s="2">
        <f t="shared" si="2"/>
        <v>116593.428</v>
      </c>
      <c r="E372" s="5">
        <f t="shared" si="1"/>
        <v>0</v>
      </c>
    </row>
    <row r="373" ht="15.75" customHeight="1">
      <c r="B373" s="3" t="s">
        <v>223</v>
      </c>
      <c r="C373" s="2">
        <v>-44.292</v>
      </c>
      <c r="D373" s="2">
        <f t="shared" si="2"/>
        <v>116549.136</v>
      </c>
      <c r="E373" s="5">
        <f t="shared" si="1"/>
        <v>-0.0003799563647</v>
      </c>
    </row>
    <row r="374" ht="15.75" customHeight="1">
      <c r="B374" s="3" t="s">
        <v>224</v>
      </c>
      <c r="C374" s="2">
        <v>43.871</v>
      </c>
      <c r="D374" s="2">
        <f t="shared" si="2"/>
        <v>116593.007</v>
      </c>
      <c r="E374" s="5">
        <f t="shared" si="1"/>
        <v>0.00037634552</v>
      </c>
    </row>
    <row r="375" ht="15.75" customHeight="1">
      <c r="B375" s="3" t="s">
        <v>225</v>
      </c>
      <c r="C375" s="2">
        <v>-6893.848</v>
      </c>
      <c r="D375" s="2">
        <f t="shared" si="2"/>
        <v>109699.159</v>
      </c>
      <c r="E375" s="5">
        <f t="shared" si="1"/>
        <v>-0.06094759696</v>
      </c>
    </row>
    <row r="376" ht="15.75" customHeight="1">
      <c r="B376" s="3" t="s">
        <v>226</v>
      </c>
      <c r="C376" s="2">
        <v>0.0</v>
      </c>
      <c r="D376" s="2">
        <f t="shared" si="2"/>
        <v>109699.159</v>
      </c>
      <c r="E376" s="5">
        <f t="shared" si="1"/>
        <v>0</v>
      </c>
    </row>
    <row r="377" ht="15.75" customHeight="1">
      <c r="B377" s="3">
        <v>43472.0</v>
      </c>
      <c r="C377" s="2">
        <v>176.986</v>
      </c>
      <c r="D377" s="2">
        <f t="shared" si="2"/>
        <v>109876.145</v>
      </c>
      <c r="E377" s="5">
        <f t="shared" si="1"/>
        <v>0.001612075995</v>
      </c>
    </row>
    <row r="378" ht="15.75" customHeight="1">
      <c r="B378" s="3">
        <v>43503.0</v>
      </c>
      <c r="C378" s="2">
        <v>118.896</v>
      </c>
      <c r="D378" s="2">
        <f t="shared" si="2"/>
        <v>109995.041</v>
      </c>
      <c r="E378" s="5">
        <f t="shared" si="1"/>
        <v>0.001081506074</v>
      </c>
    </row>
    <row r="379" ht="15.75" customHeight="1">
      <c r="B379" s="3">
        <v>43531.0</v>
      </c>
      <c r="C379" s="2">
        <v>134.155</v>
      </c>
      <c r="D379" s="2">
        <f t="shared" si="2"/>
        <v>110129.196</v>
      </c>
      <c r="E379" s="5">
        <f t="shared" si="1"/>
        <v>0.001218902729</v>
      </c>
    </row>
    <row r="380" ht="15.75" customHeight="1">
      <c r="B380" s="3">
        <v>43592.0</v>
      </c>
      <c r="C380" s="2">
        <v>0.0</v>
      </c>
      <c r="D380" s="2">
        <f t="shared" si="2"/>
        <v>110129.196</v>
      </c>
      <c r="E380" s="5">
        <f t="shared" si="1"/>
        <v>0</v>
      </c>
    </row>
    <row r="381" ht="15.75" customHeight="1">
      <c r="B381" s="3">
        <v>43684.0</v>
      </c>
      <c r="C381" s="2">
        <v>0.0</v>
      </c>
      <c r="D381" s="2">
        <f t="shared" si="2"/>
        <v>110129.196</v>
      </c>
      <c r="E381" s="5">
        <f t="shared" si="1"/>
        <v>0</v>
      </c>
    </row>
    <row r="382" ht="15.75" customHeight="1">
      <c r="B382" s="3">
        <v>43715.0</v>
      </c>
      <c r="C382" s="2">
        <v>373.154</v>
      </c>
      <c r="D382" s="2">
        <f t="shared" si="2"/>
        <v>110502.35</v>
      </c>
      <c r="E382" s="5">
        <f t="shared" si="1"/>
        <v>0.003382602013</v>
      </c>
    </row>
    <row r="383" ht="15.75" customHeight="1">
      <c r="B383" s="3">
        <v>43745.0</v>
      </c>
      <c r="C383" s="2">
        <v>0.0</v>
      </c>
      <c r="D383" s="2">
        <f t="shared" si="2"/>
        <v>110502.35</v>
      </c>
      <c r="E383" s="5">
        <f t="shared" si="1"/>
        <v>0</v>
      </c>
    </row>
    <row r="384" ht="15.75" customHeight="1">
      <c r="B384" s="3">
        <v>43776.0</v>
      </c>
      <c r="C384" s="2">
        <v>405.457</v>
      </c>
      <c r="D384" s="2">
        <f t="shared" si="2"/>
        <v>110907.807</v>
      </c>
      <c r="E384" s="5">
        <f t="shared" si="1"/>
        <v>0.003662500932</v>
      </c>
    </row>
    <row r="385" ht="15.75" customHeight="1">
      <c r="B385" s="3">
        <v>43806.0</v>
      </c>
      <c r="C385" s="2">
        <v>301.025</v>
      </c>
      <c r="D385" s="2">
        <f t="shared" si="2"/>
        <v>111208.832</v>
      </c>
      <c r="E385" s="5">
        <f t="shared" si="1"/>
        <v>0.002710514491</v>
      </c>
    </row>
    <row r="386" ht="15.75" customHeight="1">
      <c r="B386" s="3" t="s">
        <v>227</v>
      </c>
      <c r="C386" s="2">
        <v>105.855</v>
      </c>
      <c r="D386" s="2">
        <f t="shared" si="2"/>
        <v>111314.687</v>
      </c>
      <c r="E386" s="5">
        <f t="shared" si="1"/>
        <v>0.000951405123</v>
      </c>
    </row>
    <row r="387" ht="15.75" customHeight="1">
      <c r="B387" s="3" t="s">
        <v>228</v>
      </c>
      <c r="C387" s="2">
        <v>635.24</v>
      </c>
      <c r="D387" s="2">
        <f t="shared" si="2"/>
        <v>111949.927</v>
      </c>
      <c r="E387" s="5">
        <f t="shared" si="1"/>
        <v>0.005690482722</v>
      </c>
    </row>
    <row r="388" ht="15.75" customHeight="1">
      <c r="B388" s="3" t="s">
        <v>229</v>
      </c>
      <c r="C388" s="2">
        <v>105.516</v>
      </c>
      <c r="D388" s="2">
        <f t="shared" si="2"/>
        <v>112055.443</v>
      </c>
      <c r="E388" s="5">
        <f t="shared" si="1"/>
        <v>0.0009420846277</v>
      </c>
    </row>
    <row r="389" ht="15.75" customHeight="1">
      <c r="B389" s="3" t="s">
        <v>230</v>
      </c>
      <c r="C389" s="2">
        <v>0.0</v>
      </c>
      <c r="D389" s="2">
        <f t="shared" si="2"/>
        <v>112055.443</v>
      </c>
      <c r="E389" s="5">
        <f t="shared" si="1"/>
        <v>0</v>
      </c>
    </row>
    <row r="390" ht="15.75" customHeight="1">
      <c r="B390" s="3" t="s">
        <v>231</v>
      </c>
      <c r="C390" s="2">
        <v>195.4</v>
      </c>
      <c r="D390" s="2">
        <f t="shared" si="2"/>
        <v>112250.843</v>
      </c>
      <c r="E390" s="5">
        <f t="shared" si="1"/>
        <v>0.001742261021</v>
      </c>
    </row>
    <row r="391" ht="15.75" customHeight="1">
      <c r="B391" s="3" t="s">
        <v>232</v>
      </c>
      <c r="C391" s="2">
        <v>0.0</v>
      </c>
      <c r="D391" s="2">
        <f t="shared" si="2"/>
        <v>112250.843</v>
      </c>
      <c r="E391" s="5">
        <f t="shared" si="1"/>
        <v>0</v>
      </c>
    </row>
    <row r="392" ht="15.75" customHeight="1">
      <c r="B392" s="3" t="s">
        <v>233</v>
      </c>
      <c r="C392" s="2">
        <v>0.0</v>
      </c>
      <c r="D392" s="2">
        <f t="shared" si="2"/>
        <v>112250.843</v>
      </c>
      <c r="E392" s="5">
        <f t="shared" si="1"/>
        <v>0</v>
      </c>
    </row>
    <row r="393" ht="15.75" customHeight="1">
      <c r="B393" s="3" t="s">
        <v>234</v>
      </c>
      <c r="C393" s="2">
        <v>0.0</v>
      </c>
      <c r="D393" s="2">
        <f t="shared" si="2"/>
        <v>112250.843</v>
      </c>
      <c r="E393" s="5">
        <f t="shared" si="1"/>
        <v>0</v>
      </c>
    </row>
    <row r="394" ht="15.75" customHeight="1">
      <c r="B394" s="3" t="s">
        <v>235</v>
      </c>
      <c r="C394" s="2">
        <v>530.433</v>
      </c>
      <c r="D394" s="2">
        <f t="shared" si="2"/>
        <v>112781.276</v>
      </c>
      <c r="E394" s="5">
        <f t="shared" si="1"/>
        <v>0.004714295761</v>
      </c>
    </row>
    <row r="395" ht="15.75" customHeight="1">
      <c r="B395" s="3" t="s">
        <v>236</v>
      </c>
      <c r="C395" s="2">
        <v>331.662</v>
      </c>
      <c r="D395" s="2">
        <f t="shared" si="2"/>
        <v>113112.938</v>
      </c>
      <c r="E395" s="5">
        <f t="shared" si="1"/>
        <v>0.002936438543</v>
      </c>
    </row>
    <row r="396" ht="15.75" customHeight="1">
      <c r="B396" s="3" t="s">
        <v>237</v>
      </c>
      <c r="C396" s="2">
        <v>-182.245</v>
      </c>
      <c r="D396" s="2">
        <f t="shared" si="2"/>
        <v>112930.693</v>
      </c>
      <c r="E396" s="5">
        <f t="shared" si="1"/>
        <v>-0.001612476659</v>
      </c>
    </row>
    <row r="397" ht="15.75" customHeight="1">
      <c r="B397" s="3" t="s">
        <v>238</v>
      </c>
      <c r="C397" s="2">
        <v>45.488</v>
      </c>
      <c r="D397" s="2">
        <f t="shared" si="2"/>
        <v>112976.181</v>
      </c>
      <c r="E397" s="5">
        <f t="shared" si="1"/>
        <v>0.0004027146214</v>
      </c>
    </row>
    <row r="398" ht="15.75" customHeight="1">
      <c r="B398" s="3" t="s">
        <v>239</v>
      </c>
      <c r="C398" s="2">
        <v>-90.749</v>
      </c>
      <c r="D398" s="2">
        <f t="shared" si="2"/>
        <v>112885.432</v>
      </c>
      <c r="E398" s="5">
        <f t="shared" si="1"/>
        <v>-0.0008035805968</v>
      </c>
    </row>
    <row r="399" ht="15.75" customHeight="1">
      <c r="B399" s="3">
        <v>43473.0</v>
      </c>
      <c r="C399" s="2">
        <v>374.016</v>
      </c>
      <c r="D399" s="2">
        <f t="shared" si="2"/>
        <v>113259.448</v>
      </c>
      <c r="E399" s="5">
        <f t="shared" si="1"/>
        <v>0.003307758646</v>
      </c>
    </row>
    <row r="400" ht="15.75" customHeight="1">
      <c r="B400" s="3">
        <v>43504.0</v>
      </c>
      <c r="C400" s="2">
        <v>-400.343</v>
      </c>
      <c r="D400" s="2">
        <f t="shared" si="2"/>
        <v>112859.105</v>
      </c>
      <c r="E400" s="5">
        <f t="shared" si="1"/>
        <v>-0.003541004601</v>
      </c>
    </row>
    <row r="401" ht="15.75" customHeight="1">
      <c r="B401" s="3">
        <v>43593.0</v>
      </c>
      <c r="C401" s="2">
        <v>3474.117</v>
      </c>
      <c r="D401" s="2">
        <f t="shared" si="2"/>
        <v>116333.222</v>
      </c>
      <c r="E401" s="5">
        <f t="shared" si="1"/>
        <v>0.03031849418</v>
      </c>
    </row>
    <row r="402" ht="15.75" customHeight="1">
      <c r="B402" s="3">
        <v>43624.0</v>
      </c>
      <c r="C402" s="2">
        <v>-299.945</v>
      </c>
      <c r="D402" s="2">
        <f t="shared" si="2"/>
        <v>116033.277</v>
      </c>
      <c r="E402" s="5">
        <f t="shared" si="1"/>
        <v>-0.002581655857</v>
      </c>
    </row>
    <row r="403" ht="15.75" customHeight="1">
      <c r="B403" s="3">
        <v>43654.0</v>
      </c>
      <c r="C403" s="2">
        <v>101.291</v>
      </c>
      <c r="D403" s="2">
        <f t="shared" si="2"/>
        <v>116134.568</v>
      </c>
      <c r="E403" s="5">
        <f t="shared" si="1"/>
        <v>0.0008725670553</v>
      </c>
    </row>
    <row r="404" ht="15.75" customHeight="1">
      <c r="B404" s="3">
        <v>43685.0</v>
      </c>
      <c r="C404" s="2">
        <v>-14.482</v>
      </c>
      <c r="D404" s="2">
        <f t="shared" si="2"/>
        <v>116120.086</v>
      </c>
      <c r="E404" s="5">
        <f t="shared" si="1"/>
        <v>-0.0001247079425</v>
      </c>
    </row>
    <row r="405" ht="15.75" customHeight="1">
      <c r="B405" s="3">
        <v>43716.0</v>
      </c>
      <c r="C405" s="2">
        <v>0.0</v>
      </c>
      <c r="D405" s="2">
        <f t="shared" si="2"/>
        <v>116120.086</v>
      </c>
      <c r="E405" s="5">
        <f t="shared" si="1"/>
        <v>0</v>
      </c>
    </row>
    <row r="406" ht="15.75" customHeight="1">
      <c r="B406" s="3">
        <v>43807.0</v>
      </c>
      <c r="C406" s="2">
        <v>29.323</v>
      </c>
      <c r="D406" s="2">
        <f t="shared" si="2"/>
        <v>116149.409</v>
      </c>
      <c r="E406" s="5">
        <f t="shared" si="1"/>
        <v>0.0002524911862</v>
      </c>
    </row>
    <row r="407" ht="15.75" customHeight="1">
      <c r="B407" s="3" t="s">
        <v>240</v>
      </c>
      <c r="C407" s="2">
        <v>14.489</v>
      </c>
      <c r="D407" s="2">
        <f t="shared" si="2"/>
        <v>116163.898</v>
      </c>
      <c r="E407" s="5">
        <f t="shared" si="1"/>
        <v>0.0001247367205</v>
      </c>
    </row>
    <row r="408" ht="15.75" customHeight="1">
      <c r="B408" s="3" t="s">
        <v>241</v>
      </c>
      <c r="C408" s="2">
        <v>176.44</v>
      </c>
      <c r="D408" s="2">
        <f t="shared" si="2"/>
        <v>116340.338</v>
      </c>
      <c r="E408" s="5">
        <f t="shared" si="1"/>
        <v>0.00151773608</v>
      </c>
    </row>
    <row r="409" ht="15.75" customHeight="1">
      <c r="B409" s="3" t="s">
        <v>242</v>
      </c>
      <c r="C409" s="2">
        <v>85.661</v>
      </c>
      <c r="D409" s="2">
        <f t="shared" si="2"/>
        <v>116425.999</v>
      </c>
      <c r="E409" s="5">
        <f t="shared" si="1"/>
        <v>0.0007360257069</v>
      </c>
    </row>
    <row r="410" ht="15.75" customHeight="1">
      <c r="B410" s="3" t="s">
        <v>243</v>
      </c>
      <c r="C410" s="2">
        <v>-214.72</v>
      </c>
      <c r="D410" s="2">
        <f t="shared" si="2"/>
        <v>116211.279</v>
      </c>
      <c r="E410" s="5">
        <f t="shared" si="1"/>
        <v>-0.001845964351</v>
      </c>
    </row>
    <row r="411" ht="15.75" customHeight="1">
      <c r="B411" s="3" t="s">
        <v>244</v>
      </c>
      <c r="C411" s="2">
        <v>-116.188</v>
      </c>
      <c r="D411" s="2">
        <f t="shared" si="2"/>
        <v>116095.091</v>
      </c>
      <c r="E411" s="5">
        <f t="shared" si="1"/>
        <v>-0.001000299817</v>
      </c>
    </row>
    <row r="412" ht="15.75" customHeight="1">
      <c r="B412" s="3" t="s">
        <v>245</v>
      </c>
      <c r="C412" s="2">
        <v>205.802</v>
      </c>
      <c r="D412" s="2">
        <f t="shared" si="2"/>
        <v>116300.893</v>
      </c>
      <c r="E412" s="5">
        <f t="shared" si="1"/>
        <v>0.001771132618</v>
      </c>
    </row>
    <row r="413" ht="15.75" customHeight="1">
      <c r="B413" s="3" t="s">
        <v>246</v>
      </c>
      <c r="C413" s="2">
        <v>247.942</v>
      </c>
      <c r="D413" s="2">
        <f t="shared" si="2"/>
        <v>116548.835</v>
      </c>
      <c r="E413" s="5">
        <f t="shared" si="1"/>
        <v>0.002129631809</v>
      </c>
    </row>
    <row r="414" ht="15.75" customHeight="1">
      <c r="B414" s="3" t="s">
        <v>247</v>
      </c>
      <c r="C414" s="2">
        <v>-58.823</v>
      </c>
      <c r="D414" s="2">
        <f t="shared" si="2"/>
        <v>116490.012</v>
      </c>
      <c r="E414" s="5">
        <f t="shared" si="1"/>
        <v>-0.000504834297</v>
      </c>
    </row>
    <row r="415" ht="15.75" customHeight="1">
      <c r="B415" s="3" t="s">
        <v>248</v>
      </c>
      <c r="C415" s="2">
        <v>-1249.385</v>
      </c>
      <c r="D415" s="2">
        <f t="shared" si="2"/>
        <v>115240.627</v>
      </c>
      <c r="E415" s="5">
        <f t="shared" si="1"/>
        <v>-0.0107831844</v>
      </c>
    </row>
    <row r="416" ht="15.75" customHeight="1">
      <c r="B416" s="3" t="s">
        <v>249</v>
      </c>
      <c r="C416" s="2">
        <v>386.573</v>
      </c>
      <c r="D416" s="2">
        <f t="shared" si="2"/>
        <v>115627.2</v>
      </c>
      <c r="E416" s="5">
        <f t="shared" si="1"/>
        <v>0.003348871658</v>
      </c>
    </row>
    <row r="417" ht="15.75" customHeight="1">
      <c r="B417" s="3" t="s">
        <v>250</v>
      </c>
      <c r="C417" s="2">
        <v>72.382</v>
      </c>
      <c r="D417" s="2">
        <f t="shared" si="2"/>
        <v>115699.582</v>
      </c>
      <c r="E417" s="5">
        <f t="shared" si="1"/>
        <v>0.0006257987228</v>
      </c>
    </row>
    <row r="418" ht="15.75" customHeight="1">
      <c r="B418" s="3" t="s">
        <v>251</v>
      </c>
      <c r="C418" s="2">
        <v>14.43</v>
      </c>
      <c r="D418" s="2">
        <f t="shared" si="2"/>
        <v>115714.012</v>
      </c>
      <c r="E418" s="5">
        <f t="shared" si="1"/>
        <v>0.0001247117749</v>
      </c>
    </row>
    <row r="419" ht="15.75" customHeight="1">
      <c r="B419" s="3" t="s">
        <v>252</v>
      </c>
      <c r="C419" s="2">
        <v>-116.201</v>
      </c>
      <c r="D419" s="2">
        <f t="shared" si="2"/>
        <v>115597.811</v>
      </c>
      <c r="E419" s="5">
        <f t="shared" si="1"/>
        <v>-0.001004713103</v>
      </c>
    </row>
    <row r="420" ht="15.75" customHeight="1">
      <c r="B420" s="3" t="s">
        <v>253</v>
      </c>
      <c r="C420" s="2">
        <v>0.0</v>
      </c>
      <c r="D420" s="2">
        <f t="shared" si="2"/>
        <v>115597.811</v>
      </c>
      <c r="E420" s="5">
        <f t="shared" si="1"/>
        <v>0</v>
      </c>
    </row>
    <row r="421" ht="15.75" customHeight="1">
      <c r="B421" s="3">
        <v>43533.0</v>
      </c>
      <c r="C421" s="2">
        <v>176.678</v>
      </c>
      <c r="D421" s="2">
        <f t="shared" si="2"/>
        <v>115774.489</v>
      </c>
      <c r="E421" s="5">
        <f t="shared" si="1"/>
        <v>0.001527218551</v>
      </c>
    </row>
    <row r="422" ht="15.75" customHeight="1">
      <c r="B422" s="3">
        <v>43564.0</v>
      </c>
      <c r="C422" s="2">
        <v>190.094</v>
      </c>
      <c r="D422" s="2">
        <f t="shared" si="2"/>
        <v>115964.583</v>
      </c>
      <c r="E422" s="5">
        <f t="shared" si="1"/>
        <v>0.001640586898</v>
      </c>
    </row>
    <row r="423" ht="15.75" customHeight="1">
      <c r="B423" s="3">
        <v>43594.0</v>
      </c>
      <c r="C423" s="2">
        <v>-73.912</v>
      </c>
      <c r="D423" s="2">
        <f t="shared" si="2"/>
        <v>115890.671</v>
      </c>
      <c r="E423" s="5">
        <f t="shared" si="1"/>
        <v>-0.0006375702187</v>
      </c>
    </row>
    <row r="424" ht="15.75" customHeight="1">
      <c r="B424" s="3">
        <v>43625.0</v>
      </c>
      <c r="C424" s="2">
        <v>-74.89</v>
      </c>
      <c r="D424" s="2">
        <f t="shared" si="2"/>
        <v>115815.781</v>
      </c>
      <c r="E424" s="5">
        <f t="shared" si="1"/>
        <v>-0.0006464213833</v>
      </c>
    </row>
    <row r="425" ht="15.75" customHeight="1">
      <c r="B425" s="3">
        <v>43717.0</v>
      </c>
      <c r="C425" s="2">
        <v>-224.886</v>
      </c>
      <c r="D425" s="2">
        <f t="shared" si="2"/>
        <v>115590.895</v>
      </c>
      <c r="E425" s="5">
        <f t="shared" si="1"/>
        <v>-0.001943643759</v>
      </c>
    </row>
    <row r="426" ht="15.75" customHeight="1">
      <c r="B426" s="3">
        <v>43747.0</v>
      </c>
      <c r="C426" s="2">
        <v>374.802</v>
      </c>
      <c r="D426" s="2">
        <f t="shared" si="2"/>
        <v>115965.697</v>
      </c>
      <c r="E426" s="5">
        <f t="shared" si="1"/>
        <v>0.003237241696</v>
      </c>
    </row>
    <row r="427" ht="15.75" customHeight="1">
      <c r="B427" s="3">
        <v>43778.0</v>
      </c>
      <c r="C427" s="2">
        <v>164.971</v>
      </c>
      <c r="D427" s="2">
        <f t="shared" si="2"/>
        <v>116130.668</v>
      </c>
      <c r="E427" s="5">
        <f t="shared" si="1"/>
        <v>0.001421573559</v>
      </c>
    </row>
    <row r="428" ht="15.75" customHeight="1">
      <c r="B428" s="3">
        <v>43808.0</v>
      </c>
      <c r="C428" s="2">
        <v>0.0</v>
      </c>
      <c r="D428" s="2">
        <f t="shared" si="2"/>
        <v>116130.668</v>
      </c>
      <c r="E428" s="5">
        <f t="shared" si="1"/>
        <v>0</v>
      </c>
    </row>
    <row r="429" ht="15.75" customHeight="1">
      <c r="B429" s="3" t="s">
        <v>254</v>
      </c>
      <c r="C429" s="2">
        <v>151.524</v>
      </c>
      <c r="D429" s="2">
        <f t="shared" si="2"/>
        <v>116282.192</v>
      </c>
      <c r="E429" s="5">
        <f t="shared" si="1"/>
        <v>0.001303921147</v>
      </c>
    </row>
    <row r="430" ht="15.75" customHeight="1">
      <c r="B430" s="3" t="s">
        <v>255</v>
      </c>
      <c r="C430" s="2">
        <v>-90.873</v>
      </c>
      <c r="D430" s="2">
        <f t="shared" si="2"/>
        <v>116191.319</v>
      </c>
      <c r="E430" s="5">
        <f t="shared" si="1"/>
        <v>-0.0007817923361</v>
      </c>
    </row>
    <row r="431" ht="15.75" customHeight="1">
      <c r="B431" s="3" t="s">
        <v>256</v>
      </c>
      <c r="C431" s="2">
        <v>2415.758</v>
      </c>
      <c r="D431" s="2">
        <f t="shared" si="2"/>
        <v>118607.077</v>
      </c>
      <c r="E431" s="5">
        <f t="shared" si="1"/>
        <v>0.02057802172</v>
      </c>
    </row>
    <row r="432" ht="15.75" customHeight="1">
      <c r="B432" s="3" t="s">
        <v>257</v>
      </c>
      <c r="C432" s="2">
        <v>-105.962</v>
      </c>
      <c r="D432" s="2">
        <f t="shared" si="2"/>
        <v>118501.115</v>
      </c>
      <c r="E432" s="5">
        <f t="shared" si="1"/>
        <v>-0.0008937861333</v>
      </c>
    </row>
    <row r="433" ht="15.75" customHeight="1">
      <c r="B433" s="3" t="s">
        <v>258</v>
      </c>
      <c r="C433" s="2">
        <v>-90.856</v>
      </c>
      <c r="D433" s="2">
        <f t="shared" si="2"/>
        <v>118410.259</v>
      </c>
      <c r="E433" s="5">
        <f t="shared" si="1"/>
        <v>-0.0007670041579</v>
      </c>
    </row>
    <row r="434" ht="15.75" customHeight="1">
      <c r="B434" s="3" t="s">
        <v>259</v>
      </c>
      <c r="C434" s="2">
        <v>-499.75</v>
      </c>
      <c r="D434" s="2">
        <f t="shared" si="2"/>
        <v>117910.509</v>
      </c>
      <c r="E434" s="5">
        <f t="shared" si="1"/>
        <v>-0.004229427225</v>
      </c>
    </row>
    <row r="435" ht="15.75" customHeight="1">
      <c r="B435" s="3" t="s">
        <v>260</v>
      </c>
      <c r="C435" s="2">
        <v>-180.845</v>
      </c>
      <c r="D435" s="2">
        <f t="shared" si="2"/>
        <v>117729.664</v>
      </c>
      <c r="E435" s="5">
        <f t="shared" si="1"/>
        <v>-0.001534925333</v>
      </c>
    </row>
    <row r="436" ht="15.75" customHeight="1">
      <c r="B436" s="3" t="s">
        <v>261</v>
      </c>
      <c r="C436" s="2">
        <v>-30.138</v>
      </c>
      <c r="D436" s="2">
        <f t="shared" si="2"/>
        <v>117699.526</v>
      </c>
      <c r="E436" s="5">
        <f t="shared" si="1"/>
        <v>-0.0002560260277</v>
      </c>
    </row>
    <row r="437" ht="15.75" customHeight="1">
      <c r="B437" s="3" t="s">
        <v>262</v>
      </c>
      <c r="C437" s="2">
        <v>-118.954</v>
      </c>
      <c r="D437" s="2">
        <f t="shared" si="2"/>
        <v>117580.572</v>
      </c>
      <c r="E437" s="5">
        <f t="shared" si="1"/>
        <v>-0.001011169335</v>
      </c>
    </row>
    <row r="438" ht="15.75" customHeight="1">
      <c r="B438" s="3" t="s">
        <v>263</v>
      </c>
      <c r="C438" s="2">
        <v>-14.961</v>
      </c>
      <c r="D438" s="2">
        <f t="shared" si="2"/>
        <v>117565.611</v>
      </c>
      <c r="E438" s="5">
        <f t="shared" si="1"/>
        <v>-0.0001272485041</v>
      </c>
    </row>
    <row r="439" ht="15.75" customHeight="1">
      <c r="B439" s="3" t="s">
        <v>264</v>
      </c>
      <c r="C439" s="2">
        <v>0.0</v>
      </c>
      <c r="D439" s="2">
        <f t="shared" si="2"/>
        <v>117565.611</v>
      </c>
      <c r="E439" s="5">
        <f t="shared" si="1"/>
        <v>0</v>
      </c>
    </row>
    <row r="440" ht="15.75" customHeight="1">
      <c r="B440" s="3" t="s">
        <v>265</v>
      </c>
      <c r="C440" s="2">
        <v>148.482</v>
      </c>
      <c r="D440" s="2">
        <f t="shared" si="2"/>
        <v>117714.093</v>
      </c>
      <c r="E440" s="5">
        <f t="shared" si="1"/>
        <v>0.001262174486</v>
      </c>
    </row>
    <row r="441" ht="15.75" customHeight="1">
      <c r="B441" s="3">
        <v>43475.0</v>
      </c>
      <c r="C441" s="2">
        <v>14.924</v>
      </c>
      <c r="D441" s="2">
        <f t="shared" si="2"/>
        <v>117729.017</v>
      </c>
      <c r="E441" s="5">
        <f t="shared" si="1"/>
        <v>0.0001267737248</v>
      </c>
    </row>
    <row r="442" ht="15.75" customHeight="1">
      <c r="B442" s="3">
        <v>43506.0</v>
      </c>
      <c r="C442" s="2">
        <v>44.224</v>
      </c>
      <c r="D442" s="2">
        <f t="shared" si="2"/>
        <v>117773.241</v>
      </c>
      <c r="E442" s="5">
        <f t="shared" si="1"/>
        <v>0.0003755717749</v>
      </c>
    </row>
    <row r="443" ht="15.75" customHeight="1">
      <c r="B443" s="3">
        <v>43534.0</v>
      </c>
      <c r="C443" s="2">
        <v>275.073</v>
      </c>
      <c r="D443" s="2">
        <f t="shared" si="2"/>
        <v>118048.314</v>
      </c>
      <c r="E443" s="5">
        <f t="shared" si="1"/>
        <v>0.002332892129</v>
      </c>
    </row>
    <row r="444" ht="15.75" customHeight="1">
      <c r="B444" s="3">
        <v>43565.0</v>
      </c>
      <c r="C444" s="2">
        <v>102.176</v>
      </c>
      <c r="D444" s="2">
        <f t="shared" si="2"/>
        <v>118150.49</v>
      </c>
      <c r="E444" s="5">
        <f t="shared" si="1"/>
        <v>0.0008651695491</v>
      </c>
    </row>
    <row r="445" ht="15.75" customHeight="1">
      <c r="B445" s="3">
        <v>43656.0</v>
      </c>
      <c r="C445" s="2">
        <v>384.908</v>
      </c>
      <c r="D445" s="2">
        <f t="shared" si="2"/>
        <v>118535.398</v>
      </c>
      <c r="E445" s="5">
        <f t="shared" si="1"/>
        <v>0.003252482373</v>
      </c>
    </row>
    <row r="446" ht="15.75" customHeight="1">
      <c r="B446" s="3">
        <v>43687.0</v>
      </c>
      <c r="C446" s="2">
        <v>250.544</v>
      </c>
      <c r="D446" s="2">
        <f t="shared" si="2"/>
        <v>118785.942</v>
      </c>
      <c r="E446" s="5">
        <f t="shared" si="1"/>
        <v>0.002111433326</v>
      </c>
    </row>
    <row r="447" ht="15.75" customHeight="1">
      <c r="B447" s="3">
        <v>43718.0</v>
      </c>
      <c r="C447" s="2">
        <v>116.071</v>
      </c>
      <c r="D447" s="2">
        <f t="shared" si="2"/>
        <v>118902.013</v>
      </c>
      <c r="E447" s="5">
        <f t="shared" si="1"/>
        <v>0.0009766671536</v>
      </c>
    </row>
    <row r="448" ht="15.75" customHeight="1">
      <c r="B448" s="3">
        <v>43748.0</v>
      </c>
      <c r="C448" s="2">
        <v>248.975</v>
      </c>
      <c r="D448" s="2">
        <f t="shared" si="2"/>
        <v>119150.988</v>
      </c>
      <c r="E448" s="5">
        <f t="shared" si="1"/>
        <v>0.002091761832</v>
      </c>
    </row>
    <row r="449" ht="15.75" customHeight="1">
      <c r="B449" s="3">
        <v>43779.0</v>
      </c>
      <c r="C449" s="2">
        <v>0.0</v>
      </c>
      <c r="D449" s="2">
        <f t="shared" si="2"/>
        <v>119150.988</v>
      </c>
      <c r="E449" s="5">
        <f t="shared" si="1"/>
        <v>0</v>
      </c>
    </row>
    <row r="450" ht="15.75" customHeight="1">
      <c r="B450" s="3" t="s">
        <v>266</v>
      </c>
      <c r="C450" s="2">
        <v>-29.805</v>
      </c>
      <c r="D450" s="2">
        <f t="shared" si="2"/>
        <v>119121.183</v>
      </c>
      <c r="E450" s="5">
        <f t="shared" si="1"/>
        <v>-0.0002501760909</v>
      </c>
    </row>
    <row r="451" ht="15.75" customHeight="1">
      <c r="B451" s="3" t="s">
        <v>267</v>
      </c>
      <c r="C451" s="2">
        <v>29.763</v>
      </c>
      <c r="D451" s="2">
        <f t="shared" si="2"/>
        <v>119150.946</v>
      </c>
      <c r="E451" s="5">
        <f t="shared" si="1"/>
        <v>0.0002498235969</v>
      </c>
    </row>
    <row r="452" ht="15.75" customHeight="1">
      <c r="B452" s="3" t="s">
        <v>268</v>
      </c>
      <c r="C452" s="2">
        <v>-165.329</v>
      </c>
      <c r="D452" s="2">
        <f t="shared" si="2"/>
        <v>118985.617</v>
      </c>
      <c r="E452" s="5">
        <f t="shared" si="1"/>
        <v>-0.001388522825</v>
      </c>
    </row>
    <row r="453" ht="15.75" customHeight="1">
      <c r="B453" s="3" t="s">
        <v>269</v>
      </c>
      <c r="C453" s="2">
        <v>-315.016</v>
      </c>
      <c r="D453" s="2">
        <f t="shared" si="2"/>
        <v>118670.601</v>
      </c>
      <c r="E453" s="5">
        <f t="shared" si="1"/>
        <v>-0.002651024132</v>
      </c>
    </row>
    <row r="454" ht="15.75" customHeight="1">
      <c r="B454" s="3" t="s">
        <v>270</v>
      </c>
      <c r="C454" s="2">
        <v>0.0</v>
      </c>
      <c r="D454" s="2">
        <f t="shared" si="2"/>
        <v>118670.601</v>
      </c>
      <c r="E454" s="5">
        <f t="shared" si="1"/>
        <v>0</v>
      </c>
    </row>
    <row r="455" ht="15.75" customHeight="1">
      <c r="B455" s="3" t="s">
        <v>271</v>
      </c>
      <c r="C455" s="2">
        <v>359.635</v>
      </c>
      <c r="D455" s="2">
        <f t="shared" si="2"/>
        <v>119030.236</v>
      </c>
      <c r="E455" s="5">
        <f t="shared" si="1"/>
        <v>0.003025948743</v>
      </c>
    </row>
    <row r="456" ht="15.75" customHeight="1">
      <c r="B456" s="3" t="s">
        <v>272</v>
      </c>
      <c r="C456" s="2">
        <v>-558.261</v>
      </c>
      <c r="D456" s="2">
        <f t="shared" si="2"/>
        <v>118471.975</v>
      </c>
      <c r="E456" s="5">
        <f t="shared" si="1"/>
        <v>-0.004701110156</v>
      </c>
    </row>
    <row r="457" ht="15.75" customHeight="1">
      <c r="B457" s="3" t="s">
        <v>273</v>
      </c>
      <c r="C457" s="2">
        <v>-586.352</v>
      </c>
      <c r="D457" s="2">
        <f t="shared" si="2"/>
        <v>117885.623</v>
      </c>
      <c r="E457" s="5">
        <f t="shared" si="1"/>
        <v>-0.004961576931</v>
      </c>
    </row>
    <row r="458" ht="15.75" customHeight="1">
      <c r="B458" s="3" t="s">
        <v>274</v>
      </c>
      <c r="C458" s="2">
        <v>196.014</v>
      </c>
      <c r="D458" s="2">
        <f t="shared" si="2"/>
        <v>118081.637</v>
      </c>
      <c r="E458" s="5">
        <f t="shared" si="1"/>
        <v>0.001661366455</v>
      </c>
    </row>
    <row r="459" ht="15.75" customHeight="1">
      <c r="B459" s="3" t="s">
        <v>275</v>
      </c>
      <c r="C459" s="2">
        <v>0.0</v>
      </c>
      <c r="D459" s="2">
        <f t="shared" si="2"/>
        <v>118081.637</v>
      </c>
      <c r="E459" s="5">
        <f t="shared" si="1"/>
        <v>0</v>
      </c>
    </row>
    <row r="460" ht="15.75" customHeight="1">
      <c r="B460" s="3" t="s">
        <v>276</v>
      </c>
      <c r="C460" s="2">
        <v>-91.012</v>
      </c>
      <c r="D460" s="2">
        <f t="shared" si="2"/>
        <v>117990.625</v>
      </c>
      <c r="E460" s="5">
        <f t="shared" si="1"/>
        <v>-0.0007710520816</v>
      </c>
    </row>
    <row r="461" ht="15.75" customHeight="1">
      <c r="B461" s="3" t="s">
        <v>277</v>
      </c>
      <c r="C461" s="2">
        <v>289.813</v>
      </c>
      <c r="D461" s="2">
        <f t="shared" si="2"/>
        <v>118280.438</v>
      </c>
      <c r="E461" s="5">
        <f t="shared" si="1"/>
        <v>0.002453225898</v>
      </c>
    </row>
    <row r="462" ht="15.75" customHeight="1">
      <c r="B462" s="3" t="s">
        <v>278</v>
      </c>
      <c r="C462" s="2">
        <v>45.722</v>
      </c>
      <c r="D462" s="2">
        <f t="shared" si="2"/>
        <v>118326.16</v>
      </c>
      <c r="E462" s="5">
        <f t="shared" si="1"/>
        <v>0.0003864811967</v>
      </c>
    </row>
    <row r="463" ht="15.75" customHeight="1">
      <c r="B463" s="3" t="s">
        <v>279</v>
      </c>
      <c r="C463" s="2">
        <v>-259.957</v>
      </c>
      <c r="D463" s="2">
        <f t="shared" si="2"/>
        <v>118066.203</v>
      </c>
      <c r="E463" s="5">
        <f t="shared" si="1"/>
        <v>-0.002199369738</v>
      </c>
    </row>
    <row r="464" ht="15.75" customHeight="1">
      <c r="B464" s="3">
        <v>43476.0</v>
      </c>
      <c r="C464" s="2">
        <v>-228.695</v>
      </c>
      <c r="D464" s="2">
        <f t="shared" si="2"/>
        <v>117837.508</v>
      </c>
      <c r="E464" s="5">
        <f t="shared" si="1"/>
        <v>-0.001938884901</v>
      </c>
    </row>
    <row r="465" ht="15.75" customHeight="1">
      <c r="B465" s="3">
        <v>43566.0</v>
      </c>
      <c r="C465" s="2">
        <v>92.37</v>
      </c>
      <c r="D465" s="2">
        <f t="shared" si="2"/>
        <v>117929.878</v>
      </c>
      <c r="E465" s="5">
        <f t="shared" si="1"/>
        <v>0.000783568977</v>
      </c>
    </row>
    <row r="466" ht="15.75" customHeight="1">
      <c r="B466" s="3">
        <v>43596.0</v>
      </c>
      <c r="C466" s="2">
        <v>216.328</v>
      </c>
      <c r="D466" s="2">
        <f t="shared" si="2"/>
        <v>118146.206</v>
      </c>
      <c r="E466" s="5">
        <f t="shared" si="1"/>
        <v>0.001832697806</v>
      </c>
    </row>
    <row r="467" ht="15.75" customHeight="1">
      <c r="B467" s="3">
        <v>43627.0</v>
      </c>
      <c r="C467" s="2">
        <v>-46.301</v>
      </c>
      <c r="D467" s="2">
        <f t="shared" si="2"/>
        <v>118099.905</v>
      </c>
      <c r="E467" s="5">
        <f t="shared" si="1"/>
        <v>-0.000391972595</v>
      </c>
    </row>
    <row r="468" ht="15.75" customHeight="1">
      <c r="B468" s="3">
        <v>43657.0</v>
      </c>
      <c r="C468" s="2">
        <v>-61.783</v>
      </c>
      <c r="D468" s="2">
        <f t="shared" si="2"/>
        <v>118038.122</v>
      </c>
      <c r="E468" s="5">
        <f t="shared" si="1"/>
        <v>-0.0005232787128</v>
      </c>
    </row>
    <row r="469" ht="15.75" customHeight="1">
      <c r="B469" s="3">
        <v>43688.0</v>
      </c>
      <c r="C469" s="2">
        <v>-61.98</v>
      </c>
      <c r="D469" s="2">
        <f t="shared" si="2"/>
        <v>117976.142</v>
      </c>
      <c r="E469" s="5">
        <f t="shared" si="1"/>
        <v>-0.0005252225046</v>
      </c>
    </row>
    <row r="470" ht="15.75" customHeight="1">
      <c r="B470" s="3">
        <v>43780.0</v>
      </c>
      <c r="C470" s="2">
        <v>0.0</v>
      </c>
      <c r="D470" s="2">
        <f t="shared" si="2"/>
        <v>117976.142</v>
      </c>
      <c r="E470" s="5">
        <f t="shared" si="1"/>
        <v>0</v>
      </c>
    </row>
    <row r="471" ht="15.75" customHeight="1">
      <c r="B471" s="3">
        <v>43810.0</v>
      </c>
      <c r="C471" s="2">
        <v>77.535</v>
      </c>
      <c r="D471" s="2">
        <f t="shared" si="2"/>
        <v>118053.677</v>
      </c>
      <c r="E471" s="5">
        <f t="shared" si="1"/>
        <v>0.0006569932826</v>
      </c>
    </row>
    <row r="472" ht="15.75" customHeight="1">
      <c r="B472" s="3" t="s">
        <v>280</v>
      </c>
      <c r="C472" s="2">
        <v>46.596</v>
      </c>
      <c r="D472" s="2">
        <f t="shared" si="2"/>
        <v>118100.273</v>
      </c>
      <c r="E472" s="5">
        <f t="shared" si="1"/>
        <v>0.0003946239358</v>
      </c>
    </row>
    <row r="473" ht="15.75" customHeight="1">
      <c r="B473" s="3" t="s">
        <v>281</v>
      </c>
      <c r="C473" s="2">
        <v>279.785</v>
      </c>
      <c r="D473" s="2">
        <f t="shared" si="2"/>
        <v>118380.058</v>
      </c>
      <c r="E473" s="5">
        <f t="shared" si="1"/>
        <v>0.002366244409</v>
      </c>
    </row>
    <row r="474" ht="15.75" customHeight="1">
      <c r="B474" s="3" t="s">
        <v>282</v>
      </c>
      <c r="C474" s="2">
        <v>15.561</v>
      </c>
      <c r="D474" s="2">
        <f t="shared" si="2"/>
        <v>118395.619</v>
      </c>
      <c r="E474" s="5">
        <f t="shared" si="1"/>
        <v>0.0001314408661</v>
      </c>
    </row>
    <row r="475" ht="15.75" customHeight="1">
      <c r="B475" s="3" t="s">
        <v>283</v>
      </c>
      <c r="C475" s="2">
        <v>-580.271</v>
      </c>
      <c r="D475" s="2">
        <f t="shared" si="2"/>
        <v>117815.348</v>
      </c>
      <c r="E475" s="5">
        <f t="shared" si="1"/>
        <v>-0.004913168721</v>
      </c>
    </row>
    <row r="476" ht="15.75" customHeight="1">
      <c r="B476" s="3" t="s">
        <v>284</v>
      </c>
      <c r="C476" s="2">
        <v>0.0</v>
      </c>
      <c r="D476" s="2">
        <f t="shared" si="2"/>
        <v>117815.348</v>
      </c>
      <c r="E476" s="5">
        <f t="shared" si="1"/>
        <v>0</v>
      </c>
    </row>
    <row r="477" ht="15.75" customHeight="1">
      <c r="B477" s="3" t="s">
        <v>285</v>
      </c>
      <c r="C477" s="2">
        <v>31.366</v>
      </c>
      <c r="D477" s="2">
        <f t="shared" si="2"/>
        <v>117846.714</v>
      </c>
      <c r="E477" s="5">
        <f t="shared" si="1"/>
        <v>0.000266194736</v>
      </c>
    </row>
    <row r="478" ht="15.75" customHeight="1">
      <c r="B478" s="3" t="s">
        <v>286</v>
      </c>
      <c r="C478" s="2">
        <v>-62.508</v>
      </c>
      <c r="D478" s="2">
        <f t="shared" si="2"/>
        <v>117784.206</v>
      </c>
      <c r="E478" s="5">
        <f t="shared" si="1"/>
        <v>-0.0005305585656</v>
      </c>
    </row>
    <row r="479" ht="15.75" customHeight="1">
      <c r="B479" s="3" t="s">
        <v>287</v>
      </c>
      <c r="C479" s="2">
        <v>0.0</v>
      </c>
      <c r="D479" s="2">
        <f t="shared" si="2"/>
        <v>117784.206</v>
      </c>
      <c r="E479" s="5">
        <f t="shared" si="1"/>
        <v>0</v>
      </c>
    </row>
    <row r="480" ht="15.75" customHeight="1">
      <c r="B480" s="3" t="s">
        <v>288</v>
      </c>
      <c r="C480" s="2">
        <v>-31.275</v>
      </c>
      <c r="D480" s="2">
        <f t="shared" si="2"/>
        <v>117752.931</v>
      </c>
      <c r="E480" s="5">
        <f t="shared" si="1"/>
        <v>-0.0002655632193</v>
      </c>
    </row>
    <row r="481" ht="15.75" customHeight="1">
      <c r="B481" s="3" t="s">
        <v>289</v>
      </c>
      <c r="C481" s="2">
        <v>-267.86</v>
      </c>
      <c r="D481" s="2">
        <f t="shared" si="2"/>
        <v>117485.071</v>
      </c>
      <c r="E481" s="5">
        <f t="shared" si="1"/>
        <v>-0.002277354114</v>
      </c>
    </row>
    <row r="482" ht="15.75" customHeight="1">
      <c r="B482" s="3" t="s">
        <v>290</v>
      </c>
      <c r="C482" s="2">
        <v>-110.54</v>
      </c>
      <c r="D482" s="2">
        <f t="shared" si="2"/>
        <v>117374.531</v>
      </c>
      <c r="E482" s="5">
        <f t="shared" si="1"/>
        <v>-0.0009413284126</v>
      </c>
    </row>
    <row r="483" ht="15.75" customHeight="1">
      <c r="B483" s="3" t="s">
        <v>291</v>
      </c>
      <c r="C483" s="2">
        <v>0.0</v>
      </c>
      <c r="D483" s="2">
        <f t="shared" si="2"/>
        <v>117374.531</v>
      </c>
      <c r="E483" s="5">
        <f t="shared" si="1"/>
        <v>0</v>
      </c>
    </row>
    <row r="484" ht="15.75" customHeight="1">
      <c r="B484" s="3">
        <v>43508.0</v>
      </c>
      <c r="C484" s="2">
        <v>0.0</v>
      </c>
      <c r="D484" s="2">
        <f t="shared" si="2"/>
        <v>117374.531</v>
      </c>
      <c r="E484" s="5">
        <f t="shared" si="1"/>
        <v>0</v>
      </c>
    </row>
    <row r="485" ht="15.75" customHeight="1">
      <c r="B485" s="3">
        <v>43536.0</v>
      </c>
      <c r="C485" s="2">
        <v>156.632</v>
      </c>
      <c r="D485" s="2">
        <f t="shared" si="2"/>
        <v>117531.163</v>
      </c>
      <c r="E485" s="5">
        <f t="shared" si="1"/>
        <v>0.001333573661</v>
      </c>
    </row>
    <row r="486" ht="15.75" customHeight="1">
      <c r="B486" s="3">
        <v>43567.0</v>
      </c>
      <c r="C486" s="2">
        <v>-46.679</v>
      </c>
      <c r="D486" s="2">
        <f t="shared" si="2"/>
        <v>117484.484</v>
      </c>
      <c r="E486" s="5">
        <f t="shared" si="1"/>
        <v>-0.0003972416408</v>
      </c>
    </row>
    <row r="487" ht="15.75" customHeight="1">
      <c r="B487" s="3">
        <v>43597.0</v>
      </c>
      <c r="C487" s="2">
        <v>-31.319</v>
      </c>
      <c r="D487" s="2">
        <f t="shared" si="2"/>
        <v>117453.165</v>
      </c>
      <c r="E487" s="5">
        <f t="shared" si="1"/>
        <v>-0.0002666154217</v>
      </c>
    </row>
    <row r="488" ht="15.75" customHeight="1">
      <c r="B488" s="3">
        <v>43628.0</v>
      </c>
      <c r="C488" s="2">
        <v>31.375</v>
      </c>
      <c r="D488" s="2">
        <f t="shared" si="2"/>
        <v>117484.54</v>
      </c>
      <c r="E488" s="5">
        <f t="shared" si="1"/>
        <v>0.0002670920803</v>
      </c>
    </row>
    <row r="489" ht="15.75" customHeight="1">
      <c r="B489" s="3">
        <v>43720.0</v>
      </c>
      <c r="C489" s="2">
        <v>332.464</v>
      </c>
      <c r="D489" s="2">
        <f t="shared" si="2"/>
        <v>117817.004</v>
      </c>
      <c r="E489" s="5">
        <f t="shared" si="1"/>
        <v>0.002825856691</v>
      </c>
    </row>
    <row r="490" ht="15.75" customHeight="1">
      <c r="B490" s="3">
        <v>43750.0</v>
      </c>
      <c r="C490" s="2">
        <v>347.222</v>
      </c>
      <c r="D490" s="2">
        <f t="shared" si="2"/>
        <v>118164.226</v>
      </c>
      <c r="E490" s="5">
        <f t="shared" si="1"/>
        <v>0.002942795498</v>
      </c>
    </row>
    <row r="491" ht="15.75" customHeight="1">
      <c r="B491" s="3">
        <v>43781.0</v>
      </c>
      <c r="C491" s="2">
        <v>331.088</v>
      </c>
      <c r="D491" s="2">
        <f t="shared" si="2"/>
        <v>118495.314</v>
      </c>
      <c r="E491" s="5">
        <f t="shared" si="1"/>
        <v>0.002798012842</v>
      </c>
    </row>
    <row r="492" ht="15.75" customHeight="1">
      <c r="B492" s="3">
        <v>43811.0</v>
      </c>
      <c r="C492" s="2">
        <v>-94.872</v>
      </c>
      <c r="D492" s="2">
        <f t="shared" si="2"/>
        <v>118400.442</v>
      </c>
      <c r="E492" s="5">
        <f t="shared" si="1"/>
        <v>-0.0008009599384</v>
      </c>
    </row>
    <row r="493" ht="15.75" customHeight="1">
      <c r="B493" s="3" t="s">
        <v>292</v>
      </c>
      <c r="C493" s="2">
        <v>-239.248</v>
      </c>
      <c r="D493" s="2">
        <f t="shared" si="2"/>
        <v>118161.194</v>
      </c>
      <c r="E493" s="5">
        <f t="shared" si="1"/>
        <v>-0.002022712437</v>
      </c>
    </row>
    <row r="494" ht="15.75" customHeight="1">
      <c r="B494" s="3" t="s">
        <v>293</v>
      </c>
      <c r="C494" s="2">
        <v>-478.614</v>
      </c>
      <c r="D494" s="2">
        <f t="shared" si="2"/>
        <v>117682.58</v>
      </c>
      <c r="E494" s="5">
        <f t="shared" si="1"/>
        <v>-0.0040587432</v>
      </c>
    </row>
    <row r="495" ht="15.75" customHeight="1">
      <c r="B495" s="3" t="s">
        <v>294</v>
      </c>
      <c r="C495" s="2">
        <v>4502.503</v>
      </c>
      <c r="D495" s="2">
        <f t="shared" si="2"/>
        <v>122185.083</v>
      </c>
      <c r="E495" s="5">
        <f t="shared" si="1"/>
        <v>0.037545969</v>
      </c>
    </row>
    <row r="496" ht="15.75" customHeight="1">
      <c r="B496" s="3" t="s">
        <v>295</v>
      </c>
      <c r="C496" s="2">
        <v>-5190.812</v>
      </c>
      <c r="D496" s="2">
        <f t="shared" si="2"/>
        <v>116994.271</v>
      </c>
      <c r="E496" s="5">
        <f t="shared" si="1"/>
        <v>-0.04341200112</v>
      </c>
    </row>
    <row r="497" ht="15.75" customHeight="1">
      <c r="B497" s="3" t="s">
        <v>296</v>
      </c>
      <c r="C497" s="2">
        <v>1085.703</v>
      </c>
      <c r="D497" s="2">
        <f t="shared" si="2"/>
        <v>118079.974</v>
      </c>
      <c r="E497" s="5">
        <f t="shared" si="1"/>
        <v>0.009237172876</v>
      </c>
    </row>
    <row r="498" ht="15.75" customHeight="1">
      <c r="B498" s="3" t="s">
        <v>297</v>
      </c>
      <c r="C498" s="2">
        <v>320.769</v>
      </c>
      <c r="D498" s="2">
        <f t="shared" si="2"/>
        <v>118400.743</v>
      </c>
      <c r="E498" s="5">
        <f t="shared" si="1"/>
        <v>0.002712857106</v>
      </c>
    </row>
    <row r="499" ht="15.75" customHeight="1">
      <c r="B499" s="3" t="s">
        <v>298</v>
      </c>
      <c r="C499" s="2">
        <v>-854.285</v>
      </c>
      <c r="D499" s="2">
        <f t="shared" si="2"/>
        <v>117546.458</v>
      </c>
      <c r="E499" s="5">
        <f t="shared" si="1"/>
        <v>-0.007241355095</v>
      </c>
    </row>
    <row r="500" ht="15.75" customHeight="1">
      <c r="B500" s="3" t="s">
        <v>299</v>
      </c>
      <c r="C500" s="2">
        <v>0.0</v>
      </c>
      <c r="D500" s="2">
        <f t="shared" si="2"/>
        <v>117546.458</v>
      </c>
      <c r="E500" s="5">
        <f t="shared" si="1"/>
        <v>0</v>
      </c>
    </row>
    <row r="501" ht="15.75" customHeight="1">
      <c r="B501" s="3" t="s">
        <v>300</v>
      </c>
      <c r="C501" s="2">
        <v>-241.957</v>
      </c>
      <c r="D501" s="2">
        <f t="shared" si="2"/>
        <v>117304.501</v>
      </c>
      <c r="E501" s="5">
        <f t="shared" si="1"/>
        <v>-0.002060516054</v>
      </c>
    </row>
    <row r="502" ht="15.75" customHeight="1">
      <c r="B502" s="3" t="s">
        <v>301</v>
      </c>
      <c r="C502" s="2">
        <v>-210.79</v>
      </c>
      <c r="D502" s="2">
        <f t="shared" si="2"/>
        <v>117093.711</v>
      </c>
      <c r="E502" s="5">
        <f t="shared" si="1"/>
        <v>-0.001798563692</v>
      </c>
    </row>
    <row r="503" ht="15.75" customHeight="1">
      <c r="B503" s="3" t="s">
        <v>302</v>
      </c>
      <c r="C503" s="2">
        <v>-81.077</v>
      </c>
      <c r="D503" s="2">
        <f t="shared" si="2"/>
        <v>117012.634</v>
      </c>
      <c r="E503" s="5">
        <f t="shared" si="1"/>
        <v>-0.0006926510534</v>
      </c>
    </row>
    <row r="504" ht="15.75" customHeight="1">
      <c r="B504" s="3" t="s">
        <v>303</v>
      </c>
      <c r="C504" s="2">
        <v>-48.371</v>
      </c>
      <c r="D504" s="2">
        <f t="shared" si="2"/>
        <v>116964.263</v>
      </c>
      <c r="E504" s="5">
        <f t="shared" si="1"/>
        <v>-0.0004134681783</v>
      </c>
    </row>
    <row r="505" ht="15.75" customHeight="1">
      <c r="B505" s="3">
        <v>43862.0</v>
      </c>
      <c r="C505" s="2">
        <v>-97.033</v>
      </c>
      <c r="D505" s="2">
        <f t="shared" si="2"/>
        <v>116867.23</v>
      </c>
      <c r="E505" s="5">
        <f t="shared" si="1"/>
        <v>-0.0008299395802</v>
      </c>
    </row>
    <row r="506" ht="15.75" customHeight="1">
      <c r="B506" s="3">
        <v>43891.0</v>
      </c>
      <c r="C506" s="2">
        <v>-81.548</v>
      </c>
      <c r="D506" s="2">
        <f t="shared" si="2"/>
        <v>116785.682</v>
      </c>
      <c r="E506" s="5">
        <f t="shared" si="1"/>
        <v>-0.000698026852</v>
      </c>
    </row>
    <row r="507" ht="15.75" customHeight="1">
      <c r="B507" s="3">
        <v>43983.0</v>
      </c>
      <c r="C507" s="2">
        <v>-307.73</v>
      </c>
      <c r="D507" s="2">
        <f t="shared" si="2"/>
        <v>116477.952</v>
      </c>
      <c r="E507" s="5">
        <f t="shared" si="1"/>
        <v>-0.002638475387</v>
      </c>
    </row>
    <row r="508" ht="15.75" customHeight="1">
      <c r="B508" s="3">
        <v>44013.0</v>
      </c>
      <c r="C508" s="2">
        <v>-276.31</v>
      </c>
      <c r="D508" s="2">
        <f t="shared" si="2"/>
        <v>116201.642</v>
      </c>
      <c r="E508" s="5">
        <f t="shared" si="1"/>
        <v>-0.002375026749</v>
      </c>
    </row>
    <row r="509" ht="15.75" customHeight="1">
      <c r="B509" s="3">
        <v>44044.0</v>
      </c>
      <c r="C509" s="2">
        <v>-81.048</v>
      </c>
      <c r="D509" s="2">
        <f t="shared" si="2"/>
        <v>116120.594</v>
      </c>
      <c r="E509" s="5">
        <f t="shared" si="1"/>
        <v>-0.0006977205857</v>
      </c>
    </row>
    <row r="510" ht="15.75" customHeight="1">
      <c r="B510" s="3">
        <v>44075.0</v>
      </c>
      <c r="C510" s="2">
        <v>309.504</v>
      </c>
      <c r="D510" s="2">
        <f t="shared" si="2"/>
        <v>116430.098</v>
      </c>
      <c r="E510" s="5">
        <f t="shared" si="1"/>
        <v>0.002661821215</v>
      </c>
    </row>
    <row r="511" ht="15.75" customHeight="1">
      <c r="B511" s="3">
        <v>44105.0</v>
      </c>
      <c r="C511" s="2">
        <v>0.0</v>
      </c>
      <c r="D511" s="2">
        <f t="shared" si="2"/>
        <v>116430.098</v>
      </c>
      <c r="E511" s="5">
        <f t="shared" si="1"/>
        <v>0</v>
      </c>
    </row>
    <row r="512" ht="15.75" customHeight="1">
      <c r="B512" s="3" t="s">
        <v>304</v>
      </c>
      <c r="C512" s="2">
        <v>310.754</v>
      </c>
      <c r="D512" s="2">
        <f t="shared" si="2"/>
        <v>116740.852</v>
      </c>
      <c r="E512" s="5">
        <f t="shared" si="1"/>
        <v>0.002665462263</v>
      </c>
    </row>
    <row r="513" ht="15.75" customHeight="1">
      <c r="B513" s="3" t="s">
        <v>305</v>
      </c>
      <c r="C513" s="2">
        <v>197.636</v>
      </c>
      <c r="D513" s="2">
        <f t="shared" si="2"/>
        <v>116938.488</v>
      </c>
      <c r="E513" s="5">
        <f t="shared" si="1"/>
        <v>0.001691514938</v>
      </c>
    </row>
    <row r="514" ht="15.75" customHeight="1">
      <c r="B514" s="3" t="s">
        <v>306</v>
      </c>
      <c r="C514" s="2">
        <v>328.926</v>
      </c>
      <c r="D514" s="2">
        <f t="shared" si="2"/>
        <v>117267.414</v>
      </c>
      <c r="E514" s="5">
        <f t="shared" si="1"/>
        <v>0.002808863598</v>
      </c>
    </row>
    <row r="515" ht="15.75" customHeight="1">
      <c r="B515" s="3" t="s">
        <v>307</v>
      </c>
      <c r="C515" s="2">
        <v>477.844</v>
      </c>
      <c r="D515" s="2">
        <f t="shared" si="2"/>
        <v>117745.258</v>
      </c>
      <c r="E515" s="5">
        <f t="shared" si="1"/>
        <v>0.004066543769</v>
      </c>
    </row>
    <row r="516" ht="15.75" customHeight="1">
      <c r="B516" s="3" t="s">
        <v>308</v>
      </c>
      <c r="C516" s="2">
        <v>-382.161</v>
      </c>
      <c r="D516" s="2">
        <f t="shared" si="2"/>
        <v>117363.097</v>
      </c>
      <c r="E516" s="5">
        <f t="shared" si="1"/>
        <v>-0.003250937948</v>
      </c>
    </row>
    <row r="517" ht="15.75" customHeight="1">
      <c r="B517" s="3" t="s">
        <v>309</v>
      </c>
      <c r="C517" s="2">
        <v>-400.325</v>
      </c>
      <c r="D517" s="2">
        <f t="shared" si="2"/>
        <v>116962.772</v>
      </c>
      <c r="E517" s="5">
        <f t="shared" si="1"/>
        <v>-0.003416826244</v>
      </c>
    </row>
    <row r="518" ht="15.75" customHeight="1">
      <c r="B518" s="3" t="s">
        <v>310</v>
      </c>
      <c r="C518" s="2">
        <v>299.453</v>
      </c>
      <c r="D518" s="2">
        <f t="shared" si="2"/>
        <v>117262.225</v>
      </c>
      <c r="E518" s="5">
        <f t="shared" si="1"/>
        <v>0.002556970153</v>
      </c>
    </row>
    <row r="519" ht="15.75" customHeight="1">
      <c r="B519" s="3" t="s">
        <v>311</v>
      </c>
      <c r="C519" s="2">
        <v>599.1</v>
      </c>
      <c r="D519" s="2">
        <f t="shared" si="2"/>
        <v>117861.325</v>
      </c>
      <c r="E519" s="5">
        <f t="shared" si="1"/>
        <v>0.005096055215</v>
      </c>
    </row>
    <row r="520" ht="15.75" customHeight="1">
      <c r="B520" s="3" t="s">
        <v>312</v>
      </c>
      <c r="C520" s="2">
        <v>333.238</v>
      </c>
      <c r="D520" s="2">
        <f t="shared" si="2"/>
        <v>118194.563</v>
      </c>
      <c r="E520" s="5">
        <f t="shared" si="1"/>
        <v>0.002823384108</v>
      </c>
    </row>
    <row r="521" ht="15.75" customHeight="1">
      <c r="B521" s="3" t="s">
        <v>313</v>
      </c>
      <c r="C521" s="2">
        <v>214.653</v>
      </c>
      <c r="D521" s="2">
        <f t="shared" si="2"/>
        <v>118409.216</v>
      </c>
      <c r="E521" s="5">
        <f t="shared" si="1"/>
        <v>0.001814451652</v>
      </c>
    </row>
    <row r="522" ht="15.75" customHeight="1">
      <c r="B522" s="3" t="s">
        <v>314</v>
      </c>
      <c r="C522" s="2">
        <v>113.764</v>
      </c>
      <c r="D522" s="2">
        <f t="shared" si="2"/>
        <v>118522.98</v>
      </c>
      <c r="E522" s="5">
        <f t="shared" si="1"/>
        <v>0.0009603085664</v>
      </c>
    </row>
    <row r="523" ht="15.75" customHeight="1">
      <c r="B523" s="3" t="s">
        <v>315</v>
      </c>
      <c r="C523" s="2">
        <v>147.742</v>
      </c>
      <c r="D523" s="2">
        <f t="shared" si="2"/>
        <v>118670.722</v>
      </c>
      <c r="E523" s="5">
        <f t="shared" si="1"/>
        <v>0.001245749932</v>
      </c>
    </row>
    <row r="524" ht="15.75" customHeight="1">
      <c r="B524" s="3" t="s">
        <v>316</v>
      </c>
      <c r="C524" s="2">
        <v>377.242</v>
      </c>
      <c r="D524" s="2">
        <f t="shared" si="2"/>
        <v>119047.964</v>
      </c>
      <c r="E524" s="5">
        <f t="shared" si="1"/>
        <v>0.003173854971</v>
      </c>
    </row>
    <row r="525" ht="15.75" customHeight="1">
      <c r="B525" s="3" t="s">
        <v>317</v>
      </c>
      <c r="C525" s="2">
        <v>0.0</v>
      </c>
      <c r="D525" s="2">
        <f t="shared" si="2"/>
        <v>119047.964</v>
      </c>
      <c r="E525" s="5">
        <f t="shared" si="1"/>
        <v>0</v>
      </c>
    </row>
    <row r="526" ht="15.75" customHeight="1">
      <c r="B526" s="3">
        <v>43892.0</v>
      </c>
      <c r="C526" s="2">
        <v>32.331</v>
      </c>
      <c r="D526" s="2">
        <f t="shared" si="2"/>
        <v>119080.295</v>
      </c>
      <c r="E526" s="5">
        <f t="shared" si="1"/>
        <v>0.000271542742</v>
      </c>
    </row>
    <row r="527" ht="15.75" customHeight="1">
      <c r="B527" s="3">
        <v>43923.0</v>
      </c>
      <c r="C527" s="2">
        <v>48.849</v>
      </c>
      <c r="D527" s="2">
        <f t="shared" si="2"/>
        <v>119129.144</v>
      </c>
      <c r="E527" s="5">
        <f t="shared" si="1"/>
        <v>0.0004101348871</v>
      </c>
    </row>
    <row r="528" ht="15.75" customHeight="1">
      <c r="B528" s="3">
        <v>43953.0</v>
      </c>
      <c r="C528" s="2">
        <v>6809.171</v>
      </c>
      <c r="D528" s="2">
        <f t="shared" si="2"/>
        <v>125938.315</v>
      </c>
      <c r="E528" s="5">
        <f t="shared" si="1"/>
        <v>0.05558407523</v>
      </c>
    </row>
    <row r="529" ht="15.75" customHeight="1">
      <c r="B529" s="3">
        <v>43984.0</v>
      </c>
      <c r="C529" s="2">
        <v>417.831</v>
      </c>
      <c r="D529" s="2">
        <f t="shared" si="2"/>
        <v>126356.146</v>
      </c>
      <c r="E529" s="5">
        <f t="shared" si="1"/>
        <v>0.003312251726</v>
      </c>
    </row>
    <row r="530" ht="15.75" customHeight="1">
      <c r="B530" s="3">
        <v>44014.0</v>
      </c>
      <c r="C530" s="2">
        <v>285.118</v>
      </c>
      <c r="D530" s="2">
        <f t="shared" si="2"/>
        <v>126641.264</v>
      </c>
      <c r="E530" s="5">
        <f t="shared" si="1"/>
        <v>0.002253921261</v>
      </c>
    </row>
    <row r="531" ht="15.75" customHeight="1">
      <c r="B531" s="3">
        <v>44106.0</v>
      </c>
      <c r="C531" s="2">
        <v>367.055</v>
      </c>
      <c r="D531" s="2">
        <f t="shared" si="2"/>
        <v>127008.319</v>
      </c>
      <c r="E531" s="5">
        <f t="shared" si="1"/>
        <v>0.002894191679</v>
      </c>
    </row>
    <row r="532" ht="15.75" customHeight="1">
      <c r="B532" s="3">
        <v>44137.0</v>
      </c>
      <c r="C532" s="2">
        <v>-336.182</v>
      </c>
      <c r="D532" s="2">
        <f t="shared" si="2"/>
        <v>126672.137</v>
      </c>
      <c r="E532" s="5">
        <f t="shared" si="1"/>
        <v>-0.002650438288</v>
      </c>
    </row>
    <row r="533" ht="15.75" customHeight="1">
      <c r="B533" s="3">
        <v>44167.0</v>
      </c>
      <c r="C533" s="2">
        <v>-808.227</v>
      </c>
      <c r="D533" s="2">
        <f t="shared" si="2"/>
        <v>125863.91</v>
      </c>
      <c r="E533" s="5">
        <f t="shared" si="1"/>
        <v>-0.006400906082</v>
      </c>
    </row>
    <row r="534" ht="15.75" customHeight="1">
      <c r="B534" s="3" t="s">
        <v>318</v>
      </c>
      <c r="C534" s="2">
        <v>660.949</v>
      </c>
      <c r="D534" s="2">
        <f t="shared" si="2"/>
        <v>126524.859</v>
      </c>
      <c r="E534" s="5">
        <f t="shared" si="1"/>
        <v>0.005237558815</v>
      </c>
    </row>
    <row r="535" ht="15.75" customHeight="1">
      <c r="B535" s="3" t="s">
        <v>319</v>
      </c>
      <c r="C535" s="2">
        <v>-524.682</v>
      </c>
      <c r="D535" s="2">
        <f t="shared" si="2"/>
        <v>126000.177</v>
      </c>
      <c r="E535" s="5">
        <f t="shared" si="1"/>
        <v>-0.004155490983</v>
      </c>
    </row>
    <row r="536" ht="15.75" customHeight="1">
      <c r="B536" s="3" t="s">
        <v>320</v>
      </c>
      <c r="C536" s="2">
        <v>-576.613</v>
      </c>
      <c r="D536" s="2">
        <f t="shared" si="2"/>
        <v>125423.564</v>
      </c>
      <c r="E536" s="5">
        <f t="shared" si="1"/>
        <v>-0.004586790481</v>
      </c>
    </row>
    <row r="537" ht="15.75" customHeight="1">
      <c r="B537" s="3" t="s">
        <v>321</v>
      </c>
      <c r="C537" s="2">
        <v>0.0</v>
      </c>
      <c r="D537" s="2">
        <f t="shared" si="2"/>
        <v>125423.564</v>
      </c>
      <c r="E537" s="5">
        <f t="shared" si="1"/>
        <v>0</v>
      </c>
    </row>
    <row r="538" ht="15.75" customHeight="1">
      <c r="B538" s="3" t="s">
        <v>322</v>
      </c>
      <c r="C538" s="2">
        <v>-135.945</v>
      </c>
      <c r="D538" s="2">
        <f t="shared" si="2"/>
        <v>125287.619</v>
      </c>
      <c r="E538" s="5">
        <f t="shared" si="1"/>
        <v>-0.001084475066</v>
      </c>
    </row>
    <row r="539" ht="15.75" customHeight="1">
      <c r="B539" s="3" t="s">
        <v>323</v>
      </c>
      <c r="C539" s="2">
        <v>-16.929</v>
      </c>
      <c r="D539" s="2">
        <f t="shared" si="2"/>
        <v>125270.69</v>
      </c>
      <c r="E539" s="5">
        <f t="shared" si="1"/>
        <v>-0.0001351302225</v>
      </c>
    </row>
    <row r="540" ht="15.75" customHeight="1">
      <c r="B540" s="3" t="s">
        <v>324</v>
      </c>
      <c r="C540" s="2">
        <v>1289.874</v>
      </c>
      <c r="D540" s="2">
        <f t="shared" si="2"/>
        <v>126560.564</v>
      </c>
      <c r="E540" s="5">
        <f t="shared" si="1"/>
        <v>0.01024404445</v>
      </c>
    </row>
    <row r="541" ht="15.75" customHeight="1">
      <c r="B541" s="3" t="s">
        <v>325</v>
      </c>
      <c r="C541" s="2">
        <v>161.923</v>
      </c>
      <c r="D541" s="2">
        <f t="shared" si="2"/>
        <v>126722.487</v>
      </c>
      <c r="E541" s="5">
        <f t="shared" si="1"/>
        <v>0.001278593427</v>
      </c>
    </row>
    <row r="542" ht="15.75" customHeight="1">
      <c r="B542" s="3" t="s">
        <v>326</v>
      </c>
      <c r="C542" s="2">
        <v>-329.752</v>
      </c>
      <c r="D542" s="2">
        <f t="shared" si="2"/>
        <v>126392.735</v>
      </c>
      <c r="E542" s="5">
        <f t="shared" si="1"/>
        <v>-0.002605550025</v>
      </c>
    </row>
    <row r="543" ht="15.75" customHeight="1">
      <c r="B543" s="3" t="s">
        <v>327</v>
      </c>
      <c r="C543" s="2">
        <v>-500.577</v>
      </c>
      <c r="D543" s="2">
        <f t="shared" si="2"/>
        <v>125892.158</v>
      </c>
      <c r="E543" s="5">
        <f t="shared" si="1"/>
        <v>-0.003968352215</v>
      </c>
    </row>
    <row r="544" ht="15.75" customHeight="1">
      <c r="B544" s="3" t="s">
        <v>328</v>
      </c>
      <c r="C544" s="2">
        <v>-59.82</v>
      </c>
      <c r="D544" s="2">
        <f t="shared" si="2"/>
        <v>125832.338</v>
      </c>
      <c r="E544" s="5">
        <f t="shared" si="1"/>
        <v>-0.0004752815247</v>
      </c>
    </row>
    <row r="545" ht="15.75" customHeight="1">
      <c r="B545" s="3">
        <v>43864.0</v>
      </c>
      <c r="C545" s="2">
        <v>59.338</v>
      </c>
      <c r="D545" s="2">
        <f t="shared" si="2"/>
        <v>125891.676</v>
      </c>
      <c r="E545" s="5">
        <f t="shared" si="1"/>
        <v>0.0004714528436</v>
      </c>
    </row>
    <row r="546" ht="15.75" customHeight="1">
      <c r="B546" s="3">
        <v>43893.0</v>
      </c>
      <c r="C546" s="2">
        <v>-108.621</v>
      </c>
      <c r="D546" s="2">
        <f t="shared" si="2"/>
        <v>125783.055</v>
      </c>
      <c r="E546" s="5">
        <f t="shared" si="1"/>
        <v>-0.000863185639</v>
      </c>
    </row>
    <row r="547" ht="15.75" customHeight="1">
      <c r="B547" s="3">
        <v>43924.0</v>
      </c>
      <c r="C547" s="2">
        <v>120.657</v>
      </c>
      <c r="D547" s="2">
        <f t="shared" si="2"/>
        <v>125903.712</v>
      </c>
      <c r="E547" s="5">
        <f t="shared" si="1"/>
        <v>0.0009587870724</v>
      </c>
    </row>
    <row r="548" ht="15.75" customHeight="1">
      <c r="B548" s="3">
        <v>43954.0</v>
      </c>
      <c r="C548" s="2">
        <v>94.315</v>
      </c>
      <c r="D548" s="2">
        <f t="shared" si="2"/>
        <v>125998.027</v>
      </c>
      <c r="E548" s="5">
        <f t="shared" si="1"/>
        <v>0.0007488237658</v>
      </c>
    </row>
    <row r="549" ht="15.75" customHeight="1">
      <c r="B549" s="3">
        <v>43985.0</v>
      </c>
      <c r="C549" s="2">
        <v>592.39</v>
      </c>
      <c r="D549" s="2">
        <f t="shared" si="2"/>
        <v>126590.417</v>
      </c>
      <c r="E549" s="5">
        <f t="shared" si="1"/>
        <v>0.004690563644</v>
      </c>
    </row>
    <row r="550" ht="15.75" customHeight="1">
      <c r="B550" s="3">
        <v>44077.0</v>
      </c>
      <c r="C550" s="2">
        <v>253.825</v>
      </c>
      <c r="D550" s="2">
        <f t="shared" si="2"/>
        <v>126844.242</v>
      </c>
      <c r="E550" s="5">
        <f t="shared" si="1"/>
        <v>0.002003081077</v>
      </c>
    </row>
    <row r="551" ht="15.75" customHeight="1">
      <c r="B551" s="3">
        <v>44107.0</v>
      </c>
      <c r="C551" s="2">
        <v>96.588</v>
      </c>
      <c r="D551" s="2">
        <f t="shared" si="2"/>
        <v>126940.83</v>
      </c>
      <c r="E551" s="5">
        <f t="shared" si="1"/>
        <v>0.0007611795596</v>
      </c>
    </row>
    <row r="552" ht="15.75" customHeight="1">
      <c r="B552" s="3">
        <v>44138.0</v>
      </c>
      <c r="C552" s="2">
        <v>130.318</v>
      </c>
      <c r="D552" s="2">
        <f t="shared" si="2"/>
        <v>127071.148</v>
      </c>
      <c r="E552" s="5">
        <f t="shared" si="1"/>
        <v>0.001026077687</v>
      </c>
    </row>
    <row r="553" ht="15.75" customHeight="1">
      <c r="B553" s="3">
        <v>44168.0</v>
      </c>
      <c r="C553" s="2">
        <v>537.168</v>
      </c>
      <c r="D553" s="2">
        <f t="shared" si="2"/>
        <v>127608.316</v>
      </c>
      <c r="E553" s="5">
        <f t="shared" si="1"/>
        <v>0.004218391135</v>
      </c>
    </row>
    <row r="554" ht="15.75" customHeight="1">
      <c r="B554" s="3" t="s">
        <v>329</v>
      </c>
      <c r="C554" s="2">
        <v>398.914</v>
      </c>
      <c r="D554" s="2">
        <f t="shared" si="2"/>
        <v>128007.23</v>
      </c>
      <c r="E554" s="5">
        <f t="shared" si="1"/>
        <v>0.003121205499</v>
      </c>
    </row>
    <row r="555" ht="15.75" customHeight="1">
      <c r="B555" s="3" t="s">
        <v>330</v>
      </c>
      <c r="C555" s="2">
        <v>-722.275</v>
      </c>
      <c r="D555" s="2">
        <f t="shared" si="2"/>
        <v>127284.955</v>
      </c>
      <c r="E555" s="5">
        <f t="shared" si="1"/>
        <v>-0.005658433509</v>
      </c>
    </row>
    <row r="556" ht="15.75" customHeight="1">
      <c r="B556" s="3" t="s">
        <v>331</v>
      </c>
      <c r="C556" s="2">
        <v>-311.91</v>
      </c>
      <c r="D556" s="2">
        <f t="shared" si="2"/>
        <v>126973.045</v>
      </c>
      <c r="E556" s="5">
        <f t="shared" si="1"/>
        <v>-0.002453493353</v>
      </c>
    </row>
    <row r="557" ht="15.75" customHeight="1">
      <c r="B557" s="3" t="s">
        <v>332</v>
      </c>
      <c r="C557" s="2">
        <v>-254.289</v>
      </c>
      <c r="D557" s="2">
        <f t="shared" si="2"/>
        <v>126718.756</v>
      </c>
      <c r="E557" s="5">
        <f t="shared" si="1"/>
        <v>-0.002004708738</v>
      </c>
    </row>
    <row r="558" ht="15.75" customHeight="1">
      <c r="B558" s="3" t="s">
        <v>333</v>
      </c>
      <c r="C558" s="2">
        <v>-3291.471</v>
      </c>
      <c r="D558" s="2">
        <f t="shared" si="2"/>
        <v>123427.285</v>
      </c>
      <c r="E558" s="5">
        <f t="shared" si="1"/>
        <v>-0.02631791386</v>
      </c>
    </row>
    <row r="559" ht="15.75" customHeight="1">
      <c r="B559" s="3" t="s">
        <v>334</v>
      </c>
      <c r="C559" s="2">
        <v>-2701.34</v>
      </c>
      <c r="D559" s="2">
        <f t="shared" si="2"/>
        <v>120725.945</v>
      </c>
      <c r="E559" s="5">
        <f t="shared" si="1"/>
        <v>-0.0221291378</v>
      </c>
    </row>
    <row r="560" ht="15.75" customHeight="1">
      <c r="B560" s="3" t="s">
        <v>335</v>
      </c>
      <c r="C560" s="2">
        <v>-81.132</v>
      </c>
      <c r="D560" s="2">
        <f t="shared" si="2"/>
        <v>120644.813</v>
      </c>
      <c r="E560" s="5">
        <f t="shared" si="1"/>
        <v>-0.0006722604157</v>
      </c>
    </row>
    <row r="561" ht="15.75" customHeight="1">
      <c r="B561" s="3" t="s">
        <v>336</v>
      </c>
      <c r="C561" s="2">
        <v>-427.531</v>
      </c>
      <c r="D561" s="2">
        <f t="shared" si="2"/>
        <v>120217.282</v>
      </c>
      <c r="E561" s="5">
        <f t="shared" si="1"/>
        <v>-0.003550010216</v>
      </c>
    </row>
    <row r="562" ht="15.75" customHeight="1">
      <c r="B562" s="3" t="s">
        <v>337</v>
      </c>
      <c r="C562" s="2">
        <v>-332.313</v>
      </c>
      <c r="D562" s="2">
        <f t="shared" si="2"/>
        <v>119884.969</v>
      </c>
      <c r="E562" s="5">
        <f t="shared" si="1"/>
        <v>-0.002768097432</v>
      </c>
    </row>
    <row r="563" ht="15.75" customHeight="1">
      <c r="B563" s="3" t="s">
        <v>338</v>
      </c>
      <c r="C563" s="2">
        <v>24.747</v>
      </c>
      <c r="D563" s="2">
        <f t="shared" si="2"/>
        <v>119909.716</v>
      </c>
      <c r="E563" s="5">
        <f t="shared" si="1"/>
        <v>0.000206401573</v>
      </c>
    </row>
    <row r="564" ht="15.75" customHeight="1">
      <c r="B564" s="3" t="s">
        <v>339</v>
      </c>
      <c r="C564" s="2">
        <v>801.9</v>
      </c>
      <c r="D564" s="2">
        <f t="shared" si="2"/>
        <v>120711.616</v>
      </c>
      <c r="E564" s="5">
        <f t="shared" si="1"/>
        <v>0.006665269135</v>
      </c>
    </row>
    <row r="565" ht="15.75" customHeight="1">
      <c r="B565" s="3" t="s">
        <v>340</v>
      </c>
      <c r="C565" s="2">
        <v>431.907</v>
      </c>
      <c r="D565" s="2">
        <f t="shared" si="2"/>
        <v>121143.523</v>
      </c>
      <c r="E565" s="5">
        <f t="shared" si="1"/>
        <v>0.003571621103</v>
      </c>
    </row>
    <row r="566" ht="15.75" customHeight="1">
      <c r="B566" s="3" t="s">
        <v>341</v>
      </c>
      <c r="C566" s="2">
        <v>-157.572</v>
      </c>
      <c r="D566" s="2">
        <f t="shared" si="2"/>
        <v>120985.951</v>
      </c>
      <c r="E566" s="5">
        <f t="shared" si="1"/>
        <v>-0.001301551766</v>
      </c>
    </row>
    <row r="567" ht="15.75" customHeight="1">
      <c r="B567" s="3">
        <v>43834.0</v>
      </c>
      <c r="C567" s="2">
        <v>-284.289</v>
      </c>
      <c r="D567" s="2">
        <f t="shared" si="2"/>
        <v>120701.662</v>
      </c>
      <c r="E567" s="5">
        <f t="shared" si="1"/>
        <v>-0.002352533732</v>
      </c>
    </row>
    <row r="568" ht="15.75" customHeight="1">
      <c r="B568" s="3">
        <v>43865.0</v>
      </c>
      <c r="C568" s="2">
        <v>1037.547</v>
      </c>
      <c r="D568" s="2">
        <f t="shared" si="2"/>
        <v>121739.209</v>
      </c>
      <c r="E568" s="5">
        <f t="shared" si="1"/>
        <v>0.008559227906</v>
      </c>
    </row>
    <row r="569" ht="15.75" customHeight="1">
      <c r="B569" s="3">
        <v>43894.0</v>
      </c>
      <c r="C569" s="2">
        <v>0.0</v>
      </c>
      <c r="D569" s="2">
        <f t="shared" si="2"/>
        <v>121739.209</v>
      </c>
      <c r="E569" s="5">
        <f t="shared" si="1"/>
        <v>0</v>
      </c>
    </row>
    <row r="570" ht="15.75" customHeight="1">
      <c r="B570" s="3">
        <v>43986.0</v>
      </c>
      <c r="C570" s="2">
        <v>87.126</v>
      </c>
      <c r="D570" s="2">
        <f t="shared" si="2"/>
        <v>121826.335</v>
      </c>
      <c r="E570" s="5">
        <f t="shared" si="1"/>
        <v>0.0007154214203</v>
      </c>
    </row>
    <row r="571" ht="15.75" customHeight="1">
      <c r="B571" s="3">
        <v>44016.0</v>
      </c>
      <c r="C571" s="2">
        <v>-53.288</v>
      </c>
      <c r="D571" s="2">
        <f t="shared" si="2"/>
        <v>121773.047</v>
      </c>
      <c r="E571" s="5">
        <f t="shared" si="1"/>
        <v>-0.000437505222</v>
      </c>
    </row>
    <row r="572" ht="15.75" customHeight="1">
      <c r="B572" s="3">
        <v>44047.0</v>
      </c>
      <c r="C572" s="2">
        <v>598.535</v>
      </c>
      <c r="D572" s="2">
        <f t="shared" si="2"/>
        <v>122371.582</v>
      </c>
      <c r="E572" s="5">
        <f t="shared" si="1"/>
        <v>0.00490312813</v>
      </c>
    </row>
    <row r="573" ht="15.75" customHeight="1">
      <c r="B573" s="3">
        <v>44078.0</v>
      </c>
      <c r="C573" s="2">
        <v>0.0</v>
      </c>
      <c r="D573" s="2">
        <f t="shared" si="2"/>
        <v>122371.582</v>
      </c>
      <c r="E573" s="5">
        <f t="shared" si="1"/>
        <v>0</v>
      </c>
    </row>
    <row r="574" ht="15.75" customHeight="1">
      <c r="B574" s="3" t="s">
        <v>342</v>
      </c>
      <c r="C574" s="2">
        <v>-125.624</v>
      </c>
      <c r="D574" s="2">
        <f t="shared" si="2"/>
        <v>122245.958</v>
      </c>
      <c r="E574" s="5">
        <f t="shared" si="1"/>
        <v>-0.001027105506</v>
      </c>
    </row>
    <row r="575" ht="15.75" customHeight="1">
      <c r="B575" s="3" t="s">
        <v>343</v>
      </c>
      <c r="C575" s="2">
        <v>-207.264</v>
      </c>
      <c r="D575" s="2">
        <f t="shared" si="2"/>
        <v>122038.694</v>
      </c>
      <c r="E575" s="5">
        <f t="shared" si="1"/>
        <v>-0.001696906032</v>
      </c>
    </row>
    <row r="576" ht="15.75" customHeight="1">
      <c r="B576" s="3" t="s">
        <v>344</v>
      </c>
      <c r="C576" s="2">
        <v>156.659</v>
      </c>
      <c r="D576" s="2">
        <f t="shared" si="2"/>
        <v>122195.353</v>
      </c>
      <c r="E576" s="5">
        <f t="shared" si="1"/>
        <v>0.001282859809</v>
      </c>
    </row>
    <row r="577" ht="15.75" customHeight="1">
      <c r="B577" s="3" t="s">
        <v>345</v>
      </c>
      <c r="C577" s="2">
        <v>97.501</v>
      </c>
      <c r="D577" s="2">
        <f t="shared" si="2"/>
        <v>122292.854</v>
      </c>
      <c r="E577" s="5">
        <f t="shared" si="1"/>
        <v>0.0007975927049</v>
      </c>
    </row>
    <row r="578" ht="15.75" customHeight="1">
      <c r="B578" s="3" t="s">
        <v>346</v>
      </c>
      <c r="C578" s="2">
        <v>-84.059</v>
      </c>
      <c r="D578" s="2">
        <f t="shared" si="2"/>
        <v>122208.795</v>
      </c>
      <c r="E578" s="5">
        <f t="shared" si="1"/>
        <v>-0.0006875945717</v>
      </c>
    </row>
    <row r="579" ht="15.75" customHeight="1">
      <c r="B579" s="3" t="s">
        <v>347</v>
      </c>
      <c r="C579" s="2">
        <v>-244.56</v>
      </c>
      <c r="D579" s="2">
        <f t="shared" si="2"/>
        <v>121964.235</v>
      </c>
      <c r="E579" s="5">
        <f t="shared" si="1"/>
        <v>-0.002003170307</v>
      </c>
    </row>
    <row r="580" ht="15.75" customHeight="1">
      <c r="B580" s="3" t="s">
        <v>348</v>
      </c>
      <c r="C580" s="2">
        <v>-339.08</v>
      </c>
      <c r="D580" s="2">
        <f t="shared" si="2"/>
        <v>121625.155</v>
      </c>
      <c r="E580" s="5">
        <f t="shared" si="1"/>
        <v>-0.002784031103</v>
      </c>
    </row>
    <row r="581" ht="15.75" customHeight="1">
      <c r="B581" s="3" t="s">
        <v>349</v>
      </c>
      <c r="C581" s="2">
        <v>-123.261</v>
      </c>
      <c r="D581" s="2">
        <f t="shared" si="2"/>
        <v>121501.894</v>
      </c>
      <c r="E581" s="5">
        <f t="shared" si="1"/>
        <v>-0.001013963778</v>
      </c>
    </row>
    <row r="582" ht="15.75" customHeight="1">
      <c r="B582" s="3" t="s">
        <v>350</v>
      </c>
      <c r="C582" s="2">
        <v>-308.22</v>
      </c>
      <c r="D582" s="2">
        <f t="shared" si="2"/>
        <v>121193.674</v>
      </c>
      <c r="E582" s="5">
        <f t="shared" si="1"/>
        <v>-0.002539973583</v>
      </c>
    </row>
    <row r="583" ht="15.75" customHeight="1">
      <c r="B583" s="3" t="s">
        <v>351</v>
      </c>
      <c r="C583" s="2">
        <v>-238.058</v>
      </c>
      <c r="D583" s="2">
        <f t="shared" si="2"/>
        <v>120955.616</v>
      </c>
      <c r="E583" s="5">
        <f t="shared" si="1"/>
        <v>-0.001966209165</v>
      </c>
    </row>
    <row r="584" ht="15.75" customHeight="1">
      <c r="B584" s="3" t="s">
        <v>352</v>
      </c>
      <c r="C584" s="2">
        <v>-227.182</v>
      </c>
      <c r="D584" s="2">
        <f t="shared" si="2"/>
        <v>120728.434</v>
      </c>
      <c r="E584" s="5">
        <f t="shared" si="1"/>
        <v>-0.001879992221</v>
      </c>
    </row>
    <row r="585" ht="15.75" customHeight="1">
      <c r="B585" s="3" t="s">
        <v>353</v>
      </c>
      <c r="C585" s="2">
        <v>-57.632</v>
      </c>
      <c r="D585" s="2">
        <f t="shared" si="2"/>
        <v>120670.802</v>
      </c>
      <c r="E585" s="5">
        <f t="shared" si="1"/>
        <v>-0.000477482879</v>
      </c>
    </row>
    <row r="586" ht="15.75" customHeight="1">
      <c r="B586" s="3" t="s">
        <v>354</v>
      </c>
      <c r="C586" s="2">
        <v>114.662</v>
      </c>
      <c r="D586" s="2">
        <f t="shared" si="2"/>
        <v>120785.464</v>
      </c>
      <c r="E586" s="5">
        <f t="shared" si="1"/>
        <v>0.0009497538459</v>
      </c>
    </row>
    <row r="587" ht="15.75" customHeight="1">
      <c r="B587" s="3" t="s">
        <v>355</v>
      </c>
      <c r="C587" s="2">
        <v>44.143</v>
      </c>
      <c r="D587" s="2">
        <f t="shared" si="2"/>
        <v>120829.607</v>
      </c>
      <c r="E587" s="5">
        <f t="shared" si="1"/>
        <v>0.0003653993959</v>
      </c>
    </row>
    <row r="588" ht="15.75" customHeight="1">
      <c r="B588" s="3">
        <v>43835.0</v>
      </c>
      <c r="C588" s="2">
        <v>-262.421</v>
      </c>
      <c r="D588" s="2">
        <f t="shared" si="2"/>
        <v>120567.186</v>
      </c>
      <c r="E588" s="5">
        <f t="shared" si="1"/>
        <v>-0.002174188813</v>
      </c>
    </row>
    <row r="589" ht="15.75" customHeight="1">
      <c r="B589" s="3">
        <v>43926.0</v>
      </c>
      <c r="C589" s="2">
        <v>-566.859</v>
      </c>
      <c r="D589" s="2">
        <f t="shared" si="2"/>
        <v>120000.327</v>
      </c>
      <c r="E589" s="5">
        <f t="shared" si="1"/>
        <v>-0.004712689939</v>
      </c>
    </row>
    <row r="590" ht="15.75" customHeight="1">
      <c r="B590" s="3">
        <v>43956.0</v>
      </c>
      <c r="C590" s="2">
        <v>-113.853</v>
      </c>
      <c r="D590" s="2">
        <f t="shared" si="2"/>
        <v>119886.474</v>
      </c>
      <c r="E590" s="5">
        <f t="shared" si="1"/>
        <v>-0.000949222784</v>
      </c>
    </row>
    <row r="591" ht="15.75" customHeight="1">
      <c r="B591" s="3">
        <v>43987.0</v>
      </c>
      <c r="C591" s="2">
        <v>-157.965</v>
      </c>
      <c r="D591" s="2">
        <f t="shared" si="2"/>
        <v>119728.509</v>
      </c>
      <c r="E591" s="5">
        <f t="shared" si="1"/>
        <v>-0.001318490362</v>
      </c>
    </row>
    <row r="592" ht="15.75" customHeight="1">
      <c r="B592" s="3">
        <v>44017.0</v>
      </c>
      <c r="C592" s="2">
        <v>-99.829</v>
      </c>
      <c r="D592" s="2">
        <f t="shared" si="2"/>
        <v>119628.68</v>
      </c>
      <c r="E592" s="5">
        <f t="shared" si="1"/>
        <v>-0.0008341425315</v>
      </c>
    </row>
    <row r="593" ht="15.75" customHeight="1">
      <c r="B593" s="3">
        <v>44048.0</v>
      </c>
      <c r="C593" s="2">
        <v>14.431</v>
      </c>
      <c r="D593" s="2">
        <f t="shared" si="2"/>
        <v>119643.111</v>
      </c>
      <c r="E593" s="5">
        <f t="shared" si="1"/>
        <v>0.0001206243323</v>
      </c>
    </row>
    <row r="594" ht="15.75" customHeight="1">
      <c r="B594" s="3">
        <v>44140.0</v>
      </c>
      <c r="C594" s="2">
        <v>-278.861</v>
      </c>
      <c r="D594" s="2">
        <f t="shared" si="2"/>
        <v>119364.25</v>
      </c>
      <c r="E594" s="5">
        <f t="shared" si="1"/>
        <v>-0.002333494043</v>
      </c>
    </row>
    <row r="595" ht="15.75" customHeight="1">
      <c r="B595" s="3">
        <v>44170.0</v>
      </c>
      <c r="C595" s="2">
        <v>-73.397</v>
      </c>
      <c r="D595" s="2">
        <f t="shared" si="2"/>
        <v>119290.853</v>
      </c>
      <c r="E595" s="5">
        <f t="shared" si="1"/>
        <v>-0.0006150884803</v>
      </c>
    </row>
    <row r="596" ht="15.75" customHeight="1">
      <c r="B596" s="3" t="s">
        <v>356</v>
      </c>
      <c r="C596" s="2">
        <v>-287.603</v>
      </c>
      <c r="D596" s="2">
        <f t="shared" si="2"/>
        <v>119003.25</v>
      </c>
      <c r="E596" s="5">
        <f t="shared" si="1"/>
        <v>-0.002413850247</v>
      </c>
    </row>
    <row r="597" ht="15.75" customHeight="1">
      <c r="B597" s="3" t="s">
        <v>357</v>
      </c>
      <c r="C597" s="2">
        <v>-395.646</v>
      </c>
      <c r="D597" s="2">
        <f t="shared" si="2"/>
        <v>118607.604</v>
      </c>
      <c r="E597" s="5">
        <f t="shared" si="1"/>
        <v>-0.003330204483</v>
      </c>
    </row>
    <row r="598" ht="15.75" customHeight="1">
      <c r="B598" s="3" t="s">
        <v>358</v>
      </c>
      <c r="C598" s="2">
        <v>443.178</v>
      </c>
      <c r="D598" s="2">
        <f t="shared" si="2"/>
        <v>119050.782</v>
      </c>
      <c r="E598" s="5">
        <f t="shared" si="1"/>
        <v>0.0037295424</v>
      </c>
    </row>
    <row r="599" ht="15.75" customHeight="1">
      <c r="B599" s="3" t="s">
        <v>359</v>
      </c>
      <c r="C599" s="2">
        <v>229.656</v>
      </c>
      <c r="D599" s="2">
        <f t="shared" si="2"/>
        <v>119280.438</v>
      </c>
      <c r="E599" s="5">
        <f t="shared" si="1"/>
        <v>0.001927200902</v>
      </c>
    </row>
    <row r="600" ht="15.75" customHeight="1">
      <c r="B600" s="3" t="s">
        <v>360</v>
      </c>
      <c r="C600" s="2">
        <v>-533.068</v>
      </c>
      <c r="D600" s="2">
        <f t="shared" si="2"/>
        <v>118747.37</v>
      </c>
      <c r="E600" s="5">
        <f t="shared" si="1"/>
        <v>-0.004479047181</v>
      </c>
    </row>
    <row r="601" ht="15.75" customHeight="1">
      <c r="B601" s="3" t="s">
        <v>361</v>
      </c>
      <c r="C601" s="2">
        <v>-527.529</v>
      </c>
      <c r="D601" s="2">
        <f t="shared" si="2"/>
        <v>118219.841</v>
      </c>
      <c r="E601" s="5">
        <f t="shared" si="1"/>
        <v>-0.004452344856</v>
      </c>
    </row>
    <row r="602" ht="15.75" customHeight="1">
      <c r="B602" s="3" t="s">
        <v>362</v>
      </c>
      <c r="C602" s="2">
        <v>29.801</v>
      </c>
      <c r="D602" s="2">
        <f t="shared" si="2"/>
        <v>118249.642</v>
      </c>
      <c r="E602" s="5">
        <f t="shared" si="1"/>
        <v>0.0002520494381</v>
      </c>
    </row>
    <row r="603" ht="15.75" customHeight="1">
      <c r="B603" s="3" t="s">
        <v>363</v>
      </c>
      <c r="C603" s="2">
        <v>340.061</v>
      </c>
      <c r="D603" s="2">
        <f t="shared" si="2"/>
        <v>118589.703</v>
      </c>
      <c r="E603" s="5">
        <f t="shared" si="1"/>
        <v>0.002871661663</v>
      </c>
    </row>
    <row r="604" ht="15.75" customHeight="1">
      <c r="B604" s="3" t="s">
        <v>364</v>
      </c>
      <c r="C604" s="2">
        <v>118.582</v>
      </c>
      <c r="D604" s="2">
        <f t="shared" si="2"/>
        <v>118708.285</v>
      </c>
      <c r="E604" s="5">
        <f t="shared" si="1"/>
        <v>0.0009994354429</v>
      </c>
    </row>
    <row r="605" ht="15.75" customHeight="1">
      <c r="B605" s="3" t="s">
        <v>365</v>
      </c>
      <c r="C605" s="2">
        <v>-45.015</v>
      </c>
      <c r="D605" s="2">
        <f t="shared" si="2"/>
        <v>118663.27</v>
      </c>
      <c r="E605" s="5">
        <f t="shared" si="1"/>
        <v>-0.0003792788107</v>
      </c>
    </row>
    <row r="606" ht="15.75" customHeight="1">
      <c r="B606" s="3" t="s">
        <v>366</v>
      </c>
      <c r="C606" s="2">
        <v>654.797</v>
      </c>
      <c r="D606" s="2">
        <f t="shared" si="2"/>
        <v>119318.067</v>
      </c>
      <c r="E606" s="5">
        <f t="shared" si="1"/>
        <v>0.005502941202</v>
      </c>
    </row>
    <row r="607" ht="15.75" customHeight="1">
      <c r="B607" s="3" t="s">
        <v>367</v>
      </c>
      <c r="C607" s="2">
        <v>334.348</v>
      </c>
      <c r="D607" s="2">
        <f t="shared" si="2"/>
        <v>119652.415</v>
      </c>
      <c r="E607" s="5">
        <f t="shared" si="1"/>
        <v>0.002798238639</v>
      </c>
    </row>
    <row r="608" ht="15.75" customHeight="1">
      <c r="B608" s="3">
        <v>43836.0</v>
      </c>
      <c r="C608" s="2">
        <v>-61.092</v>
      </c>
      <c r="D608" s="2">
        <f t="shared" si="2"/>
        <v>119591.323</v>
      </c>
      <c r="E608" s="5">
        <f t="shared" si="1"/>
        <v>-0.0005107093029</v>
      </c>
    </row>
    <row r="609" ht="15.75" customHeight="1">
      <c r="B609" s="3">
        <v>43867.0</v>
      </c>
      <c r="C609" s="2">
        <v>-91.986</v>
      </c>
      <c r="D609" s="2">
        <f t="shared" si="2"/>
        <v>119499.337</v>
      </c>
      <c r="E609" s="5">
        <f t="shared" si="1"/>
        <v>-0.0007694654784</v>
      </c>
    </row>
    <row r="610" ht="15.75" customHeight="1">
      <c r="B610" s="3">
        <v>43896.0</v>
      </c>
      <c r="C610" s="2">
        <v>139.116</v>
      </c>
      <c r="D610" s="2">
        <f t="shared" si="2"/>
        <v>119638.453</v>
      </c>
      <c r="E610" s="5">
        <f t="shared" si="1"/>
        <v>0.001163479981</v>
      </c>
    </row>
    <row r="611" ht="15.75" customHeight="1">
      <c r="B611" s="3">
        <v>43927.0</v>
      </c>
      <c r="C611" s="2">
        <v>31.34</v>
      </c>
      <c r="D611" s="2">
        <f t="shared" si="2"/>
        <v>119669.793</v>
      </c>
      <c r="E611" s="5">
        <f t="shared" si="1"/>
        <v>0.000261921607</v>
      </c>
    </row>
    <row r="612" ht="15.75" customHeight="1">
      <c r="B612" s="3">
        <v>43957.0</v>
      </c>
      <c r="C612" s="2">
        <v>-812.262</v>
      </c>
      <c r="D612" s="2">
        <f t="shared" si="2"/>
        <v>118857.531</v>
      </c>
      <c r="E612" s="5">
        <f t="shared" si="1"/>
        <v>-0.006810667442</v>
      </c>
    </row>
    <row r="613" ht="15.75" customHeight="1">
      <c r="B613" s="3">
        <v>44049.0</v>
      </c>
      <c r="C613" s="2">
        <v>-625.169</v>
      </c>
      <c r="D613" s="2">
        <f t="shared" si="2"/>
        <v>118232.362</v>
      </c>
      <c r="E613" s="5">
        <f t="shared" si="1"/>
        <v>-0.005273699701</v>
      </c>
    </row>
    <row r="614" ht="15.75" customHeight="1">
      <c r="B614" s="3">
        <v>44080.0</v>
      </c>
      <c r="C614" s="2">
        <v>-194.678</v>
      </c>
      <c r="D614" s="2">
        <f t="shared" si="2"/>
        <v>118037.684</v>
      </c>
      <c r="E614" s="5">
        <f t="shared" si="1"/>
        <v>-0.00164792827</v>
      </c>
    </row>
    <row r="615" ht="15.75" customHeight="1">
      <c r="B615" s="3">
        <v>44110.0</v>
      </c>
      <c r="C615" s="2">
        <v>-128.783</v>
      </c>
      <c r="D615" s="2">
        <f t="shared" si="2"/>
        <v>117908.901</v>
      </c>
      <c r="E615" s="5">
        <f t="shared" si="1"/>
        <v>-0.001091628538</v>
      </c>
    </row>
    <row r="616" ht="15.75" customHeight="1">
      <c r="B616" s="3">
        <v>44141.0</v>
      </c>
      <c r="C616" s="2">
        <v>-464.36</v>
      </c>
      <c r="D616" s="2">
        <f t="shared" si="2"/>
        <v>117444.541</v>
      </c>
      <c r="E616" s="5">
        <f t="shared" si="1"/>
        <v>-0.003946070205</v>
      </c>
    </row>
    <row r="617" ht="15.75" customHeight="1">
      <c r="B617" s="3">
        <v>44171.0</v>
      </c>
      <c r="C617" s="2">
        <v>-75.353</v>
      </c>
      <c r="D617" s="2">
        <f t="shared" si="2"/>
        <v>117369.188</v>
      </c>
      <c r="E617" s="5">
        <f t="shared" si="1"/>
        <v>-0.0006418108763</v>
      </c>
    </row>
    <row r="618" ht="15.75" customHeight="1">
      <c r="B618" s="3" t="s">
        <v>368</v>
      </c>
      <c r="C618" s="2">
        <v>2871.079</v>
      </c>
      <c r="D618" s="2">
        <f t="shared" si="2"/>
        <v>120240.267</v>
      </c>
      <c r="E618" s="5">
        <f t="shared" si="1"/>
        <v>0.02416754621</v>
      </c>
    </row>
    <row r="619" ht="15.75" customHeight="1">
      <c r="B619" s="3" t="s">
        <v>369</v>
      </c>
      <c r="C619" s="2">
        <v>-30.673</v>
      </c>
      <c r="D619" s="2">
        <f t="shared" si="2"/>
        <v>120209.594</v>
      </c>
      <c r="E619" s="5">
        <f t="shared" si="1"/>
        <v>-0.0002551301135</v>
      </c>
    </row>
    <row r="620" ht="15.75" customHeight="1">
      <c r="B620" s="3" t="s">
        <v>370</v>
      </c>
      <c r="C620" s="2">
        <v>31.254</v>
      </c>
      <c r="D620" s="2">
        <f t="shared" si="2"/>
        <v>120240.848</v>
      </c>
      <c r="E620" s="5">
        <f t="shared" si="1"/>
        <v>0.0002599620938</v>
      </c>
    </row>
    <row r="621" ht="15.75" customHeight="1">
      <c r="B621" s="3" t="s">
        <v>371</v>
      </c>
      <c r="C621" s="2">
        <v>0.0</v>
      </c>
      <c r="D621" s="2">
        <f t="shared" si="2"/>
        <v>120240.848</v>
      </c>
      <c r="E621" s="5">
        <f t="shared" si="1"/>
        <v>0</v>
      </c>
    </row>
    <row r="622" ht="15.75" customHeight="1">
      <c r="B622" s="3" t="s">
        <v>372</v>
      </c>
      <c r="C622" s="2">
        <v>124.646</v>
      </c>
      <c r="D622" s="2">
        <f t="shared" si="2"/>
        <v>120365.494</v>
      </c>
      <c r="E622" s="5">
        <f t="shared" si="1"/>
        <v>0.001036099133</v>
      </c>
    </row>
    <row r="623" ht="15.75" customHeight="1">
      <c r="B623" s="3" t="s">
        <v>373</v>
      </c>
      <c r="C623" s="2">
        <v>0.0</v>
      </c>
      <c r="D623" s="2">
        <f t="shared" si="2"/>
        <v>120365.494</v>
      </c>
      <c r="E623" s="5">
        <f t="shared" si="1"/>
        <v>0</v>
      </c>
    </row>
    <row r="624" ht="15.75" customHeight="1">
      <c r="B624" s="3" t="s">
        <v>374</v>
      </c>
      <c r="C624" s="2">
        <v>-155.963</v>
      </c>
      <c r="D624" s="2">
        <f t="shared" si="2"/>
        <v>120209.531</v>
      </c>
      <c r="E624" s="5">
        <f t="shared" si="1"/>
        <v>-0.001296585311</v>
      </c>
    </row>
    <row r="625" ht="15.75" customHeight="1">
      <c r="B625" s="3" t="s">
        <v>375</v>
      </c>
      <c r="C625" s="2">
        <v>15.663</v>
      </c>
      <c r="D625" s="2">
        <f t="shared" si="2"/>
        <v>120225.194</v>
      </c>
      <c r="E625" s="5">
        <f t="shared" si="1"/>
        <v>0.0001302890007</v>
      </c>
    </row>
    <row r="626" ht="15.75" customHeight="1">
      <c r="B626" s="3" t="s">
        <v>376</v>
      </c>
      <c r="C626" s="2">
        <v>228.881</v>
      </c>
      <c r="D626" s="2">
        <f t="shared" si="2"/>
        <v>120454.075</v>
      </c>
      <c r="E626" s="5">
        <f t="shared" si="1"/>
        <v>0.00190195915</v>
      </c>
    </row>
    <row r="627" ht="15.75" customHeight="1">
      <c r="B627" s="3" t="s">
        <v>377</v>
      </c>
      <c r="C627" s="2">
        <v>323.958</v>
      </c>
      <c r="D627" s="2">
        <f t="shared" si="2"/>
        <v>120778.033</v>
      </c>
      <c r="E627" s="5">
        <f t="shared" si="1"/>
        <v>0.002685862984</v>
      </c>
    </row>
    <row r="628" ht="15.75" customHeight="1">
      <c r="B628" s="3" t="s">
        <v>378</v>
      </c>
      <c r="C628" s="2">
        <v>0.0</v>
      </c>
      <c r="D628" s="2">
        <f t="shared" si="2"/>
        <v>120778.033</v>
      </c>
      <c r="E628" s="5">
        <f t="shared" si="1"/>
        <v>0</v>
      </c>
    </row>
    <row r="629" ht="15.75" customHeight="1">
      <c r="B629" s="3" t="s">
        <v>379</v>
      </c>
      <c r="C629" s="2">
        <v>15.276</v>
      </c>
      <c r="D629" s="2">
        <f t="shared" si="2"/>
        <v>120793.309</v>
      </c>
      <c r="E629" s="5">
        <f t="shared" si="1"/>
        <v>0.0001264719556</v>
      </c>
    </row>
    <row r="630" ht="15.75" customHeight="1">
      <c r="B630" s="3">
        <v>43837.0</v>
      </c>
      <c r="C630" s="2">
        <v>0.0</v>
      </c>
      <c r="D630" s="2">
        <f t="shared" si="2"/>
        <v>120793.309</v>
      </c>
      <c r="E630" s="5">
        <f t="shared" si="1"/>
        <v>0</v>
      </c>
    </row>
    <row r="631" ht="15.75" customHeight="1">
      <c r="B631" s="3">
        <v>43868.0</v>
      </c>
      <c r="C631" s="2">
        <v>-140.318</v>
      </c>
      <c r="D631" s="2">
        <f t="shared" si="2"/>
        <v>120652.991</v>
      </c>
      <c r="E631" s="5">
        <f t="shared" si="1"/>
        <v>-0.001162312413</v>
      </c>
    </row>
    <row r="632" ht="15.75" customHeight="1">
      <c r="B632" s="3">
        <v>43989.0</v>
      </c>
      <c r="C632" s="2">
        <v>-219.313</v>
      </c>
      <c r="D632" s="2">
        <f t="shared" si="2"/>
        <v>120433.678</v>
      </c>
      <c r="E632" s="5">
        <f t="shared" si="1"/>
        <v>-0.001819371112</v>
      </c>
    </row>
    <row r="633" ht="15.75" customHeight="1">
      <c r="B633" s="3">
        <v>44019.0</v>
      </c>
      <c r="C633" s="2">
        <v>-175.054</v>
      </c>
      <c r="D633" s="2">
        <f t="shared" si="2"/>
        <v>120258.624</v>
      </c>
      <c r="E633" s="5">
        <f t="shared" si="1"/>
        <v>-0.001454587699</v>
      </c>
    </row>
    <row r="634" ht="15.75" customHeight="1">
      <c r="B634" s="3">
        <v>44050.0</v>
      </c>
      <c r="C634" s="2">
        <v>157.419</v>
      </c>
      <c r="D634" s="2">
        <f t="shared" si="2"/>
        <v>120416.043</v>
      </c>
      <c r="E634" s="5">
        <f t="shared" si="1"/>
        <v>0.001308147836</v>
      </c>
    </row>
    <row r="635" ht="15.75" customHeight="1">
      <c r="B635" s="3">
        <v>44081.0</v>
      </c>
      <c r="C635" s="2">
        <v>-95.192</v>
      </c>
      <c r="D635" s="2">
        <f t="shared" si="2"/>
        <v>120320.851</v>
      </c>
      <c r="E635" s="5">
        <f t="shared" si="1"/>
        <v>-0.000790838524</v>
      </c>
    </row>
    <row r="636" ht="15.75" customHeight="1">
      <c r="B636" s="3">
        <v>44111.0</v>
      </c>
      <c r="C636" s="2">
        <v>-31.56</v>
      </c>
      <c r="D636" s="2">
        <f t="shared" si="2"/>
        <v>120289.291</v>
      </c>
      <c r="E636" s="5">
        <f t="shared" si="1"/>
        <v>-0.000262333083</v>
      </c>
    </row>
    <row r="637" ht="15.75" customHeight="1">
      <c r="B637" s="3" t="s">
        <v>380</v>
      </c>
      <c r="C637" s="2">
        <v>0.0</v>
      </c>
      <c r="D637" s="2">
        <f t="shared" si="2"/>
        <v>120289.291</v>
      </c>
      <c r="E637" s="5">
        <f t="shared" si="1"/>
        <v>0</v>
      </c>
    </row>
    <row r="638" ht="15.75" customHeight="1">
      <c r="B638" s="3" t="s">
        <v>381</v>
      </c>
      <c r="C638" s="2">
        <v>-157.961</v>
      </c>
      <c r="D638" s="2">
        <f t="shared" si="2"/>
        <v>120131.33</v>
      </c>
      <c r="E638" s="5">
        <f t="shared" si="1"/>
        <v>-0.001314038888</v>
      </c>
    </row>
    <row r="639" ht="15.75" customHeight="1">
      <c r="B639" s="3" t="s">
        <v>382</v>
      </c>
      <c r="C639" s="2">
        <v>448.276</v>
      </c>
      <c r="D639" s="2">
        <f t="shared" si="2"/>
        <v>120579.606</v>
      </c>
      <c r="E639" s="5">
        <f t="shared" si="1"/>
        <v>0.003724604504</v>
      </c>
    </row>
    <row r="640" ht="15.75" customHeight="1">
      <c r="B640" s="3" t="s">
        <v>383</v>
      </c>
      <c r="C640" s="2">
        <v>16.156</v>
      </c>
      <c r="D640" s="2">
        <f t="shared" si="2"/>
        <v>120595.762</v>
      </c>
      <c r="E640" s="5">
        <f t="shared" si="1"/>
        <v>0.0001339771981</v>
      </c>
    </row>
    <row r="641" ht="15.75" customHeight="1">
      <c r="B641" s="3" t="s">
        <v>384</v>
      </c>
      <c r="C641" s="2">
        <v>80.504</v>
      </c>
      <c r="D641" s="2">
        <f t="shared" si="2"/>
        <v>120676.266</v>
      </c>
      <c r="E641" s="5">
        <f t="shared" si="1"/>
        <v>0.0006673297659</v>
      </c>
    </row>
    <row r="642" ht="15.75" customHeight="1">
      <c r="B642" s="3" t="s">
        <v>385</v>
      </c>
      <c r="C642" s="2">
        <v>48.443</v>
      </c>
      <c r="D642" s="2">
        <f t="shared" si="2"/>
        <v>120724.709</v>
      </c>
      <c r="E642" s="5">
        <f t="shared" si="1"/>
        <v>0.00040134884</v>
      </c>
    </row>
    <row r="643" ht="15.75" customHeight="1">
      <c r="B643" s="3" t="s">
        <v>386</v>
      </c>
      <c r="C643" s="2">
        <v>113.984</v>
      </c>
      <c r="D643" s="2">
        <f t="shared" si="2"/>
        <v>120838.693</v>
      </c>
      <c r="E643" s="5">
        <f t="shared" si="1"/>
        <v>0.0009437191852</v>
      </c>
    </row>
    <row r="644" ht="15.75" customHeight="1">
      <c r="B644" s="3" t="s">
        <v>387</v>
      </c>
      <c r="C644" s="2">
        <v>130.488</v>
      </c>
      <c r="D644" s="2">
        <f t="shared" si="2"/>
        <v>120969.181</v>
      </c>
      <c r="E644" s="5">
        <f t="shared" si="1"/>
        <v>0.00107927017</v>
      </c>
    </row>
    <row r="645" ht="15.75" customHeight="1">
      <c r="B645" s="3" t="s">
        <v>388</v>
      </c>
      <c r="C645" s="2">
        <v>49.215</v>
      </c>
      <c r="D645" s="2">
        <f t="shared" si="2"/>
        <v>121018.396</v>
      </c>
      <c r="E645" s="5">
        <f t="shared" si="1"/>
        <v>0.0004067564235</v>
      </c>
    </row>
    <row r="646" ht="15.75" customHeight="1">
      <c r="B646" s="3" t="s">
        <v>389</v>
      </c>
      <c r="C646" s="2">
        <v>64.817</v>
      </c>
      <c r="D646" s="2">
        <f t="shared" si="2"/>
        <v>121083.213</v>
      </c>
      <c r="E646" s="5">
        <f t="shared" si="1"/>
        <v>0.0005354528771</v>
      </c>
    </row>
    <row r="647" ht="15.75" customHeight="1">
      <c r="B647" s="3" t="s">
        <v>390</v>
      </c>
      <c r="C647" s="2">
        <v>-48.312</v>
      </c>
      <c r="D647" s="2">
        <f t="shared" si="2"/>
        <v>121034.901</v>
      </c>
      <c r="E647" s="5">
        <f t="shared" si="1"/>
        <v>-0.0003990779528</v>
      </c>
    </row>
    <row r="648" ht="15.75" customHeight="1">
      <c r="B648" s="3" t="s">
        <v>391</v>
      </c>
      <c r="C648" s="2">
        <v>146.009</v>
      </c>
      <c r="D648" s="2">
        <f t="shared" si="2"/>
        <v>121180.91</v>
      </c>
      <c r="E648" s="5">
        <f t="shared" si="1"/>
        <v>0.001205610956</v>
      </c>
    </row>
    <row r="649" ht="15.75" customHeight="1">
      <c r="B649" s="3" t="s">
        <v>392</v>
      </c>
      <c r="C649" s="2">
        <v>0.0</v>
      </c>
      <c r="D649" s="2">
        <f t="shared" si="2"/>
        <v>121180.91</v>
      </c>
      <c r="E649" s="5">
        <f t="shared" si="1"/>
        <v>0</v>
      </c>
    </row>
    <row r="650" ht="15.75" customHeight="1">
      <c r="B650" s="3" t="s">
        <v>393</v>
      </c>
      <c r="C650" s="2">
        <v>16.319</v>
      </c>
      <c r="D650" s="2">
        <f t="shared" si="2"/>
        <v>121197.229</v>
      </c>
      <c r="E650" s="5">
        <f t="shared" si="1"/>
        <v>0.0001346573589</v>
      </c>
    </row>
    <row r="651" ht="15.75" customHeight="1">
      <c r="B651" s="3" t="s">
        <v>394</v>
      </c>
      <c r="C651" s="2">
        <v>0.0</v>
      </c>
      <c r="D651" s="2">
        <f t="shared" si="2"/>
        <v>121197.229</v>
      </c>
      <c r="E651" s="5">
        <f t="shared" si="1"/>
        <v>0</v>
      </c>
    </row>
    <row r="652" ht="15.75" customHeight="1">
      <c r="B652" s="3">
        <v>43898.0</v>
      </c>
      <c r="C652" s="2">
        <v>114.709</v>
      </c>
      <c r="D652" s="2">
        <f t="shared" si="2"/>
        <v>121311.938</v>
      </c>
      <c r="E652" s="5">
        <f t="shared" si="1"/>
        <v>0.0009460179174</v>
      </c>
    </row>
    <row r="653" ht="15.75" customHeight="1">
      <c r="B653" s="3">
        <v>43929.0</v>
      </c>
      <c r="C653" s="2">
        <v>-181.556</v>
      </c>
      <c r="D653" s="2">
        <f t="shared" si="2"/>
        <v>121130.382</v>
      </c>
      <c r="E653" s="5">
        <f t="shared" si="1"/>
        <v>-0.001497725595</v>
      </c>
    </row>
    <row r="654" ht="15.75" customHeight="1">
      <c r="B654" s="3">
        <v>43959.0</v>
      </c>
      <c r="C654" s="2">
        <v>0.0</v>
      </c>
      <c r="D654" s="2">
        <f t="shared" si="2"/>
        <v>121130.382</v>
      </c>
      <c r="E654" s="5">
        <f t="shared" si="1"/>
        <v>0</v>
      </c>
    </row>
    <row r="655" ht="15.75" customHeight="1">
      <c r="B655" s="3">
        <v>43990.0</v>
      </c>
      <c r="C655" s="2">
        <v>100.027</v>
      </c>
      <c r="D655" s="2">
        <f t="shared" si="2"/>
        <v>121230.409</v>
      </c>
      <c r="E655" s="5">
        <f t="shared" si="1"/>
        <v>0.0008254388448</v>
      </c>
    </row>
    <row r="656" ht="15.75" customHeight="1">
      <c r="B656" s="3">
        <v>44020.0</v>
      </c>
      <c r="C656" s="2">
        <v>0.0</v>
      </c>
      <c r="D656" s="2">
        <f t="shared" si="2"/>
        <v>121230.409</v>
      </c>
      <c r="E656" s="5">
        <f t="shared" si="1"/>
        <v>0</v>
      </c>
    </row>
    <row r="657" ht="15.75" customHeight="1">
      <c r="B657" s="3">
        <v>44112.0</v>
      </c>
      <c r="C657" s="2">
        <v>67.177</v>
      </c>
      <c r="D657" s="2">
        <f t="shared" si="2"/>
        <v>121297.586</v>
      </c>
      <c r="E657" s="5">
        <f t="shared" si="1"/>
        <v>0.0005539731751</v>
      </c>
    </row>
    <row r="658" ht="15.75" customHeight="1">
      <c r="B658" s="3">
        <v>44143.0</v>
      </c>
      <c r="C658" s="2">
        <v>269.449</v>
      </c>
      <c r="D658" s="2">
        <f t="shared" si="2"/>
        <v>121567.035</v>
      </c>
      <c r="E658" s="5">
        <f t="shared" si="1"/>
        <v>0.002218924349</v>
      </c>
    </row>
    <row r="659" ht="15.75" customHeight="1">
      <c r="B659" s="3">
        <v>44173.0</v>
      </c>
      <c r="C659" s="2">
        <v>0.0</v>
      </c>
      <c r="D659" s="2">
        <f t="shared" si="2"/>
        <v>121567.035</v>
      </c>
      <c r="E659" s="5">
        <f t="shared" si="1"/>
        <v>0</v>
      </c>
    </row>
    <row r="660" ht="15.75" customHeight="1">
      <c r="B660" s="3" t="s">
        <v>395</v>
      </c>
      <c r="C660" s="2">
        <v>-186.37</v>
      </c>
      <c r="D660" s="2">
        <f t="shared" si="2"/>
        <v>121380.665</v>
      </c>
      <c r="E660" s="5">
        <f t="shared" si="1"/>
        <v>-0.001534239975</v>
      </c>
    </row>
    <row r="661" ht="15.75" customHeight="1">
      <c r="B661" s="3" t="s">
        <v>396</v>
      </c>
      <c r="C661" s="2">
        <v>-33.824</v>
      </c>
      <c r="D661" s="2">
        <f t="shared" si="2"/>
        <v>121346.841</v>
      </c>
      <c r="E661" s="5">
        <f t="shared" si="1"/>
        <v>-0.0002786993594</v>
      </c>
    </row>
    <row r="662" ht="15.75" customHeight="1">
      <c r="B662" s="3" t="s">
        <v>397</v>
      </c>
      <c r="C662" s="2">
        <v>-287.478</v>
      </c>
      <c r="D662" s="2">
        <f t="shared" si="2"/>
        <v>121059.363</v>
      </c>
      <c r="E662" s="5">
        <f t="shared" si="1"/>
        <v>-0.002371871099</v>
      </c>
    </row>
    <row r="663" ht="15.75" customHeight="1">
      <c r="B663" s="3" t="s">
        <v>398</v>
      </c>
      <c r="C663" s="2">
        <v>0.0</v>
      </c>
      <c r="D663" s="2">
        <f t="shared" si="2"/>
        <v>121059.363</v>
      </c>
      <c r="E663" s="5">
        <f t="shared" si="1"/>
        <v>0</v>
      </c>
    </row>
    <row r="664" ht="15.75" customHeight="1">
      <c r="B664" s="3" t="s">
        <v>399</v>
      </c>
      <c r="C664" s="2">
        <v>-50.995</v>
      </c>
      <c r="D664" s="2">
        <f t="shared" si="2"/>
        <v>121008.368</v>
      </c>
      <c r="E664" s="5">
        <f t="shared" si="1"/>
        <v>-0.0004213283658</v>
      </c>
    </row>
    <row r="665" ht="15.75" customHeight="1">
      <c r="B665" s="3" t="s">
        <v>400</v>
      </c>
      <c r="C665" s="2">
        <v>-152.338</v>
      </c>
      <c r="D665" s="2">
        <f t="shared" si="2"/>
        <v>120856.03</v>
      </c>
      <c r="E665" s="5">
        <f t="shared" si="1"/>
        <v>-0.00125969776</v>
      </c>
    </row>
    <row r="666" ht="15.75" customHeight="1">
      <c r="B666" s="3" t="s">
        <v>401</v>
      </c>
      <c r="C666" s="2">
        <v>0.0</v>
      </c>
      <c r="D666" s="2">
        <f t="shared" si="2"/>
        <v>120856.03</v>
      </c>
      <c r="E666" s="5">
        <f t="shared" si="1"/>
        <v>0</v>
      </c>
    </row>
    <row r="667" ht="15.75" customHeight="1">
      <c r="B667" s="3" t="s">
        <v>402</v>
      </c>
      <c r="C667" s="2">
        <v>-34.08</v>
      </c>
      <c r="D667" s="2">
        <f t="shared" si="2"/>
        <v>120821.95</v>
      </c>
      <c r="E667" s="5">
        <f t="shared" si="1"/>
        <v>-0.0002820281784</v>
      </c>
    </row>
    <row r="668" ht="15.75" customHeight="1">
      <c r="B668" s="3" t="s">
        <v>403</v>
      </c>
      <c r="C668" s="2">
        <v>-34.426</v>
      </c>
      <c r="D668" s="2">
        <f t="shared" si="2"/>
        <v>120787.524</v>
      </c>
      <c r="E668" s="5">
        <f t="shared" si="1"/>
        <v>-0.0002849722709</v>
      </c>
    </row>
    <row r="669" ht="15.75" customHeight="1">
      <c r="B669" s="3" t="s">
        <v>404</v>
      </c>
      <c r="C669" s="2">
        <v>-69.101</v>
      </c>
      <c r="D669" s="2">
        <f t="shared" si="2"/>
        <v>120718.423</v>
      </c>
      <c r="E669" s="5">
        <f t="shared" si="1"/>
        <v>-0.0005722509341</v>
      </c>
    </row>
    <row r="670" ht="15.75" customHeight="1">
      <c r="B670" s="3" t="s">
        <v>405</v>
      </c>
      <c r="C670" s="2">
        <v>52.354</v>
      </c>
      <c r="D670" s="2">
        <f t="shared" si="2"/>
        <v>120770.777</v>
      </c>
      <c r="E670" s="5">
        <f t="shared" si="1"/>
        <v>0.0004335928962</v>
      </c>
    </row>
    <row r="671" ht="15.75" customHeight="1">
      <c r="B671" s="3" t="s">
        <v>406</v>
      </c>
      <c r="C671" s="2">
        <v>-17.482</v>
      </c>
      <c r="D671" s="2">
        <f t="shared" si="2"/>
        <v>120753.295</v>
      </c>
      <c r="E671" s="5">
        <f t="shared" si="1"/>
        <v>-0.0001447640385</v>
      </c>
    </row>
    <row r="672" ht="15.75" customHeight="1">
      <c r="B672" s="3" t="s">
        <v>407</v>
      </c>
      <c r="C672" s="2">
        <v>-52.803</v>
      </c>
      <c r="D672" s="2">
        <f t="shared" si="2"/>
        <v>120700.492</v>
      </c>
      <c r="E672" s="5">
        <f t="shared" si="1"/>
        <v>-0.0004373756278</v>
      </c>
    </row>
    <row r="673" ht="15.75" customHeight="1">
      <c r="B673" s="3">
        <v>43839.0</v>
      </c>
      <c r="C673" s="2">
        <v>-562.063</v>
      </c>
      <c r="D673" s="2">
        <f t="shared" si="2"/>
        <v>120138.429</v>
      </c>
      <c r="E673" s="5">
        <f t="shared" si="1"/>
        <v>-0.004667551392</v>
      </c>
    </row>
    <row r="674" ht="15.75" customHeight="1">
      <c r="B674" s="3">
        <v>43870.0</v>
      </c>
      <c r="C674" s="2">
        <v>0.0</v>
      </c>
      <c r="D674" s="2">
        <f t="shared" si="2"/>
        <v>120138.429</v>
      </c>
      <c r="E674" s="5">
        <f t="shared" si="1"/>
        <v>0</v>
      </c>
    </row>
    <row r="675" ht="15.75" customHeight="1">
      <c r="B675" s="3">
        <v>43899.0</v>
      </c>
      <c r="C675" s="2">
        <v>-89.854</v>
      </c>
      <c r="D675" s="2">
        <f t="shared" si="2"/>
        <v>120048.575</v>
      </c>
      <c r="E675" s="5">
        <f t="shared" si="1"/>
        <v>-0.000748200383</v>
      </c>
    </row>
    <row r="676" ht="15.75" customHeight="1">
      <c r="B676" s="3">
        <v>43930.0</v>
      </c>
      <c r="C676" s="2">
        <v>0.0</v>
      </c>
      <c r="D676" s="2">
        <f t="shared" si="2"/>
        <v>120048.575</v>
      </c>
      <c r="E676" s="5">
        <f t="shared" si="1"/>
        <v>0</v>
      </c>
    </row>
    <row r="677" ht="15.75" customHeight="1">
      <c r="B677" s="3">
        <v>44052.0</v>
      </c>
      <c r="C677" s="2">
        <v>344.033</v>
      </c>
      <c r="D677" s="2">
        <f t="shared" si="2"/>
        <v>120392.608</v>
      </c>
      <c r="E677" s="5">
        <f t="shared" si="1"/>
        <v>0.002861683098</v>
      </c>
    </row>
    <row r="678" ht="15.75" customHeight="1">
      <c r="B678" s="3">
        <v>44083.0</v>
      </c>
      <c r="C678" s="2">
        <v>-33.45</v>
      </c>
      <c r="D678" s="2">
        <f t="shared" si="2"/>
        <v>120359.158</v>
      </c>
      <c r="E678" s="5">
        <f t="shared" si="1"/>
        <v>-0.0002778795834</v>
      </c>
    </row>
    <row r="679" ht="15.75" customHeight="1">
      <c r="B679" s="3">
        <v>44113.0</v>
      </c>
      <c r="C679" s="2">
        <v>-17.063</v>
      </c>
      <c r="D679" s="2">
        <f t="shared" si="2"/>
        <v>120342.095</v>
      </c>
      <c r="E679" s="5">
        <f t="shared" si="1"/>
        <v>-0.0001417774093</v>
      </c>
    </row>
    <row r="680" ht="15.75" customHeight="1">
      <c r="B680" s="3">
        <v>44144.0</v>
      </c>
      <c r="C680" s="2">
        <v>-201.165</v>
      </c>
      <c r="D680" s="2">
        <f t="shared" si="2"/>
        <v>120140.93</v>
      </c>
      <c r="E680" s="5">
        <f t="shared" si="1"/>
        <v>-0.001673008288</v>
      </c>
    </row>
    <row r="681" ht="15.75" customHeight="1">
      <c r="B681" s="3" t="s">
        <v>408</v>
      </c>
      <c r="C681" s="2">
        <v>-83.866</v>
      </c>
      <c r="D681" s="2">
        <f t="shared" si="2"/>
        <v>120057.064</v>
      </c>
      <c r="E681" s="5">
        <f t="shared" si="1"/>
        <v>-0.0006983072757</v>
      </c>
    </row>
    <row r="682" ht="15.75" customHeight="1">
      <c r="B682" s="3" t="s">
        <v>409</v>
      </c>
      <c r="C682" s="2">
        <v>67.969</v>
      </c>
      <c r="D682" s="2">
        <f t="shared" si="2"/>
        <v>120125.033</v>
      </c>
      <c r="E682" s="5">
        <f t="shared" si="1"/>
        <v>0.000565978919</v>
      </c>
    </row>
    <row r="683" ht="15.75" customHeight="1">
      <c r="B683" s="3" t="s">
        <v>410</v>
      </c>
      <c r="C683" s="2">
        <v>4492.398</v>
      </c>
      <c r="D683" s="2">
        <f t="shared" si="2"/>
        <v>124617.431</v>
      </c>
      <c r="E683" s="5">
        <f t="shared" si="1"/>
        <v>0.03671535023</v>
      </c>
    </row>
    <row r="684" ht="15.75" customHeight="1">
      <c r="B684" s="3" t="s">
        <v>411</v>
      </c>
      <c r="C684" s="2">
        <v>-136.025</v>
      </c>
      <c r="D684" s="2">
        <f t="shared" si="2"/>
        <v>124481.406</v>
      </c>
      <c r="E684" s="5">
        <f t="shared" si="1"/>
        <v>-0.001092136882</v>
      </c>
    </row>
    <row r="685" ht="15.75" customHeight="1">
      <c r="B685" s="3" t="s">
        <v>412</v>
      </c>
      <c r="C685" s="2">
        <v>50.581</v>
      </c>
      <c r="D685" s="2">
        <f t="shared" si="2"/>
        <v>124531.987</v>
      </c>
      <c r="E685" s="5">
        <f t="shared" si="1"/>
        <v>0.0004062512469</v>
      </c>
    </row>
    <row r="686" ht="15.75" customHeight="1">
      <c r="B686" s="3" t="s">
        <v>413</v>
      </c>
      <c r="C686" s="2">
        <v>216.737</v>
      </c>
      <c r="D686" s="2">
        <f t="shared" si="2"/>
        <v>124748.724</v>
      </c>
      <c r="E686" s="5">
        <f t="shared" si="1"/>
        <v>0.001738899522</v>
      </c>
    </row>
    <row r="687" ht="15.75" customHeight="1">
      <c r="B687" s="3" t="s">
        <v>414</v>
      </c>
      <c r="C687" s="2">
        <v>65.919</v>
      </c>
      <c r="D687" s="2">
        <f t="shared" si="2"/>
        <v>124814.643</v>
      </c>
      <c r="E687" s="5">
        <f t="shared" si="1"/>
        <v>0.0005282746609</v>
      </c>
    </row>
    <row r="688" ht="15.75" customHeight="1">
      <c r="B688" s="3" t="s">
        <v>415</v>
      </c>
      <c r="C688" s="2">
        <v>-66.612</v>
      </c>
      <c r="D688" s="2">
        <f t="shared" si="2"/>
        <v>124748.031</v>
      </c>
      <c r="E688" s="5">
        <f t="shared" si="1"/>
        <v>-0.0005338298433</v>
      </c>
    </row>
    <row r="689" ht="15.75" customHeight="1">
      <c r="B689" s="3" t="s">
        <v>416</v>
      </c>
      <c r="C689" s="2">
        <v>-275.128</v>
      </c>
      <c r="D689" s="2">
        <f t="shared" si="2"/>
        <v>124472.903</v>
      </c>
      <c r="E689" s="5">
        <f t="shared" si="1"/>
        <v>-0.00220790531</v>
      </c>
    </row>
    <row r="690" ht="15.75" customHeight="1">
      <c r="B690" s="3" t="s">
        <v>417</v>
      </c>
      <c r="C690" s="2">
        <v>129.865</v>
      </c>
      <c r="D690" s="2">
        <f t="shared" si="2"/>
        <v>124602.768</v>
      </c>
      <c r="E690" s="5">
        <f t="shared" si="1"/>
        <v>0.001042775565</v>
      </c>
    </row>
    <row r="691" ht="15.75" customHeight="1">
      <c r="B691" s="3" t="s">
        <v>418</v>
      </c>
      <c r="C691" s="2">
        <v>-65.972</v>
      </c>
      <c r="D691" s="2">
        <f t="shared" si="2"/>
        <v>124536.796</v>
      </c>
      <c r="E691" s="5">
        <f t="shared" si="1"/>
        <v>-0.0005295987557</v>
      </c>
    </row>
    <row r="692" ht="15.75" customHeight="1">
      <c r="B692" s="3" t="s">
        <v>419</v>
      </c>
      <c r="C692" s="2">
        <v>0.0</v>
      </c>
      <c r="D692" s="2">
        <f t="shared" si="2"/>
        <v>124536.796</v>
      </c>
      <c r="E692" s="5">
        <f t="shared" si="1"/>
        <v>0</v>
      </c>
    </row>
    <row r="693" ht="15.75" customHeight="1">
      <c r="B693" s="3" t="s">
        <v>420</v>
      </c>
      <c r="C693" s="2">
        <v>-100.081</v>
      </c>
      <c r="D693" s="2">
        <f t="shared" si="2"/>
        <v>124436.715</v>
      </c>
      <c r="E693" s="5">
        <f t="shared" si="1"/>
        <v>-0.0008039490224</v>
      </c>
    </row>
    <row r="694" ht="15.75" customHeight="1">
      <c r="B694" s="3">
        <v>43840.0</v>
      </c>
      <c r="C694" s="2">
        <v>-403.642</v>
      </c>
      <c r="D694" s="2">
        <f t="shared" si="2"/>
        <v>124033.073</v>
      </c>
      <c r="E694" s="5">
        <f t="shared" si="1"/>
        <v>-0.003249025633</v>
      </c>
    </row>
    <row r="695" ht="15.75" customHeight="1">
      <c r="B695" s="3">
        <v>43871.0</v>
      </c>
      <c r="C695" s="2">
        <v>-33.818</v>
      </c>
      <c r="D695" s="2">
        <f t="shared" si="2"/>
        <v>123999.255</v>
      </c>
      <c r="E695" s="5">
        <f t="shared" si="1"/>
        <v>-0.0002726902616</v>
      </c>
    </row>
    <row r="696" ht="15.75" customHeight="1">
      <c r="B696" s="3">
        <v>43961.0</v>
      </c>
      <c r="C696" s="2">
        <v>234.461</v>
      </c>
      <c r="D696" s="2">
        <f t="shared" si="2"/>
        <v>124233.716</v>
      </c>
      <c r="E696" s="5">
        <f t="shared" si="1"/>
        <v>0.001889040515</v>
      </c>
    </row>
    <row r="697" ht="15.75" customHeight="1">
      <c r="B697" s="3">
        <v>43992.0</v>
      </c>
      <c r="C697" s="2">
        <v>238.7</v>
      </c>
      <c r="D697" s="2">
        <f t="shared" si="2"/>
        <v>124472.416</v>
      </c>
      <c r="E697" s="5">
        <f t="shared" si="1"/>
        <v>0.001919535086</v>
      </c>
    </row>
    <row r="698" ht="15.75" customHeight="1">
      <c r="B698" s="3">
        <v>44022.0</v>
      </c>
      <c r="C698" s="2">
        <v>168.123</v>
      </c>
      <c r="D698" s="2">
        <f t="shared" si="2"/>
        <v>124640.539</v>
      </c>
      <c r="E698" s="5">
        <f t="shared" si="1"/>
        <v>0.001349773443</v>
      </c>
    </row>
    <row r="699" ht="15.75" customHeight="1">
      <c r="B699" s="3">
        <v>44053.0</v>
      </c>
      <c r="C699" s="2">
        <v>-17.105</v>
      </c>
      <c r="D699" s="2">
        <f t="shared" si="2"/>
        <v>124623.434</v>
      </c>
      <c r="E699" s="5">
        <f t="shared" si="1"/>
        <v>-0.0001372440616</v>
      </c>
    </row>
    <row r="700" ht="15.75" customHeight="1">
      <c r="B700" s="3">
        <v>44084.0</v>
      </c>
      <c r="C700" s="2">
        <v>327.698</v>
      </c>
      <c r="D700" s="2">
        <f t="shared" si="2"/>
        <v>124951.132</v>
      </c>
      <c r="E700" s="5">
        <f t="shared" si="1"/>
        <v>0.002626054358</v>
      </c>
    </row>
    <row r="701" ht="15.75" customHeight="1">
      <c r="B701" s="3">
        <v>44175.0</v>
      </c>
      <c r="C701" s="2">
        <v>243.591</v>
      </c>
      <c r="D701" s="2">
        <f t="shared" si="2"/>
        <v>125194.723</v>
      </c>
      <c r="E701" s="5">
        <f t="shared" si="1"/>
        <v>0.001947592352</v>
      </c>
    </row>
    <row r="702" ht="15.75" customHeight="1">
      <c r="B702" s="3" t="s">
        <v>421</v>
      </c>
      <c r="C702" s="2">
        <v>-212.22</v>
      </c>
      <c r="D702" s="2">
        <f t="shared" si="2"/>
        <v>124982.503</v>
      </c>
      <c r="E702" s="5">
        <f t="shared" si="1"/>
        <v>-0.001696557711</v>
      </c>
    </row>
    <row r="703" ht="15.75" customHeight="1">
      <c r="B703" s="3" t="s">
        <v>422</v>
      </c>
      <c r="C703" s="2">
        <v>105.441</v>
      </c>
      <c r="D703" s="2">
        <f t="shared" si="2"/>
        <v>125087.944</v>
      </c>
      <c r="E703" s="5">
        <f t="shared" si="1"/>
        <v>0.0008432904209</v>
      </c>
    </row>
    <row r="704" ht="15.75" customHeight="1">
      <c r="B704" s="3" t="s">
        <v>423</v>
      </c>
      <c r="C704" s="2">
        <v>87.294</v>
      </c>
      <c r="D704" s="2">
        <f t="shared" si="2"/>
        <v>125175.238</v>
      </c>
      <c r="E704" s="5">
        <f t="shared" si="1"/>
        <v>0.0006976176267</v>
      </c>
    </row>
    <row r="705" ht="15.75" customHeight="1">
      <c r="B705" s="3" t="s">
        <v>424</v>
      </c>
      <c r="C705" s="2">
        <v>-87.162</v>
      </c>
      <c r="D705" s="2">
        <f t="shared" si="2"/>
        <v>125088.076</v>
      </c>
      <c r="E705" s="5">
        <f t="shared" si="1"/>
        <v>-0.0006965623697</v>
      </c>
    </row>
    <row r="706" ht="15.75" customHeight="1">
      <c r="B706" s="3" t="s">
        <v>425</v>
      </c>
      <c r="C706" s="2">
        <v>-52.305</v>
      </c>
      <c r="D706" s="2">
        <f t="shared" si="2"/>
        <v>125035.771</v>
      </c>
      <c r="E706" s="5">
        <f t="shared" si="1"/>
        <v>-0.0004182328186</v>
      </c>
    </row>
    <row r="707" ht="15.75" customHeight="1">
      <c r="B707" s="3" t="s">
        <v>426</v>
      </c>
      <c r="C707" s="2">
        <v>-68.602</v>
      </c>
      <c r="D707" s="2">
        <f t="shared" si="2"/>
        <v>124967.169</v>
      </c>
      <c r="E707" s="5">
        <f t="shared" si="1"/>
        <v>-0.0005488095598</v>
      </c>
    </row>
    <row r="708" ht="15.75" customHeight="1">
      <c r="B708" s="3" t="s">
        <v>427</v>
      </c>
      <c r="C708" s="2">
        <v>-103.39</v>
      </c>
      <c r="D708" s="2">
        <f t="shared" si="2"/>
        <v>124863.779</v>
      </c>
      <c r="E708" s="5">
        <f t="shared" si="1"/>
        <v>-0.0008276797309</v>
      </c>
    </row>
    <row r="709" ht="15.75" customHeight="1">
      <c r="B709" s="3" t="s">
        <v>428</v>
      </c>
      <c r="C709" s="2">
        <v>34.389</v>
      </c>
      <c r="D709" s="2">
        <f t="shared" si="2"/>
        <v>124898.168</v>
      </c>
      <c r="E709" s="5">
        <f t="shared" si="1"/>
        <v>0.0002753742164</v>
      </c>
    </row>
    <row r="710" ht="15.75" customHeight="1">
      <c r="B710" s="3" t="s">
        <v>429</v>
      </c>
      <c r="C710" s="2">
        <v>224.712</v>
      </c>
      <c r="D710" s="2">
        <f t="shared" si="2"/>
        <v>125122.88</v>
      </c>
      <c r="E710" s="5">
        <f t="shared" si="1"/>
        <v>0.001797545145</v>
      </c>
    </row>
    <row r="711" ht="15.75" customHeight="1">
      <c r="B711" s="3" t="s">
        <v>430</v>
      </c>
      <c r="C711" s="2">
        <v>0.0</v>
      </c>
      <c r="D711" s="2">
        <f t="shared" si="2"/>
        <v>125122.88</v>
      </c>
      <c r="E711" s="5">
        <f t="shared" si="1"/>
        <v>0</v>
      </c>
    </row>
    <row r="712" ht="15.75" customHeight="1">
      <c r="B712" s="3" t="s">
        <v>431</v>
      </c>
      <c r="C712" s="2">
        <v>-561.762</v>
      </c>
      <c r="D712" s="2">
        <f t="shared" si="2"/>
        <v>124561.118</v>
      </c>
      <c r="E712" s="5">
        <f t="shared" si="1"/>
        <v>-0.004499791355</v>
      </c>
    </row>
    <row r="713" ht="15.75" customHeight="1">
      <c r="B713" s="3" t="s">
        <v>432</v>
      </c>
      <c r="C713" s="2">
        <v>-237.607</v>
      </c>
      <c r="D713" s="2">
        <f t="shared" si="2"/>
        <v>124323.511</v>
      </c>
      <c r="E713" s="5">
        <f t="shared" si="1"/>
        <v>-0.001909375225</v>
      </c>
    </row>
    <row r="714" ht="15.75" customHeight="1">
      <c r="B714" s="3" t="s">
        <v>433</v>
      </c>
      <c r="C714" s="2">
        <v>442.071</v>
      </c>
      <c r="D714" s="2">
        <f t="shared" si="2"/>
        <v>124765.582</v>
      </c>
      <c r="E714" s="5">
        <f t="shared" si="1"/>
        <v>0.003549504788</v>
      </c>
    </row>
    <row r="715" ht="15.75" customHeight="1">
      <c r="B715" s="3" t="s">
        <v>434</v>
      </c>
      <c r="C715" s="2">
        <v>99.42</v>
      </c>
      <c r="D715" s="2">
        <f t="shared" si="2"/>
        <v>124865.002</v>
      </c>
      <c r="E715" s="5">
        <f t="shared" si="1"/>
        <v>0.0007965370562</v>
      </c>
    </row>
    <row r="716" ht="15.75" customHeight="1">
      <c r="B716" s="3">
        <v>43872.0</v>
      </c>
      <c r="C716" s="2">
        <v>425.638</v>
      </c>
      <c r="D716" s="2">
        <f t="shared" si="2"/>
        <v>125290.64</v>
      </c>
      <c r="E716" s="5">
        <f t="shared" si="1"/>
        <v>0.003402988694</v>
      </c>
    </row>
    <row r="717" ht="15.75" customHeight="1">
      <c r="B717" s="3">
        <v>43901.0</v>
      </c>
      <c r="C717" s="2">
        <v>149.152</v>
      </c>
      <c r="D717" s="2">
        <f t="shared" si="2"/>
        <v>125439.792</v>
      </c>
      <c r="E717" s="5">
        <f t="shared" si="1"/>
        <v>0.001189740044</v>
      </c>
    </row>
    <row r="718" ht="15.75" customHeight="1">
      <c r="B718" s="3">
        <v>43932.0</v>
      </c>
      <c r="C718" s="2">
        <v>-337.351</v>
      </c>
      <c r="D718" s="2">
        <f t="shared" si="2"/>
        <v>125102.441</v>
      </c>
      <c r="E718" s="5">
        <f t="shared" si="1"/>
        <v>-0.002692968765</v>
      </c>
    </row>
    <row r="719" ht="15.75" customHeight="1">
      <c r="B719" s="3">
        <v>43962.0</v>
      </c>
      <c r="C719" s="2">
        <v>86.198</v>
      </c>
      <c r="D719" s="2">
        <f t="shared" si="2"/>
        <v>125188.639</v>
      </c>
      <c r="E719" s="5">
        <f t="shared" si="1"/>
        <v>0.0006887820645</v>
      </c>
    </row>
    <row r="720" ht="15.75" customHeight="1">
      <c r="B720" s="3">
        <v>43993.0</v>
      </c>
      <c r="C720" s="2">
        <v>386.724</v>
      </c>
      <c r="D720" s="2">
        <f t="shared" si="2"/>
        <v>125575.363</v>
      </c>
      <c r="E720" s="5">
        <f t="shared" si="1"/>
        <v>0.003084368598</v>
      </c>
    </row>
    <row r="721" ht="15.75" customHeight="1">
      <c r="B721" s="3">
        <v>44085.0</v>
      </c>
      <c r="C721" s="2">
        <v>123.029</v>
      </c>
      <c r="D721" s="2">
        <f t="shared" si="2"/>
        <v>125698.392</v>
      </c>
      <c r="E721" s="5">
        <f t="shared" si="1"/>
        <v>0.0009792428169</v>
      </c>
    </row>
    <row r="722" ht="15.75" customHeight="1">
      <c r="B722" s="3">
        <v>44115.0</v>
      </c>
      <c r="C722" s="2">
        <v>569.046</v>
      </c>
      <c r="D722" s="2">
        <f t="shared" si="2"/>
        <v>126267.438</v>
      </c>
      <c r="E722" s="5">
        <f t="shared" si="1"/>
        <v>0.004516858238</v>
      </c>
    </row>
    <row r="723" ht="15.75" customHeight="1">
      <c r="B723" s="3">
        <v>44146.0</v>
      </c>
      <c r="C723" s="2">
        <v>-266.41</v>
      </c>
      <c r="D723" s="2">
        <f t="shared" si="2"/>
        <v>126001.028</v>
      </c>
      <c r="E723" s="5">
        <f t="shared" si="1"/>
        <v>-0.002112115741</v>
      </c>
    </row>
    <row r="724" ht="15.75" customHeight="1">
      <c r="B724" s="3">
        <v>44176.0</v>
      </c>
      <c r="C724" s="2">
        <v>35.793</v>
      </c>
      <c r="D724" s="2">
        <f t="shared" si="2"/>
        <v>126036.821</v>
      </c>
      <c r="E724" s="5">
        <f t="shared" si="1"/>
        <v>0.0002840287709</v>
      </c>
    </row>
    <row r="725" ht="15.75" customHeight="1">
      <c r="B725" s="3" t="s">
        <v>435</v>
      </c>
      <c r="C725" s="2">
        <v>283.548</v>
      </c>
      <c r="D725" s="2">
        <f t="shared" si="2"/>
        <v>126320.369</v>
      </c>
      <c r="E725" s="5">
        <f t="shared" si="1"/>
        <v>0.002247196676</v>
      </c>
    </row>
    <row r="726" ht="15.75" customHeight="1">
      <c r="B726" s="3" t="s">
        <v>436</v>
      </c>
      <c r="C726" s="2">
        <v>-71.858</v>
      </c>
      <c r="D726" s="2">
        <f t="shared" si="2"/>
        <v>126248.511</v>
      </c>
      <c r="E726" s="5">
        <f t="shared" si="1"/>
        <v>-0.0005690170692</v>
      </c>
    </row>
    <row r="727" ht="15.75" customHeight="1">
      <c r="B727" s="3" t="s">
        <v>437</v>
      </c>
      <c r="C727" s="2">
        <v>-90.869</v>
      </c>
      <c r="D727" s="2">
        <f t="shared" si="2"/>
        <v>126157.642</v>
      </c>
      <c r="E727" s="5">
        <f t="shared" si="1"/>
        <v>-0.0007200220981</v>
      </c>
    </row>
    <row r="728" ht="15.75" customHeight="1">
      <c r="B728" s="3" t="s">
        <v>438</v>
      </c>
      <c r="C728" s="2">
        <v>361.788</v>
      </c>
      <c r="D728" s="2">
        <f t="shared" si="2"/>
        <v>126519.43</v>
      </c>
      <c r="E728" s="5">
        <f t="shared" si="1"/>
        <v>0.002863641282</v>
      </c>
    </row>
    <row r="729" ht="15.75" customHeight="1">
      <c r="B729" s="3" t="s">
        <v>439</v>
      </c>
      <c r="C729" s="2">
        <v>339.791</v>
      </c>
      <c r="D729" s="2">
        <f t="shared" si="2"/>
        <v>126859.221</v>
      </c>
      <c r="E729" s="5">
        <f t="shared" si="1"/>
        <v>0.002682082349</v>
      </c>
    </row>
    <row r="730" ht="15.75" customHeight="1">
      <c r="B730" s="3" t="s">
        <v>440</v>
      </c>
      <c r="C730" s="2">
        <v>89.777</v>
      </c>
      <c r="D730" s="2">
        <f t="shared" si="2"/>
        <v>126948.998</v>
      </c>
      <c r="E730" s="5">
        <f t="shared" si="1"/>
        <v>0.0007074396889</v>
      </c>
    </row>
    <row r="731" ht="15.75" customHeight="1">
      <c r="B731" s="3" t="s">
        <v>441</v>
      </c>
      <c r="C731" s="2">
        <v>71.335</v>
      </c>
      <c r="D731" s="2">
        <f t="shared" si="2"/>
        <v>127020.333</v>
      </c>
      <c r="E731" s="5">
        <f t="shared" si="1"/>
        <v>0.0005617607575</v>
      </c>
    </row>
    <row r="732" ht="15.75" customHeight="1">
      <c r="B732" s="3" t="s">
        <v>442</v>
      </c>
      <c r="C732" s="2">
        <v>0.0</v>
      </c>
      <c r="D732" s="2">
        <f t="shared" si="2"/>
        <v>127020.333</v>
      </c>
      <c r="E732" s="5">
        <f t="shared" si="1"/>
        <v>0</v>
      </c>
    </row>
    <row r="733" ht="15.75" customHeight="1">
      <c r="B733" s="3" t="s">
        <v>443</v>
      </c>
      <c r="C733" s="2">
        <v>-36.452</v>
      </c>
      <c r="D733" s="2">
        <f t="shared" si="2"/>
        <v>126983.881</v>
      </c>
      <c r="E733" s="5">
        <f t="shared" si="1"/>
        <v>-0.0002870188622</v>
      </c>
    </row>
    <row r="734" ht="15.75" customHeight="1">
      <c r="B734" s="3" t="s">
        <v>444</v>
      </c>
      <c r="C734" s="2">
        <v>90.989</v>
      </c>
      <c r="D734" s="2">
        <f t="shared" si="2"/>
        <v>127074.87</v>
      </c>
      <c r="E734" s="5">
        <f t="shared" si="1"/>
        <v>0.000716283171</v>
      </c>
    </row>
    <row r="735" ht="15.75" customHeight="1">
      <c r="B735" s="3" t="s">
        <v>445</v>
      </c>
      <c r="C735" s="2">
        <v>18.243</v>
      </c>
      <c r="D735" s="2">
        <f t="shared" si="2"/>
        <v>127093.113</v>
      </c>
      <c r="E735" s="5">
        <f t="shared" si="1"/>
        <v>0.0001435507322</v>
      </c>
    </row>
    <row r="736" ht="15.75" customHeight="1">
      <c r="B736" s="3">
        <v>43842.0</v>
      </c>
      <c r="C736" s="2">
        <v>762.821</v>
      </c>
      <c r="D736" s="2">
        <f t="shared" si="2"/>
        <v>127855.934</v>
      </c>
      <c r="E736" s="5">
        <f t="shared" si="1"/>
        <v>0.005984123379</v>
      </c>
    </row>
    <row r="737" ht="15.75" customHeight="1">
      <c r="B737" s="3">
        <v>43873.0</v>
      </c>
      <c r="C737" s="2">
        <v>257.146</v>
      </c>
      <c r="D737" s="2">
        <f t="shared" si="2"/>
        <v>128113.08</v>
      </c>
      <c r="E737" s="5">
        <f t="shared" si="1"/>
        <v>0.002009196992</v>
      </c>
    </row>
    <row r="738" ht="15.75" customHeight="1">
      <c r="B738" s="3">
        <v>43902.0</v>
      </c>
      <c r="C738" s="2">
        <v>-680.879</v>
      </c>
      <c r="D738" s="2">
        <f t="shared" si="2"/>
        <v>127432.201</v>
      </c>
      <c r="E738" s="5">
        <f t="shared" si="1"/>
        <v>-0.005328845115</v>
      </c>
    </row>
    <row r="739" ht="15.75" customHeight="1">
      <c r="B739" s="3">
        <v>43933.0</v>
      </c>
      <c r="C739" s="2">
        <v>-73.576</v>
      </c>
      <c r="D739" s="2">
        <f t="shared" si="2"/>
        <v>127358.625</v>
      </c>
      <c r="E739" s="5">
        <f t="shared" si="1"/>
        <v>-0.0005775404335</v>
      </c>
    </row>
    <row r="740" ht="15.75" customHeight="1">
      <c r="B740" s="3">
        <v>44024.0</v>
      </c>
      <c r="C740" s="2">
        <v>92.788</v>
      </c>
      <c r="D740" s="2">
        <f t="shared" si="2"/>
        <v>127451.413</v>
      </c>
      <c r="E740" s="5">
        <f t="shared" si="1"/>
        <v>0.0007282915919</v>
      </c>
    </row>
    <row r="741" ht="15.75" customHeight="1">
      <c r="B741" s="3">
        <v>44055.0</v>
      </c>
      <c r="C741" s="2">
        <v>0.0</v>
      </c>
      <c r="D741" s="2">
        <f t="shared" si="2"/>
        <v>127451.413</v>
      </c>
      <c r="E741" s="5">
        <f t="shared" si="1"/>
        <v>0</v>
      </c>
    </row>
    <row r="742" ht="15.75" customHeight="1">
      <c r="B742" s="3">
        <v>44086.0</v>
      </c>
      <c r="C742" s="2">
        <v>-1058.702</v>
      </c>
      <c r="D742" s="2">
        <f t="shared" si="2"/>
        <v>126392.711</v>
      </c>
      <c r="E742" s="5">
        <f t="shared" si="1"/>
        <v>-0.008341403551</v>
      </c>
    </row>
    <row r="743" ht="15.75" customHeight="1">
      <c r="B743" s="3">
        <v>44116.0</v>
      </c>
      <c r="C743" s="2">
        <v>1105.617</v>
      </c>
      <c r="D743" s="2">
        <f t="shared" si="2"/>
        <v>127498.328</v>
      </c>
      <c r="E743" s="5">
        <f t="shared" si="1"/>
        <v>0.008709436876</v>
      </c>
    </row>
    <row r="744" ht="15.75" customHeight="1">
      <c r="B744" s="3">
        <v>44147.0</v>
      </c>
      <c r="C744" s="2">
        <v>496.925</v>
      </c>
      <c r="D744" s="2">
        <f t="shared" si="2"/>
        <v>127995.253</v>
      </c>
      <c r="E744" s="5">
        <f t="shared" si="1"/>
        <v>0.003889926507</v>
      </c>
    </row>
    <row r="745" ht="15.75" customHeight="1">
      <c r="B745" s="3" t="s">
        <v>446</v>
      </c>
      <c r="C745" s="2">
        <v>606.595</v>
      </c>
      <c r="D745" s="2">
        <f t="shared" si="2"/>
        <v>128601.848</v>
      </c>
      <c r="E745" s="5">
        <f t="shared" si="1"/>
        <v>0.004728004546</v>
      </c>
    </row>
    <row r="746" ht="15.75" customHeight="1">
      <c r="B746" s="3" t="s">
        <v>447</v>
      </c>
      <c r="C746" s="2">
        <v>1986.462</v>
      </c>
      <c r="D746" s="2">
        <f t="shared" si="2"/>
        <v>130588.31</v>
      </c>
      <c r="E746" s="5">
        <f t="shared" si="1"/>
        <v>0.01532852104</v>
      </c>
    </row>
    <row r="747" ht="15.75" customHeight="1">
      <c r="B747" s="3" t="s">
        <v>448</v>
      </c>
      <c r="C747" s="2">
        <v>2215.206</v>
      </c>
      <c r="D747" s="2">
        <f t="shared" si="2"/>
        <v>132803.516</v>
      </c>
      <c r="E747" s="5">
        <f t="shared" si="1"/>
        <v>0.01682100971</v>
      </c>
    </row>
    <row r="748" ht="15.75" customHeight="1">
      <c r="B748" s="3" t="s">
        <v>449</v>
      </c>
      <c r="C748" s="2">
        <v>-8284.792</v>
      </c>
      <c r="D748" s="2">
        <f t="shared" si="2"/>
        <v>124518.724</v>
      </c>
      <c r="E748" s="5">
        <f t="shared" si="1"/>
        <v>-0.06441461442</v>
      </c>
    </row>
    <row r="749" ht="15.75" customHeight="1">
      <c r="B749" s="3" t="s">
        <v>450</v>
      </c>
      <c r="C749" s="2">
        <v>651.007</v>
      </c>
      <c r="D749" s="2">
        <f t="shared" si="2"/>
        <v>125169.731</v>
      </c>
      <c r="E749" s="5">
        <f t="shared" si="1"/>
        <v>0.005214566089</v>
      </c>
    </row>
    <row r="750" ht="15.75" customHeight="1">
      <c r="B750" s="3" t="s">
        <v>451</v>
      </c>
      <c r="C750" s="2">
        <v>500.481</v>
      </c>
      <c r="D750" s="2">
        <f t="shared" si="2"/>
        <v>125670.212</v>
      </c>
      <c r="E750" s="5">
        <f t="shared" si="1"/>
        <v>0.003990446323</v>
      </c>
    </row>
    <row r="751" ht="15.75" customHeight="1">
      <c r="B751" s="3" t="s">
        <v>452</v>
      </c>
      <c r="C751" s="2">
        <v>-332.362</v>
      </c>
      <c r="D751" s="2">
        <f t="shared" si="2"/>
        <v>125337.85</v>
      </c>
      <c r="E751" s="5">
        <f t="shared" si="1"/>
        <v>-0.002648219277</v>
      </c>
    </row>
    <row r="752" ht="15.75" customHeight="1">
      <c r="B752" s="3" t="s">
        <v>453</v>
      </c>
      <c r="C752" s="2">
        <v>-1326.788</v>
      </c>
      <c r="D752" s="2">
        <f t="shared" si="2"/>
        <v>124011.062</v>
      </c>
      <c r="E752" s="5">
        <f t="shared" si="1"/>
        <v>-0.01064212</v>
      </c>
    </row>
    <row r="753" ht="15.75" customHeight="1">
      <c r="B753" s="3" t="s">
        <v>454</v>
      </c>
      <c r="C753" s="2">
        <v>-1143.381</v>
      </c>
      <c r="D753" s="2">
        <f t="shared" si="2"/>
        <v>122867.681</v>
      </c>
      <c r="E753" s="5">
        <f t="shared" si="1"/>
        <v>-0.009262759208</v>
      </c>
    </row>
    <row r="754" ht="15.75" customHeight="1">
      <c r="B754" s="3" t="s">
        <v>455</v>
      </c>
      <c r="C754" s="2">
        <v>92.544</v>
      </c>
      <c r="D754" s="2">
        <f t="shared" si="2"/>
        <v>122960.225</v>
      </c>
      <c r="E754" s="5">
        <f t="shared" si="1"/>
        <v>0.0007529169969</v>
      </c>
    </row>
    <row r="755" ht="15.75" customHeight="1">
      <c r="B755" s="3" t="s">
        <v>456</v>
      </c>
      <c r="C755" s="2">
        <v>168.032</v>
      </c>
      <c r="D755" s="2">
        <f t="shared" si="2"/>
        <v>123128.257</v>
      </c>
      <c r="E755" s="5">
        <f t="shared" si="1"/>
        <v>0.001365622842</v>
      </c>
    </row>
    <row r="756" ht="15.75" customHeight="1">
      <c r="B756" s="3" t="s">
        <v>457</v>
      </c>
      <c r="C756" s="2">
        <v>74.515</v>
      </c>
      <c r="D756" s="2">
        <f t="shared" si="2"/>
        <v>123202.772</v>
      </c>
      <c r="E756" s="5">
        <f t="shared" si="1"/>
        <v>0.000604998912</v>
      </c>
    </row>
    <row r="757" ht="15.75" customHeight="1">
      <c r="B757" s="3" t="s">
        <v>458</v>
      </c>
      <c r="C757" s="2">
        <v>111.934</v>
      </c>
      <c r="D757" s="2">
        <f t="shared" si="2"/>
        <v>123314.706</v>
      </c>
      <c r="E757" s="5">
        <f t="shared" si="1"/>
        <v>0.0009081222849</v>
      </c>
    </row>
    <row r="758" ht="15.75" customHeight="1">
      <c r="B758" s="3">
        <v>44287.0</v>
      </c>
      <c r="C758" s="2">
        <v>-18.777</v>
      </c>
      <c r="D758" s="2">
        <f t="shared" si="2"/>
        <v>123295.929</v>
      </c>
      <c r="E758" s="5">
        <f t="shared" si="1"/>
        <v>-0.0001522805376</v>
      </c>
    </row>
    <row r="759" ht="15.75" customHeight="1">
      <c r="B759" s="3">
        <v>44317.0</v>
      </c>
      <c r="C759" s="2">
        <v>277.517</v>
      </c>
      <c r="D759" s="2">
        <f t="shared" si="2"/>
        <v>123573.446</v>
      </c>
      <c r="E759" s="5">
        <f t="shared" si="1"/>
        <v>0.002248291161</v>
      </c>
    </row>
    <row r="760" ht="15.75" customHeight="1">
      <c r="B760" s="3">
        <v>44348.0</v>
      </c>
      <c r="C760" s="2">
        <v>-93.172</v>
      </c>
      <c r="D760" s="2">
        <f t="shared" si="2"/>
        <v>123480.274</v>
      </c>
      <c r="E760" s="5">
        <f t="shared" si="1"/>
        <v>-0.0007542651405</v>
      </c>
    </row>
    <row r="761" ht="15.75" customHeight="1">
      <c r="B761" s="3">
        <v>44378.0</v>
      </c>
      <c r="C761" s="2">
        <v>-93.705</v>
      </c>
      <c r="D761" s="2">
        <f t="shared" si="2"/>
        <v>123386.569</v>
      </c>
      <c r="E761" s="5">
        <f t="shared" si="1"/>
        <v>-0.0007591542336</v>
      </c>
    </row>
    <row r="762" ht="15.75" customHeight="1">
      <c r="B762" s="3">
        <v>44409.0</v>
      </c>
      <c r="C762" s="2">
        <v>-494.604</v>
      </c>
      <c r="D762" s="2">
        <f t="shared" si="2"/>
        <v>122891.965</v>
      </c>
      <c r="E762" s="5">
        <f t="shared" si="1"/>
        <v>-0.004016628302</v>
      </c>
    </row>
    <row r="763" ht="15.75" customHeight="1">
      <c r="B763" s="3">
        <v>44501.0</v>
      </c>
      <c r="C763" s="2">
        <v>325.213</v>
      </c>
      <c r="D763" s="2">
        <f t="shared" si="2"/>
        <v>123217.178</v>
      </c>
      <c r="E763" s="5">
        <f t="shared" si="1"/>
        <v>0.00264283712</v>
      </c>
    </row>
    <row r="764" ht="15.75" customHeight="1">
      <c r="B764" s="3">
        <v>44531.0</v>
      </c>
      <c r="C764" s="2">
        <v>0.0</v>
      </c>
      <c r="D764" s="2">
        <f t="shared" si="2"/>
        <v>123217.178</v>
      </c>
      <c r="E764" s="5">
        <f t="shared" si="1"/>
        <v>0</v>
      </c>
    </row>
    <row r="765" ht="15.75" customHeight="1">
      <c r="B765" s="3" t="s">
        <v>459</v>
      </c>
      <c r="C765" s="2">
        <v>-38.025</v>
      </c>
      <c r="D765" s="2">
        <f t="shared" si="2"/>
        <v>123179.153</v>
      </c>
      <c r="E765" s="5">
        <f t="shared" si="1"/>
        <v>-0.0003086490789</v>
      </c>
    </row>
    <row r="766" ht="15.75" customHeight="1">
      <c r="B766" s="3" t="s">
        <v>460</v>
      </c>
      <c r="C766" s="2">
        <v>95.281</v>
      </c>
      <c r="D766" s="2">
        <f t="shared" si="2"/>
        <v>123274.434</v>
      </c>
      <c r="E766" s="5">
        <f t="shared" si="1"/>
        <v>0.0007732166199</v>
      </c>
    </row>
    <row r="767" ht="15.75" customHeight="1">
      <c r="B767" s="3" t="s">
        <v>461</v>
      </c>
      <c r="C767" s="2">
        <v>-2240.457</v>
      </c>
      <c r="D767" s="2">
        <f t="shared" si="2"/>
        <v>121033.977</v>
      </c>
      <c r="E767" s="5">
        <f t="shared" si="1"/>
        <v>-0.01834173291</v>
      </c>
    </row>
    <row r="768" ht="15.75" customHeight="1">
      <c r="B768" s="3" t="s">
        <v>462</v>
      </c>
      <c r="C768" s="2">
        <v>-169.656</v>
      </c>
      <c r="D768" s="2">
        <f t="shared" si="2"/>
        <v>120864.321</v>
      </c>
      <c r="E768" s="5">
        <f t="shared" si="1"/>
        <v>-0.001402705428</v>
      </c>
    </row>
    <row r="769" ht="15.75" customHeight="1">
      <c r="B769" s="3" t="s">
        <v>463</v>
      </c>
      <c r="C769" s="2">
        <v>-171.042</v>
      </c>
      <c r="D769" s="2">
        <f t="shared" si="2"/>
        <v>120693.279</v>
      </c>
      <c r="E769" s="5">
        <f t="shared" si="1"/>
        <v>-0.001416159364</v>
      </c>
    </row>
    <row r="770" ht="15.75" customHeight="1">
      <c r="B770" s="3" t="s">
        <v>464</v>
      </c>
      <c r="C770" s="2">
        <v>231.234</v>
      </c>
      <c r="D770" s="2">
        <f t="shared" si="2"/>
        <v>120924.513</v>
      </c>
      <c r="E770" s="5">
        <f t="shared" si="1"/>
        <v>0.001914048371</v>
      </c>
    </row>
    <row r="771" ht="15.75" customHeight="1">
      <c r="B771" s="3" t="s">
        <v>465</v>
      </c>
      <c r="C771" s="2">
        <v>173.495</v>
      </c>
      <c r="D771" s="2">
        <f t="shared" si="2"/>
        <v>121098.008</v>
      </c>
      <c r="E771" s="5">
        <f t="shared" si="1"/>
        <v>0.001433709797</v>
      </c>
    </row>
    <row r="772" ht="15.75" customHeight="1">
      <c r="B772" s="3" t="s">
        <v>466</v>
      </c>
      <c r="C772" s="2">
        <v>-96.097</v>
      </c>
      <c r="D772" s="2">
        <f t="shared" si="2"/>
        <v>121001.911</v>
      </c>
      <c r="E772" s="5">
        <f t="shared" si="1"/>
        <v>-0.0007938623478</v>
      </c>
    </row>
    <row r="773" ht="15.75" customHeight="1">
      <c r="B773" s="3" t="s">
        <v>467</v>
      </c>
      <c r="C773" s="2">
        <v>-57.866</v>
      </c>
      <c r="D773" s="2">
        <f t="shared" si="2"/>
        <v>120944.045</v>
      </c>
      <c r="E773" s="5">
        <f t="shared" si="1"/>
        <v>-0.0004783382377</v>
      </c>
    </row>
    <row r="774" ht="15.75" customHeight="1">
      <c r="B774" s="3" t="s">
        <v>468</v>
      </c>
      <c r="C774" s="2">
        <v>250.383</v>
      </c>
      <c r="D774" s="2">
        <f t="shared" si="2"/>
        <v>121194.428</v>
      </c>
      <c r="E774" s="5">
        <f t="shared" si="1"/>
        <v>0.002068098358</v>
      </c>
    </row>
    <row r="775" ht="15.75" customHeight="1">
      <c r="B775" s="3" t="s">
        <v>469</v>
      </c>
      <c r="C775" s="2">
        <v>-56.297</v>
      </c>
      <c r="D775" s="2">
        <f t="shared" si="2"/>
        <v>121138.131</v>
      </c>
      <c r="E775" s="5">
        <f t="shared" si="1"/>
        <v>-0.0004646259772</v>
      </c>
    </row>
    <row r="776" ht="15.75" customHeight="1">
      <c r="B776" s="3" t="s">
        <v>470</v>
      </c>
      <c r="C776" s="2">
        <v>-132.655</v>
      </c>
      <c r="D776" s="2">
        <f t="shared" si="2"/>
        <v>121005.476</v>
      </c>
      <c r="E776" s="5">
        <f t="shared" si="1"/>
        <v>-0.001095672233</v>
      </c>
    </row>
    <row r="777" ht="15.75" customHeight="1">
      <c r="B777" s="3">
        <v>44198.0</v>
      </c>
      <c r="C777" s="2">
        <v>-37.175</v>
      </c>
      <c r="D777" s="2">
        <f t="shared" si="2"/>
        <v>120968.301</v>
      </c>
      <c r="E777" s="5">
        <f t="shared" si="1"/>
        <v>-0.0003072647024</v>
      </c>
    </row>
    <row r="778" ht="15.75" customHeight="1">
      <c r="B778" s="3">
        <v>44229.0</v>
      </c>
      <c r="C778" s="2">
        <v>-358.826</v>
      </c>
      <c r="D778" s="2">
        <f t="shared" si="2"/>
        <v>120609.475</v>
      </c>
      <c r="E778" s="5">
        <f t="shared" si="1"/>
        <v>-0.002970689356</v>
      </c>
    </row>
    <row r="779" ht="15.75" customHeight="1">
      <c r="B779" s="3">
        <v>44257.0</v>
      </c>
      <c r="C779" s="2">
        <v>-153.186</v>
      </c>
      <c r="D779" s="2">
        <f t="shared" si="2"/>
        <v>120456.289</v>
      </c>
      <c r="E779" s="5">
        <f t="shared" si="1"/>
        <v>-0.001270906479</v>
      </c>
    </row>
    <row r="780" ht="15.75" customHeight="1">
      <c r="B780" s="3">
        <v>44288.0</v>
      </c>
      <c r="C780" s="2">
        <v>-345.015</v>
      </c>
      <c r="D780" s="2">
        <f t="shared" si="2"/>
        <v>120111.274</v>
      </c>
      <c r="E780" s="5">
        <f t="shared" si="1"/>
        <v>-0.00286834378</v>
      </c>
    </row>
    <row r="781" ht="15.75" customHeight="1">
      <c r="B781" s="3">
        <v>44318.0</v>
      </c>
      <c r="C781" s="2">
        <v>7615.373</v>
      </c>
      <c r="D781" s="2">
        <f t="shared" si="2"/>
        <v>127726.647</v>
      </c>
      <c r="E781" s="5">
        <f t="shared" si="1"/>
        <v>0.06147381357</v>
      </c>
    </row>
    <row r="782" ht="15.75" customHeight="1">
      <c r="B782" s="3">
        <v>44410.0</v>
      </c>
      <c r="C782" s="2">
        <v>-350.191</v>
      </c>
      <c r="D782" s="2">
        <f t="shared" si="2"/>
        <v>127376.456</v>
      </c>
      <c r="E782" s="5">
        <f t="shared" si="1"/>
        <v>-0.002745487733</v>
      </c>
    </row>
    <row r="783" ht="15.75" customHeight="1">
      <c r="B783" s="3">
        <v>44441.0</v>
      </c>
      <c r="C783" s="2">
        <v>-39.199</v>
      </c>
      <c r="D783" s="2">
        <f t="shared" si="2"/>
        <v>127337.257</v>
      </c>
      <c r="E783" s="5">
        <f t="shared" si="1"/>
        <v>-0.0003077886922</v>
      </c>
    </row>
    <row r="784" ht="15.75" customHeight="1">
      <c r="B784" s="3">
        <v>44471.0</v>
      </c>
      <c r="C784" s="2">
        <v>-39.162</v>
      </c>
      <c r="D784" s="2">
        <f t="shared" si="2"/>
        <v>127298.095</v>
      </c>
      <c r="E784" s="5">
        <f t="shared" si="1"/>
        <v>-0.0003075927989</v>
      </c>
    </row>
    <row r="785" ht="15.75" customHeight="1">
      <c r="B785" s="3">
        <v>44502.0</v>
      </c>
      <c r="C785" s="2">
        <v>39.149</v>
      </c>
      <c r="D785" s="2">
        <f t="shared" si="2"/>
        <v>127337.244</v>
      </c>
      <c r="E785" s="5">
        <f t="shared" si="1"/>
        <v>0.0003074907078</v>
      </c>
    </row>
    <row r="786" ht="15.75" customHeight="1">
      <c r="B786" s="3">
        <v>44532.0</v>
      </c>
      <c r="C786" s="2">
        <v>117.666</v>
      </c>
      <c r="D786" s="2">
        <f t="shared" si="2"/>
        <v>127454.91</v>
      </c>
      <c r="E786" s="5">
        <f t="shared" si="1"/>
        <v>0.000923623483</v>
      </c>
    </row>
    <row r="787" ht="15.75" customHeight="1">
      <c r="B787" s="3" t="s">
        <v>471</v>
      </c>
      <c r="C787" s="2">
        <v>0.0</v>
      </c>
      <c r="D787" s="2">
        <f t="shared" si="2"/>
        <v>127454.91</v>
      </c>
      <c r="E787" s="5">
        <f t="shared" si="1"/>
        <v>0</v>
      </c>
    </row>
    <row r="788" ht="15.75" customHeight="1">
      <c r="B788" s="3" t="s">
        <v>472</v>
      </c>
      <c r="C788" s="2">
        <v>-118.173</v>
      </c>
      <c r="D788" s="2">
        <f t="shared" si="2"/>
        <v>127336.737</v>
      </c>
      <c r="E788" s="5">
        <f t="shared" si="1"/>
        <v>-0.0009276050441</v>
      </c>
    </row>
    <row r="789" ht="15.75" customHeight="1">
      <c r="B789" s="3" t="s">
        <v>473</v>
      </c>
      <c r="C789" s="2">
        <v>78.77</v>
      </c>
      <c r="D789" s="2">
        <f t="shared" si="2"/>
        <v>127415.507</v>
      </c>
      <c r="E789" s="5">
        <f t="shared" si="1"/>
        <v>0.0006184047785</v>
      </c>
    </row>
    <row r="790" ht="15.75" customHeight="1">
      <c r="B790" s="3" t="s">
        <v>474</v>
      </c>
      <c r="C790" s="2">
        <v>2548.803</v>
      </c>
      <c r="D790" s="2">
        <f t="shared" si="2"/>
        <v>129964.31</v>
      </c>
      <c r="E790" s="5">
        <f t="shared" si="1"/>
        <v>0.01980641958</v>
      </c>
    </row>
    <row r="791" ht="15.75" customHeight="1">
      <c r="B791" s="3" t="s">
        <v>475</v>
      </c>
      <c r="C791" s="2">
        <v>-39.142</v>
      </c>
      <c r="D791" s="2">
        <f t="shared" si="2"/>
        <v>129925.168</v>
      </c>
      <c r="E791" s="5">
        <f t="shared" si="1"/>
        <v>-0.0003012203541</v>
      </c>
    </row>
    <row r="792" ht="15.75" customHeight="1">
      <c r="B792" s="3" t="s">
        <v>476</v>
      </c>
      <c r="C792" s="2">
        <v>-116.526</v>
      </c>
      <c r="D792" s="2">
        <f t="shared" si="2"/>
        <v>129808.642</v>
      </c>
      <c r="E792" s="5">
        <f t="shared" si="1"/>
        <v>-0.0008972725408</v>
      </c>
    </row>
    <row r="793" ht="15.75" customHeight="1">
      <c r="B793" s="3" t="s">
        <v>477</v>
      </c>
      <c r="C793" s="2">
        <v>0.0</v>
      </c>
      <c r="D793" s="2">
        <f t="shared" si="2"/>
        <v>129808.642</v>
      </c>
      <c r="E793" s="5">
        <f t="shared" si="1"/>
        <v>0</v>
      </c>
    </row>
    <row r="794" ht="15.75" customHeight="1">
      <c r="B794" s="3" t="s">
        <v>478</v>
      </c>
      <c r="C794" s="2">
        <v>-177.0</v>
      </c>
      <c r="D794" s="2">
        <f t="shared" si="2"/>
        <v>129631.642</v>
      </c>
      <c r="E794" s="5">
        <f t="shared" si="1"/>
        <v>-0.001364476054</v>
      </c>
    </row>
    <row r="795" ht="15.75" customHeight="1">
      <c r="B795" s="3" t="s">
        <v>479</v>
      </c>
      <c r="C795" s="2">
        <v>-307.009</v>
      </c>
      <c r="D795" s="2">
        <f t="shared" si="2"/>
        <v>129324.633</v>
      </c>
      <c r="E795" s="5">
        <f t="shared" si="1"/>
        <v>-0.002371127279</v>
      </c>
    </row>
    <row r="796" ht="15.75" customHeight="1">
      <c r="B796" s="3">
        <v>44199.0</v>
      </c>
      <c r="C796" s="2">
        <v>0.0</v>
      </c>
      <c r="D796" s="2">
        <f t="shared" si="2"/>
        <v>129324.633</v>
      </c>
      <c r="E796" s="5">
        <f t="shared" si="1"/>
        <v>0</v>
      </c>
    </row>
    <row r="797" ht="15.75" customHeight="1">
      <c r="B797" s="3">
        <v>44230.0</v>
      </c>
      <c r="C797" s="2">
        <v>0.0</v>
      </c>
      <c r="D797" s="2">
        <f t="shared" si="2"/>
        <v>129324.633</v>
      </c>
      <c r="E797" s="5">
        <f t="shared" si="1"/>
        <v>0</v>
      </c>
    </row>
    <row r="798" ht="15.75" customHeight="1">
      <c r="B798" s="3">
        <v>44258.0</v>
      </c>
      <c r="C798" s="2">
        <v>0.0</v>
      </c>
      <c r="D798" s="2">
        <f t="shared" si="2"/>
        <v>129324.633</v>
      </c>
      <c r="E798" s="5">
        <f t="shared" si="1"/>
        <v>0</v>
      </c>
    </row>
    <row r="799" ht="15.75" customHeight="1">
      <c r="B799" s="3">
        <v>44289.0</v>
      </c>
      <c r="C799" s="2">
        <v>306.293</v>
      </c>
      <c r="D799" s="2">
        <f t="shared" si="2"/>
        <v>129630.926</v>
      </c>
      <c r="E799" s="5">
        <f t="shared" si="1"/>
        <v>0.002365603921</v>
      </c>
    </row>
    <row r="800" ht="15.75" customHeight="1">
      <c r="B800" s="3">
        <v>44319.0</v>
      </c>
      <c r="C800" s="2">
        <v>472.244</v>
      </c>
      <c r="D800" s="2">
        <f t="shared" si="2"/>
        <v>130103.17</v>
      </c>
      <c r="E800" s="5">
        <f t="shared" si="1"/>
        <v>0.003636369099</v>
      </c>
    </row>
    <row r="801" ht="15.75" customHeight="1">
      <c r="B801" s="3">
        <v>44411.0</v>
      </c>
      <c r="C801" s="2">
        <v>481.468</v>
      </c>
      <c r="D801" s="2">
        <f t="shared" si="2"/>
        <v>130584.638</v>
      </c>
      <c r="E801" s="5">
        <f t="shared" si="1"/>
        <v>0.00369383249</v>
      </c>
    </row>
    <row r="802" ht="15.75" customHeight="1">
      <c r="B802" s="3">
        <v>44442.0</v>
      </c>
      <c r="C802" s="2">
        <v>-402.269</v>
      </c>
      <c r="D802" s="2">
        <f t="shared" si="2"/>
        <v>130182.369</v>
      </c>
      <c r="E802" s="5">
        <f t="shared" si="1"/>
        <v>-0.003085277725</v>
      </c>
    </row>
    <row r="803" ht="15.75" customHeight="1">
      <c r="B803" s="3">
        <v>44472.0</v>
      </c>
      <c r="C803" s="2">
        <v>388.573</v>
      </c>
      <c r="D803" s="2">
        <f t="shared" si="2"/>
        <v>130570.942</v>
      </c>
      <c r="E803" s="5">
        <f t="shared" si="1"/>
        <v>0.002980390056</v>
      </c>
    </row>
    <row r="804" ht="15.75" customHeight="1">
      <c r="B804" s="3">
        <v>44503.0</v>
      </c>
      <c r="C804" s="2">
        <v>117.281</v>
      </c>
      <c r="D804" s="2">
        <f t="shared" si="2"/>
        <v>130688.223</v>
      </c>
      <c r="E804" s="5">
        <f t="shared" si="1"/>
        <v>0.0008978135399</v>
      </c>
    </row>
    <row r="805" ht="15.75" customHeight="1">
      <c r="B805" s="3">
        <v>44533.0</v>
      </c>
      <c r="C805" s="2">
        <v>-59.254</v>
      </c>
      <c r="D805" s="2">
        <f t="shared" si="2"/>
        <v>130628.969</v>
      </c>
      <c r="E805" s="5">
        <f t="shared" si="1"/>
        <v>-0.0004535025083</v>
      </c>
    </row>
    <row r="806" ht="15.75" customHeight="1">
      <c r="B806" s="3" t="s">
        <v>480</v>
      </c>
      <c r="C806" s="2">
        <v>39.552</v>
      </c>
      <c r="D806" s="2">
        <f t="shared" si="2"/>
        <v>130668.521</v>
      </c>
      <c r="E806" s="5">
        <f t="shared" si="1"/>
        <v>0.0003027354017</v>
      </c>
    </row>
    <row r="807" ht="15.75" customHeight="1">
      <c r="B807" s="3" t="s">
        <v>481</v>
      </c>
      <c r="C807" s="2">
        <v>-59.716</v>
      </c>
      <c r="D807" s="2">
        <f t="shared" si="2"/>
        <v>130608.805</v>
      </c>
      <c r="E807" s="5">
        <f t="shared" si="1"/>
        <v>-0.0004571081766</v>
      </c>
    </row>
    <row r="808" ht="15.75" customHeight="1">
      <c r="B808" s="3" t="s">
        <v>482</v>
      </c>
      <c r="C808" s="2">
        <v>218.623</v>
      </c>
      <c r="D808" s="2">
        <f t="shared" si="2"/>
        <v>130827.428</v>
      </c>
      <c r="E808" s="5">
        <f t="shared" si="1"/>
        <v>0.001672477058</v>
      </c>
    </row>
    <row r="809" ht="15.75" customHeight="1">
      <c r="B809" s="3" t="s">
        <v>483</v>
      </c>
      <c r="C809" s="2">
        <v>578.033</v>
      </c>
      <c r="D809" s="2">
        <f t="shared" si="2"/>
        <v>131405.461</v>
      </c>
      <c r="E809" s="5">
        <f t="shared" si="1"/>
        <v>0.004408554079</v>
      </c>
    </row>
    <row r="810" ht="15.75" customHeight="1">
      <c r="B810" s="3" t="s">
        <v>484</v>
      </c>
      <c r="C810" s="2">
        <v>-58.917</v>
      </c>
      <c r="D810" s="2">
        <f t="shared" si="2"/>
        <v>131346.544</v>
      </c>
      <c r="E810" s="5">
        <f t="shared" si="1"/>
        <v>-0.0004484609051</v>
      </c>
    </row>
    <row r="811" ht="15.75" customHeight="1">
      <c r="B811" s="3" t="s">
        <v>485</v>
      </c>
      <c r="C811" s="2">
        <v>333.695</v>
      </c>
      <c r="D811" s="2">
        <f t="shared" si="2"/>
        <v>131680.239</v>
      </c>
      <c r="E811" s="5">
        <f t="shared" si="1"/>
        <v>0.00253734753</v>
      </c>
    </row>
    <row r="812" ht="15.75" customHeight="1">
      <c r="B812" s="3" t="s">
        <v>486</v>
      </c>
      <c r="C812" s="2">
        <v>-533.709</v>
      </c>
      <c r="D812" s="2">
        <f t="shared" si="2"/>
        <v>131146.53</v>
      </c>
      <c r="E812" s="5">
        <f t="shared" si="1"/>
        <v>-0.004061304224</v>
      </c>
    </row>
    <row r="813" ht="15.75" customHeight="1">
      <c r="B813" s="3" t="s">
        <v>487</v>
      </c>
      <c r="C813" s="2">
        <v>-470.789</v>
      </c>
      <c r="D813" s="2">
        <f t="shared" si="2"/>
        <v>130675.741</v>
      </c>
      <c r="E813" s="5">
        <f t="shared" si="1"/>
        <v>-0.003596252569</v>
      </c>
    </row>
    <row r="814" ht="15.75" customHeight="1">
      <c r="B814" s="3" t="s">
        <v>488</v>
      </c>
      <c r="C814" s="2">
        <v>156.081</v>
      </c>
      <c r="D814" s="2">
        <f t="shared" si="2"/>
        <v>130831.822</v>
      </c>
      <c r="E814" s="5">
        <f t="shared" si="1"/>
        <v>0.001193701756</v>
      </c>
    </row>
    <row r="815" ht="15.75" customHeight="1">
      <c r="B815" s="3" t="s">
        <v>489</v>
      </c>
      <c r="C815" s="2">
        <v>469.139</v>
      </c>
      <c r="D815" s="2">
        <f t="shared" si="2"/>
        <v>131300.961</v>
      </c>
      <c r="E815" s="5">
        <f t="shared" si="1"/>
        <v>0.003579403503</v>
      </c>
    </row>
    <row r="816" ht="15.75" customHeight="1">
      <c r="B816" s="3" t="s">
        <v>490</v>
      </c>
      <c r="C816" s="2">
        <v>99.363</v>
      </c>
      <c r="D816" s="2">
        <f t="shared" si="2"/>
        <v>131400.324</v>
      </c>
      <c r="E816" s="5">
        <f t="shared" si="1"/>
        <v>0.0007564714024</v>
      </c>
    </row>
    <row r="817" ht="15.75" customHeight="1">
      <c r="B817" s="3" t="s">
        <v>491</v>
      </c>
      <c r="C817" s="2">
        <v>19.855</v>
      </c>
      <c r="D817" s="2">
        <f t="shared" si="2"/>
        <v>131420.179</v>
      </c>
      <c r="E817" s="5">
        <f t="shared" si="1"/>
        <v>0.0001510917133</v>
      </c>
    </row>
    <row r="818" ht="15.75" customHeight="1">
      <c r="B818" s="3" t="s">
        <v>492</v>
      </c>
      <c r="C818" s="2">
        <v>653.227</v>
      </c>
      <c r="D818" s="2">
        <f t="shared" si="2"/>
        <v>132073.406</v>
      </c>
      <c r="E818" s="5">
        <f t="shared" si="1"/>
        <v>0.004958210563</v>
      </c>
    </row>
    <row r="819" ht="15.75" customHeight="1">
      <c r="B819" s="3">
        <v>44200.0</v>
      </c>
      <c r="C819" s="2">
        <v>357.625</v>
      </c>
      <c r="D819" s="2">
        <f t="shared" si="2"/>
        <v>132431.031</v>
      </c>
      <c r="E819" s="5">
        <f t="shared" si="1"/>
        <v>0.002704115076</v>
      </c>
    </row>
    <row r="820" ht="15.75" customHeight="1">
      <c r="B820" s="3">
        <v>44320.0</v>
      </c>
      <c r="C820" s="2">
        <v>261.338</v>
      </c>
      <c r="D820" s="2">
        <f t="shared" si="2"/>
        <v>132692.369</v>
      </c>
      <c r="E820" s="5">
        <f t="shared" si="1"/>
        <v>0.001971444879</v>
      </c>
    </row>
    <row r="821" ht="15.75" customHeight="1">
      <c r="B821" s="3">
        <v>44351.0</v>
      </c>
      <c r="C821" s="2">
        <v>183.562</v>
      </c>
      <c r="D821" s="2">
        <f t="shared" si="2"/>
        <v>132875.931</v>
      </c>
      <c r="E821" s="5">
        <f t="shared" si="1"/>
        <v>0.00138240919</v>
      </c>
    </row>
    <row r="822" ht="15.75" customHeight="1">
      <c r="B822" s="3">
        <v>44381.0</v>
      </c>
      <c r="C822" s="2">
        <v>489.044</v>
      </c>
      <c r="D822" s="2">
        <f t="shared" si="2"/>
        <v>133364.975</v>
      </c>
      <c r="E822" s="5">
        <f t="shared" si="1"/>
        <v>0.003673699563</v>
      </c>
    </row>
    <row r="823" ht="15.75" customHeight="1">
      <c r="B823" s="3">
        <v>44412.0</v>
      </c>
      <c r="C823" s="2">
        <v>163.258</v>
      </c>
      <c r="D823" s="2">
        <f t="shared" si="2"/>
        <v>133528.233</v>
      </c>
      <c r="E823" s="5">
        <f t="shared" si="1"/>
        <v>0.001223395841</v>
      </c>
    </row>
    <row r="824" ht="15.75" customHeight="1">
      <c r="B824" s="3">
        <v>44443.0</v>
      </c>
      <c r="C824" s="2">
        <v>122.989</v>
      </c>
      <c r="D824" s="2">
        <f t="shared" si="2"/>
        <v>133651.222</v>
      </c>
      <c r="E824" s="5">
        <f t="shared" si="1"/>
        <v>0.0009206472009</v>
      </c>
    </row>
    <row r="825" ht="15.75" customHeight="1">
      <c r="B825" s="3">
        <v>44534.0</v>
      </c>
      <c r="C825" s="2">
        <v>206.566</v>
      </c>
      <c r="D825" s="2">
        <f t="shared" si="2"/>
        <v>133857.788</v>
      </c>
      <c r="E825" s="5">
        <f t="shared" si="1"/>
        <v>0.001544366981</v>
      </c>
    </row>
    <row r="826" ht="15.75" customHeight="1">
      <c r="B826" s="3" t="s">
        <v>493</v>
      </c>
      <c r="C826" s="2">
        <v>144.57</v>
      </c>
      <c r="D826" s="2">
        <f t="shared" si="2"/>
        <v>134002.358</v>
      </c>
      <c r="E826" s="5">
        <f t="shared" si="1"/>
        <v>0.001079444002</v>
      </c>
    </row>
    <row r="827" ht="15.75" customHeight="1">
      <c r="B827" s="3" t="s">
        <v>494</v>
      </c>
      <c r="C827" s="2">
        <v>-1160.368</v>
      </c>
      <c r="D827" s="2">
        <f t="shared" si="2"/>
        <v>132841.99</v>
      </c>
      <c r="E827" s="5">
        <f t="shared" si="1"/>
        <v>-0.008697019987</v>
      </c>
    </row>
    <row r="828" ht="15.75" customHeight="1">
      <c r="B828" s="3" t="s">
        <v>495</v>
      </c>
      <c r="C828" s="2">
        <v>-20.639</v>
      </c>
      <c r="D828" s="2">
        <f t="shared" si="2"/>
        <v>132821.351</v>
      </c>
      <c r="E828" s="5">
        <f t="shared" si="1"/>
        <v>-0.0001553771022</v>
      </c>
    </row>
    <row r="829" ht="15.75" customHeight="1">
      <c r="B829" s="3" t="s">
        <v>496</v>
      </c>
      <c r="C829" s="2">
        <v>-417.361</v>
      </c>
      <c r="D829" s="2">
        <f t="shared" si="2"/>
        <v>132403.99</v>
      </c>
      <c r="E829" s="5">
        <f t="shared" si="1"/>
        <v>-0.003147220721</v>
      </c>
    </row>
    <row r="830" ht="15.75" customHeight="1">
      <c r="B830" s="3" t="s">
        <v>497</v>
      </c>
      <c r="C830" s="2">
        <v>-104.716</v>
      </c>
      <c r="D830" s="2">
        <f t="shared" si="2"/>
        <v>132299.274</v>
      </c>
      <c r="E830" s="5">
        <f t="shared" si="1"/>
        <v>-0.000791195423</v>
      </c>
    </row>
    <row r="831" ht="15.75" customHeight="1">
      <c r="B831" s="3" t="s">
        <v>498</v>
      </c>
      <c r="C831" s="2">
        <v>354.145</v>
      </c>
      <c r="D831" s="2">
        <f t="shared" si="2"/>
        <v>132653.419</v>
      </c>
      <c r="E831" s="5">
        <f t="shared" si="1"/>
        <v>0.002673271269</v>
      </c>
    </row>
    <row r="832" ht="15.75" customHeight="1">
      <c r="B832" s="3" t="s">
        <v>499</v>
      </c>
      <c r="C832" s="2">
        <v>641.424</v>
      </c>
      <c r="D832" s="2">
        <f t="shared" si="2"/>
        <v>133294.843</v>
      </c>
      <c r="E832" s="5">
        <f t="shared" si="1"/>
        <v>0.004823684418</v>
      </c>
    </row>
    <row r="833" ht="15.75" customHeight="1">
      <c r="B833" s="3" t="s">
        <v>500</v>
      </c>
      <c r="C833" s="2">
        <v>104.418</v>
      </c>
      <c r="D833" s="2">
        <f t="shared" si="2"/>
        <v>133399.261</v>
      </c>
      <c r="E833" s="5">
        <f t="shared" si="1"/>
        <v>0.0007830544715</v>
      </c>
    </row>
    <row r="834" ht="15.75" customHeight="1">
      <c r="B834" s="3" t="s">
        <v>501</v>
      </c>
      <c r="C834" s="2">
        <v>765.64</v>
      </c>
      <c r="D834" s="2">
        <f t="shared" si="2"/>
        <v>134164.901</v>
      </c>
      <c r="E834" s="5">
        <f t="shared" si="1"/>
        <v>0.005723054119</v>
      </c>
    </row>
    <row r="835" ht="15.75" customHeight="1">
      <c r="B835" s="3" t="s">
        <v>502</v>
      </c>
      <c r="C835" s="2">
        <v>0.0</v>
      </c>
      <c r="D835" s="2">
        <f t="shared" si="2"/>
        <v>134164.901</v>
      </c>
      <c r="E835" s="5">
        <f t="shared" si="1"/>
        <v>0</v>
      </c>
    </row>
    <row r="836" ht="15.75" customHeight="1">
      <c r="B836" s="3" t="s">
        <v>503</v>
      </c>
      <c r="C836" s="2">
        <v>-146.699</v>
      </c>
      <c r="D836" s="2">
        <f t="shared" si="2"/>
        <v>134018.202</v>
      </c>
      <c r="E836" s="5">
        <f t="shared" si="1"/>
        <v>-0.001094021309</v>
      </c>
    </row>
    <row r="837" ht="15.75" customHeight="1">
      <c r="B837" s="3" t="s">
        <v>504</v>
      </c>
      <c r="C837" s="2">
        <v>62.858</v>
      </c>
      <c r="D837" s="2">
        <f t="shared" si="2"/>
        <v>134081.06</v>
      </c>
      <c r="E837" s="5">
        <f t="shared" si="1"/>
        <v>0.0004689158835</v>
      </c>
    </row>
    <row r="838" ht="15.75" customHeight="1">
      <c r="B838" s="3" t="s">
        <v>505</v>
      </c>
      <c r="C838" s="2">
        <v>209.35</v>
      </c>
      <c r="D838" s="2">
        <f t="shared" si="2"/>
        <v>134290.41</v>
      </c>
      <c r="E838" s="5">
        <f t="shared" si="1"/>
        <v>0.001560151252</v>
      </c>
    </row>
    <row r="839" ht="15.75" customHeight="1">
      <c r="B839" s="3" t="s">
        <v>506</v>
      </c>
      <c r="C839" s="2">
        <v>737.719</v>
      </c>
      <c r="D839" s="2">
        <f t="shared" si="2"/>
        <v>135028.129</v>
      </c>
      <c r="E839" s="5">
        <f t="shared" si="1"/>
        <v>0.005478426014</v>
      </c>
    </row>
    <row r="840" ht="15.75" customHeight="1">
      <c r="B840" s="3">
        <v>44260.0</v>
      </c>
      <c r="C840" s="2">
        <v>0.0</v>
      </c>
      <c r="D840" s="2">
        <f t="shared" si="2"/>
        <v>135028.129</v>
      </c>
      <c r="E840" s="5">
        <f t="shared" si="1"/>
        <v>0</v>
      </c>
    </row>
    <row r="841" ht="15.75" customHeight="1">
      <c r="B841" s="3">
        <v>44291.0</v>
      </c>
      <c r="C841" s="2">
        <v>209.853</v>
      </c>
      <c r="D841" s="2">
        <f t="shared" si="2"/>
        <v>135237.982</v>
      </c>
      <c r="E841" s="5">
        <f t="shared" si="1"/>
        <v>0.001552936411</v>
      </c>
    </row>
    <row r="842" ht="15.75" customHeight="1">
      <c r="B842" s="3">
        <v>44321.0</v>
      </c>
      <c r="C842" s="2">
        <v>62.535</v>
      </c>
      <c r="D842" s="2">
        <f t="shared" si="2"/>
        <v>135300.517</v>
      </c>
      <c r="E842" s="5">
        <f t="shared" si="1"/>
        <v>0.0004623002001</v>
      </c>
    </row>
    <row r="843" ht="15.75" customHeight="1">
      <c r="B843" s="3">
        <v>44352.0</v>
      </c>
      <c r="C843" s="2">
        <v>-229.458</v>
      </c>
      <c r="D843" s="2">
        <f t="shared" si="2"/>
        <v>135071.059</v>
      </c>
      <c r="E843" s="5">
        <f t="shared" si="1"/>
        <v>-0.001697353387</v>
      </c>
    </row>
    <row r="844" ht="15.75" customHeight="1">
      <c r="B844" s="3">
        <v>44382.0</v>
      </c>
      <c r="C844" s="2">
        <v>-84.134</v>
      </c>
      <c r="D844" s="2">
        <f t="shared" si="2"/>
        <v>134986.925</v>
      </c>
      <c r="E844" s="5">
        <f t="shared" si="1"/>
        <v>-0.0006230810249</v>
      </c>
    </row>
    <row r="845" ht="15.75" customHeight="1">
      <c r="B845" s="3">
        <v>44474.0</v>
      </c>
      <c r="C845" s="2">
        <v>-42.384</v>
      </c>
      <c r="D845" s="2">
        <f t="shared" si="2"/>
        <v>134944.541</v>
      </c>
      <c r="E845" s="5">
        <f t="shared" si="1"/>
        <v>-0.0003140352696</v>
      </c>
    </row>
    <row r="846" ht="15.75" customHeight="1">
      <c r="B846" s="3">
        <v>44505.0</v>
      </c>
      <c r="C846" s="2">
        <v>-335.541</v>
      </c>
      <c r="D846" s="2">
        <f t="shared" si="2"/>
        <v>134609</v>
      </c>
      <c r="E846" s="5">
        <f t="shared" si="1"/>
        <v>-0.002489606867</v>
      </c>
    </row>
    <row r="847" ht="15.75" customHeight="1">
      <c r="B847" s="3">
        <v>44535.0</v>
      </c>
      <c r="C847" s="2">
        <v>-415.794</v>
      </c>
      <c r="D847" s="2">
        <f t="shared" si="2"/>
        <v>134193.206</v>
      </c>
      <c r="E847" s="5">
        <f t="shared" si="1"/>
        <v>-0.003093682435</v>
      </c>
    </row>
    <row r="848" ht="15.75" customHeight="1">
      <c r="B848" s="3" t="s">
        <v>507</v>
      </c>
      <c r="C848" s="2">
        <v>40.693</v>
      </c>
      <c r="D848" s="2">
        <f t="shared" si="2"/>
        <v>134233.899</v>
      </c>
      <c r="E848" s="5">
        <f t="shared" si="1"/>
        <v>0.0003031959109</v>
      </c>
    </row>
    <row r="849" ht="15.75" customHeight="1">
      <c r="B849" s="3" t="s">
        <v>508</v>
      </c>
      <c r="C849" s="2">
        <v>226.574</v>
      </c>
      <c r="D849" s="2">
        <f t="shared" si="2"/>
        <v>134460.473</v>
      </c>
      <c r="E849" s="5">
        <f t="shared" si="1"/>
        <v>0.001686481574</v>
      </c>
    </row>
    <row r="850" ht="15.75" customHeight="1">
      <c r="B850" s="3" t="s">
        <v>509</v>
      </c>
      <c r="C850" s="2">
        <v>0.0</v>
      </c>
      <c r="D850" s="2">
        <f t="shared" si="2"/>
        <v>134460.473</v>
      </c>
      <c r="E850" s="5">
        <f t="shared" si="1"/>
        <v>0</v>
      </c>
    </row>
    <row r="851" ht="15.75" customHeight="1">
      <c r="B851" s="3" t="s">
        <v>510</v>
      </c>
      <c r="C851" s="2">
        <v>166.829</v>
      </c>
      <c r="D851" s="2">
        <f t="shared" si="2"/>
        <v>134627.302</v>
      </c>
      <c r="E851" s="5">
        <f t="shared" si="1"/>
        <v>0.001239959871</v>
      </c>
    </row>
    <row r="852" ht="15.75" customHeight="1">
      <c r="B852" s="3" t="s">
        <v>511</v>
      </c>
      <c r="C852" s="2">
        <v>41.357</v>
      </c>
      <c r="D852" s="2">
        <f t="shared" si="2"/>
        <v>134668.659</v>
      </c>
      <c r="E852" s="5">
        <f t="shared" si="1"/>
        <v>0.0003071490577</v>
      </c>
    </row>
    <row r="853" ht="15.75" customHeight="1">
      <c r="B853" s="3" t="s">
        <v>512</v>
      </c>
      <c r="C853" s="2">
        <v>-82.482</v>
      </c>
      <c r="D853" s="2">
        <f t="shared" si="2"/>
        <v>134586.177</v>
      </c>
      <c r="E853" s="5">
        <f t="shared" si="1"/>
        <v>-0.0006126686808</v>
      </c>
    </row>
    <row r="854" ht="15.75" customHeight="1">
      <c r="B854" s="3" t="s">
        <v>513</v>
      </c>
      <c r="C854" s="2">
        <v>-62.52</v>
      </c>
      <c r="D854" s="2">
        <f t="shared" si="2"/>
        <v>134523.657</v>
      </c>
      <c r="E854" s="5">
        <f t="shared" si="1"/>
        <v>-0.0004646430061</v>
      </c>
    </row>
    <row r="855" ht="15.75" customHeight="1">
      <c r="B855" s="3" t="s">
        <v>514</v>
      </c>
      <c r="C855" s="2">
        <v>-104.123</v>
      </c>
      <c r="D855" s="2">
        <f t="shared" si="2"/>
        <v>134419.534</v>
      </c>
      <c r="E855" s="5">
        <f t="shared" si="1"/>
        <v>-0.0007743122614</v>
      </c>
    </row>
    <row r="856" ht="15.75" customHeight="1">
      <c r="B856" s="3" t="s">
        <v>515</v>
      </c>
      <c r="C856" s="2">
        <v>0.0</v>
      </c>
      <c r="D856" s="2">
        <f t="shared" si="2"/>
        <v>134419.534</v>
      </c>
      <c r="E856" s="5">
        <f t="shared" si="1"/>
        <v>0</v>
      </c>
    </row>
    <row r="857" ht="15.75" customHeight="1">
      <c r="B857" s="3" t="s">
        <v>516</v>
      </c>
      <c r="C857" s="2">
        <v>-83.955</v>
      </c>
      <c r="D857" s="2">
        <f t="shared" si="2"/>
        <v>134335.579</v>
      </c>
      <c r="E857" s="5">
        <f t="shared" si="1"/>
        <v>-0.0006247695294</v>
      </c>
    </row>
    <row r="858" ht="15.75" customHeight="1">
      <c r="B858" s="3" t="s">
        <v>517</v>
      </c>
      <c r="C858" s="2">
        <v>-252.34</v>
      </c>
      <c r="D858" s="2">
        <f t="shared" si="2"/>
        <v>134083.239</v>
      </c>
      <c r="E858" s="5">
        <f t="shared" si="1"/>
        <v>-0.001880196599</v>
      </c>
    </row>
    <row r="859" ht="15.75" customHeight="1">
      <c r="B859" s="3" t="s">
        <v>518</v>
      </c>
      <c r="C859" s="2">
        <v>147.383</v>
      </c>
      <c r="D859" s="2">
        <f t="shared" si="2"/>
        <v>134230.622</v>
      </c>
      <c r="E859" s="5">
        <f t="shared" si="1"/>
        <v>0.001098586665</v>
      </c>
    </row>
    <row r="860" ht="15.75" customHeight="1">
      <c r="B860" s="3">
        <v>44202.0</v>
      </c>
      <c r="C860" s="2">
        <v>210.734</v>
      </c>
      <c r="D860" s="2">
        <f t="shared" si="2"/>
        <v>134441.356</v>
      </c>
      <c r="E860" s="5">
        <f t="shared" si="1"/>
        <v>0.001568708764</v>
      </c>
    </row>
    <row r="861" ht="15.75" customHeight="1">
      <c r="B861" s="3">
        <v>44233.0</v>
      </c>
      <c r="C861" s="2">
        <v>105.318</v>
      </c>
      <c r="D861" s="2">
        <f t="shared" si="2"/>
        <v>134546.674</v>
      </c>
      <c r="E861" s="5">
        <f t="shared" si="1"/>
        <v>0.0007830683423</v>
      </c>
    </row>
    <row r="862" ht="15.75" customHeight="1">
      <c r="B862" s="3">
        <v>44261.0</v>
      </c>
      <c r="C862" s="2">
        <v>63.289</v>
      </c>
      <c r="D862" s="2">
        <f t="shared" si="2"/>
        <v>134609.963</v>
      </c>
      <c r="E862" s="5">
        <f t="shared" si="1"/>
        <v>0.0004702763556</v>
      </c>
    </row>
    <row r="863" ht="15.75" customHeight="1">
      <c r="B863" s="3">
        <v>44292.0</v>
      </c>
      <c r="C863" s="2">
        <v>-21.023</v>
      </c>
      <c r="D863" s="2">
        <f t="shared" si="2"/>
        <v>134588.94</v>
      </c>
      <c r="E863" s="5">
        <f t="shared" si="1"/>
        <v>-0.0001561893441</v>
      </c>
    </row>
    <row r="864" ht="15.75" customHeight="1">
      <c r="B864" s="3">
        <v>44383.0</v>
      </c>
      <c r="C864" s="2">
        <v>21.209</v>
      </c>
      <c r="D864" s="2">
        <f t="shared" si="2"/>
        <v>134610.149</v>
      </c>
      <c r="E864" s="5">
        <f t="shared" si="1"/>
        <v>0.0001575711131</v>
      </c>
    </row>
    <row r="865" ht="15.75" customHeight="1">
      <c r="B865" s="3">
        <v>44414.0</v>
      </c>
      <c r="C865" s="2">
        <v>-1483.484</v>
      </c>
      <c r="D865" s="2">
        <f t="shared" si="2"/>
        <v>133126.665</v>
      </c>
      <c r="E865" s="5">
        <f t="shared" si="1"/>
        <v>-0.01108177213</v>
      </c>
    </row>
    <row r="866" ht="15.75" customHeight="1">
      <c r="B866" s="3">
        <v>44445.0</v>
      </c>
      <c r="C866" s="2">
        <v>-805.476</v>
      </c>
      <c r="D866" s="2">
        <f t="shared" si="2"/>
        <v>132321.189</v>
      </c>
      <c r="E866" s="5">
        <f t="shared" si="1"/>
        <v>-0.006068826401</v>
      </c>
    </row>
    <row r="867" ht="15.75" customHeight="1">
      <c r="B867" s="3">
        <v>44475.0</v>
      </c>
      <c r="C867" s="2">
        <v>148.112</v>
      </c>
      <c r="D867" s="2">
        <f t="shared" si="2"/>
        <v>132469.301</v>
      </c>
      <c r="E867" s="5">
        <f t="shared" si="1"/>
        <v>0.001118710989</v>
      </c>
    </row>
    <row r="868" ht="15.75" customHeight="1">
      <c r="B868" s="3">
        <v>44506.0</v>
      </c>
      <c r="C868" s="2">
        <v>0.0</v>
      </c>
      <c r="D868" s="2">
        <f t="shared" si="2"/>
        <v>132469.301</v>
      </c>
      <c r="E868" s="5">
        <f t="shared" si="1"/>
        <v>0</v>
      </c>
    </row>
    <row r="869" ht="15.75" customHeight="1">
      <c r="B869" s="3" t="s">
        <v>519</v>
      </c>
      <c r="C869" s="2">
        <v>42.478</v>
      </c>
      <c r="D869" s="2">
        <f t="shared" si="2"/>
        <v>132511.779</v>
      </c>
      <c r="E869" s="5">
        <f t="shared" si="1"/>
        <v>0.0003206115724</v>
      </c>
    </row>
    <row r="870" ht="15.75" customHeight="1">
      <c r="B870" s="3" t="s">
        <v>520</v>
      </c>
      <c r="C870" s="2">
        <v>2128.259</v>
      </c>
      <c r="D870" s="2">
        <f t="shared" si="2"/>
        <v>134640.038</v>
      </c>
      <c r="E870" s="5">
        <f t="shared" si="1"/>
        <v>0.01593329253</v>
      </c>
    </row>
    <row r="871" ht="15.75" customHeight="1">
      <c r="B871" s="3" t="s">
        <v>521</v>
      </c>
      <c r="C871" s="2">
        <v>382.331</v>
      </c>
      <c r="D871" s="2">
        <f t="shared" si="2"/>
        <v>135022.369</v>
      </c>
      <c r="E871" s="5">
        <f t="shared" si="1"/>
        <v>0.002835628892</v>
      </c>
    </row>
    <row r="872" ht="15.75" customHeight="1">
      <c r="B872" s="3" t="s">
        <v>522</v>
      </c>
      <c r="C872" s="2">
        <v>-84.506</v>
      </c>
      <c r="D872" s="2">
        <f t="shared" si="2"/>
        <v>134937.863</v>
      </c>
      <c r="E872" s="5">
        <f t="shared" si="1"/>
        <v>-0.0006260626029</v>
      </c>
    </row>
    <row r="873" ht="15.75" customHeight="1">
      <c r="B873" s="3" t="s">
        <v>523</v>
      </c>
      <c r="C873" s="2">
        <v>126.706</v>
      </c>
      <c r="D873" s="2">
        <f t="shared" si="2"/>
        <v>135064.569</v>
      </c>
      <c r="E873" s="5">
        <f t="shared" si="1"/>
        <v>0.0009385545779</v>
      </c>
    </row>
    <row r="874" ht="15.75" customHeight="1">
      <c r="B874" s="3" t="s">
        <v>524</v>
      </c>
      <c r="C874" s="2">
        <v>333.464</v>
      </c>
      <c r="D874" s="2">
        <f t="shared" si="2"/>
        <v>135398.033</v>
      </c>
      <c r="E874" s="5">
        <f t="shared" si="1"/>
        <v>0.002465880063</v>
      </c>
    </row>
    <row r="875" ht="15.75" customHeight="1">
      <c r="B875" s="3" t="s">
        <v>525</v>
      </c>
      <c r="C875" s="2">
        <v>338.148</v>
      </c>
      <c r="D875" s="2">
        <f t="shared" si="2"/>
        <v>135736.181</v>
      </c>
      <c r="E875" s="5">
        <f t="shared" si="1"/>
        <v>0.002494323164</v>
      </c>
    </row>
    <row r="876" ht="15.75" customHeight="1">
      <c r="B876" s="3" t="s">
        <v>526</v>
      </c>
      <c r="C876" s="2">
        <v>-573.547</v>
      </c>
      <c r="D876" s="2">
        <f t="shared" si="2"/>
        <v>135162.634</v>
      </c>
      <c r="E876" s="5">
        <f t="shared" si="1"/>
        <v>-0.00423440654</v>
      </c>
    </row>
    <row r="877" ht="15.75" customHeight="1">
      <c r="B877" s="3" t="s">
        <v>527</v>
      </c>
      <c r="C877" s="2">
        <v>0.0</v>
      </c>
      <c r="D877" s="2">
        <f t="shared" si="2"/>
        <v>135162.634</v>
      </c>
      <c r="E877" s="5">
        <f t="shared" si="1"/>
        <v>0</v>
      </c>
    </row>
    <row r="878" ht="15.75" customHeight="1">
      <c r="B878" s="3" t="s">
        <v>528</v>
      </c>
      <c r="C878" s="2">
        <v>128.068</v>
      </c>
      <c r="D878" s="2">
        <f t="shared" si="2"/>
        <v>135290.702</v>
      </c>
      <c r="E878" s="5">
        <f t="shared" si="1"/>
        <v>0.000947061785</v>
      </c>
    </row>
    <row r="879" ht="15.75" customHeight="1">
      <c r="B879" s="3" t="s">
        <v>529</v>
      </c>
      <c r="C879" s="2">
        <v>-192.745</v>
      </c>
      <c r="D879" s="2">
        <f t="shared" si="2"/>
        <v>135097.957</v>
      </c>
      <c r="E879" s="5">
        <f t="shared" si="1"/>
        <v>-0.001425688735</v>
      </c>
    </row>
    <row r="880" ht="15.75" customHeight="1">
      <c r="B880" s="3" t="s">
        <v>530</v>
      </c>
      <c r="C880" s="2">
        <v>429.312</v>
      </c>
      <c r="D880" s="2">
        <f t="shared" si="2"/>
        <v>135527.269</v>
      </c>
      <c r="E880" s="5">
        <f t="shared" si="1"/>
        <v>0.003172744585</v>
      </c>
    </row>
    <row r="881" ht="15.75" customHeight="1">
      <c r="B881" s="3" t="s">
        <v>531</v>
      </c>
      <c r="C881" s="2">
        <v>300.628</v>
      </c>
      <c r="D881" s="2">
        <f t="shared" si="2"/>
        <v>135827.897</v>
      </c>
      <c r="E881" s="5">
        <f t="shared" si="1"/>
        <v>0.002215753821</v>
      </c>
    </row>
    <row r="882" ht="15.75" customHeight="1">
      <c r="B882" s="3">
        <v>44203.0</v>
      </c>
      <c r="C882" s="2">
        <v>-731.086</v>
      </c>
      <c r="D882" s="2">
        <f t="shared" si="2"/>
        <v>135096.811</v>
      </c>
      <c r="E882" s="5">
        <f t="shared" si="1"/>
        <v>-0.005396981176</v>
      </c>
    </row>
    <row r="883" ht="15.75" customHeight="1">
      <c r="B883" s="3">
        <v>44234.0</v>
      </c>
      <c r="C883" s="2">
        <v>259.395</v>
      </c>
      <c r="D883" s="2">
        <f t="shared" si="2"/>
        <v>135356.206</v>
      </c>
      <c r="E883" s="5">
        <f t="shared" si="1"/>
        <v>0.001918226555</v>
      </c>
    </row>
    <row r="884" ht="15.75" customHeight="1">
      <c r="B884" s="3">
        <v>44354.0</v>
      </c>
      <c r="C884" s="2">
        <v>304.936</v>
      </c>
      <c r="D884" s="2">
        <f t="shared" si="2"/>
        <v>135661.142</v>
      </c>
      <c r="E884" s="5">
        <f t="shared" si="1"/>
        <v>0.002250307081</v>
      </c>
    </row>
    <row r="885" ht="15.75" customHeight="1">
      <c r="B885" s="3">
        <v>44384.0</v>
      </c>
      <c r="C885" s="2">
        <v>65.214</v>
      </c>
      <c r="D885" s="2">
        <f t="shared" si="2"/>
        <v>135726.356</v>
      </c>
      <c r="E885" s="5">
        <f t="shared" si="1"/>
        <v>0.0004805969452</v>
      </c>
    </row>
    <row r="886" ht="15.75" customHeight="1">
      <c r="B886" s="3">
        <v>44415.0</v>
      </c>
      <c r="C886" s="2">
        <v>65.433</v>
      </c>
      <c r="D886" s="2">
        <f t="shared" si="2"/>
        <v>135791.789</v>
      </c>
      <c r="E886" s="5">
        <f t="shared" si="1"/>
        <v>0.0004819788472</v>
      </c>
    </row>
    <row r="887" ht="15.75" customHeight="1">
      <c r="B887" s="3">
        <v>44446.0</v>
      </c>
      <c r="C887" s="2">
        <v>86.515</v>
      </c>
      <c r="D887" s="2">
        <f t="shared" si="2"/>
        <v>135878.304</v>
      </c>
      <c r="E887" s="5">
        <f t="shared" si="1"/>
        <v>0.000636912234</v>
      </c>
    </row>
    <row r="888" ht="15.75" customHeight="1">
      <c r="B888" s="3">
        <v>44537.0</v>
      </c>
      <c r="C888" s="2">
        <v>131.237</v>
      </c>
      <c r="D888" s="2">
        <f t="shared" si="2"/>
        <v>136009.541</v>
      </c>
      <c r="E888" s="5">
        <f t="shared" si="1"/>
        <v>0.000965376074</v>
      </c>
    </row>
    <row r="889" ht="15.75" customHeight="1">
      <c r="B889" s="3" t="s">
        <v>532</v>
      </c>
      <c r="C889" s="2">
        <v>131.69</v>
      </c>
      <c r="D889" s="2">
        <f t="shared" si="2"/>
        <v>136141.231</v>
      </c>
      <c r="E889" s="5">
        <f t="shared" si="1"/>
        <v>0.0009677724543</v>
      </c>
    </row>
    <row r="890" ht="15.75" customHeight="1">
      <c r="B890" s="3" t="s">
        <v>533</v>
      </c>
      <c r="C890" s="2">
        <v>65.613</v>
      </c>
      <c r="D890" s="2">
        <f t="shared" si="2"/>
        <v>136206.844</v>
      </c>
      <c r="E890" s="5">
        <f t="shared" si="1"/>
        <v>0.0004818319444</v>
      </c>
    </row>
    <row r="891" ht="15.75" customHeight="1">
      <c r="B891" s="3" t="s">
        <v>534</v>
      </c>
      <c r="C891" s="2">
        <v>175.194</v>
      </c>
      <c r="D891" s="2">
        <f t="shared" si="2"/>
        <v>136382.038</v>
      </c>
      <c r="E891" s="5">
        <f t="shared" si="1"/>
        <v>0.001285408435</v>
      </c>
    </row>
    <row r="892" ht="15.75" customHeight="1">
      <c r="B892" s="3" t="s">
        <v>535</v>
      </c>
      <c r="C892" s="2">
        <v>0.0</v>
      </c>
      <c r="D892" s="2">
        <f t="shared" si="2"/>
        <v>136382.038</v>
      </c>
      <c r="E892" s="5">
        <f t="shared" si="1"/>
        <v>0</v>
      </c>
    </row>
    <row r="893" ht="15.75" customHeight="1">
      <c r="B893" s="3" t="s">
        <v>536</v>
      </c>
      <c r="C893" s="2">
        <v>64.991</v>
      </c>
      <c r="D893" s="2">
        <f t="shared" si="2"/>
        <v>136447.029</v>
      </c>
      <c r="E893" s="5">
        <f t="shared" si="1"/>
        <v>0.0004764228529</v>
      </c>
    </row>
    <row r="894" ht="15.75" customHeight="1">
      <c r="B894" s="3" t="s">
        <v>537</v>
      </c>
      <c r="C894" s="2">
        <v>-85.281</v>
      </c>
      <c r="D894" s="2">
        <f t="shared" si="2"/>
        <v>136361.748</v>
      </c>
      <c r="E894" s="5">
        <f t="shared" si="1"/>
        <v>-0.0006252071778</v>
      </c>
    </row>
    <row r="895" ht="15.75" customHeight="1">
      <c r="B895" s="3" t="s">
        <v>538</v>
      </c>
      <c r="C895" s="2">
        <v>1255.356</v>
      </c>
      <c r="D895" s="2">
        <f t="shared" si="2"/>
        <v>137617.104</v>
      </c>
      <c r="E895" s="5">
        <f t="shared" si="1"/>
        <v>0.009163953904</v>
      </c>
    </row>
    <row r="896" ht="15.75" customHeight="1">
      <c r="B896" s="3" t="s">
        <v>539</v>
      </c>
      <c r="C896" s="2">
        <v>720.141</v>
      </c>
      <c r="D896" s="2">
        <f t="shared" si="2"/>
        <v>138337.245</v>
      </c>
      <c r="E896" s="5">
        <f t="shared" si="1"/>
        <v>0.005219288171</v>
      </c>
    </row>
    <row r="897" ht="15.75" customHeight="1">
      <c r="B897" s="3" t="s">
        <v>540</v>
      </c>
      <c r="C897" s="2">
        <v>-328.022</v>
      </c>
      <c r="D897" s="2">
        <f t="shared" si="2"/>
        <v>138009.223</v>
      </c>
      <c r="E897" s="5">
        <f t="shared" si="1"/>
        <v>-0.002373992014</v>
      </c>
    </row>
    <row r="898" ht="15.75" customHeight="1">
      <c r="B898" s="3" t="s">
        <v>541</v>
      </c>
      <c r="C898" s="2">
        <v>-463.91</v>
      </c>
      <c r="D898" s="2">
        <f t="shared" si="2"/>
        <v>137545.313</v>
      </c>
      <c r="E898" s="5">
        <f t="shared" si="1"/>
        <v>-0.003367104349</v>
      </c>
    </row>
    <row r="899" ht="15.75" customHeight="1">
      <c r="B899" s="3" t="s">
        <v>542</v>
      </c>
      <c r="C899" s="2">
        <v>-332.157</v>
      </c>
      <c r="D899" s="2">
        <f t="shared" si="2"/>
        <v>137213.156</v>
      </c>
      <c r="E899" s="5">
        <f t="shared" si="1"/>
        <v>-0.002417812001</v>
      </c>
    </row>
    <row r="900" ht="15.75" customHeight="1">
      <c r="B900" s="3" t="s">
        <v>543</v>
      </c>
      <c r="C900" s="2">
        <v>-44.079</v>
      </c>
      <c r="D900" s="2">
        <f t="shared" si="2"/>
        <v>137169.077</v>
      </c>
      <c r="E900" s="5">
        <f t="shared" si="1"/>
        <v>-0.0003212963164</v>
      </c>
    </row>
    <row r="901" ht="15.75" customHeight="1">
      <c r="B901" s="3" t="s">
        <v>544</v>
      </c>
      <c r="C901" s="2">
        <v>176.285</v>
      </c>
      <c r="D901" s="2">
        <f t="shared" si="2"/>
        <v>137345.362</v>
      </c>
      <c r="E901" s="5">
        <f t="shared" si="1"/>
        <v>0.001284340633</v>
      </c>
    </row>
    <row r="902" ht="15.75" customHeight="1">
      <c r="B902" s="3" t="s">
        <v>545</v>
      </c>
      <c r="C902" s="2">
        <v>-398.355</v>
      </c>
      <c r="D902" s="2">
        <f t="shared" si="2"/>
        <v>136947.007</v>
      </c>
      <c r="E902" s="5">
        <f t="shared" si="1"/>
        <v>-0.002904603446</v>
      </c>
    </row>
    <row r="903" ht="15.75" customHeight="1">
      <c r="B903" s="3">
        <v>44235.0</v>
      </c>
      <c r="C903" s="2">
        <v>-66.039</v>
      </c>
      <c r="D903" s="2">
        <f t="shared" si="2"/>
        <v>136880.968</v>
      </c>
      <c r="E903" s="5">
        <f t="shared" si="1"/>
        <v>-0.0004823393321</v>
      </c>
    </row>
    <row r="904" ht="15.75" customHeight="1">
      <c r="B904" s="3">
        <v>44263.0</v>
      </c>
      <c r="C904" s="2">
        <v>-21.972</v>
      </c>
      <c r="D904" s="2">
        <f t="shared" si="2"/>
        <v>136858.996</v>
      </c>
      <c r="E904" s="5">
        <f t="shared" si="1"/>
        <v>-0.000160531913</v>
      </c>
    </row>
    <row r="905" ht="15.75" customHeight="1">
      <c r="B905" s="3">
        <v>44294.0</v>
      </c>
      <c r="C905" s="2">
        <v>110.763</v>
      </c>
      <c r="D905" s="2">
        <f t="shared" si="2"/>
        <v>136969.759</v>
      </c>
      <c r="E905" s="5">
        <f t="shared" si="1"/>
        <v>0.0008089947021</v>
      </c>
    </row>
    <row r="906" ht="15.75" customHeight="1">
      <c r="B906" s="3">
        <v>44324.0</v>
      </c>
      <c r="C906" s="2">
        <v>-88.2</v>
      </c>
      <c r="D906" s="2">
        <f t="shared" si="2"/>
        <v>136881.559</v>
      </c>
      <c r="E906" s="5">
        <f t="shared" si="1"/>
        <v>-0.0006441451784</v>
      </c>
    </row>
    <row r="907" ht="15.75" customHeight="1">
      <c r="B907" s="3">
        <v>44355.0</v>
      </c>
      <c r="C907" s="2">
        <v>66.552</v>
      </c>
      <c r="D907" s="2">
        <f t="shared" si="2"/>
        <v>136948.111</v>
      </c>
      <c r="E907" s="5">
        <f t="shared" si="1"/>
        <v>0.0004860832014</v>
      </c>
    </row>
    <row r="908" ht="15.75" customHeight="1">
      <c r="B908" s="3">
        <v>44447.0</v>
      </c>
      <c r="C908" s="2">
        <v>111.119</v>
      </c>
      <c r="D908" s="2">
        <f t="shared" si="2"/>
        <v>137059.23</v>
      </c>
      <c r="E908" s="5">
        <f t="shared" si="1"/>
        <v>0.0008110659056</v>
      </c>
    </row>
    <row r="909" ht="15.75" customHeight="1">
      <c r="B909" s="3">
        <v>44477.0</v>
      </c>
      <c r="C909" s="2">
        <v>0.0</v>
      </c>
      <c r="D909" s="2">
        <f t="shared" si="2"/>
        <v>137059.23</v>
      </c>
      <c r="E909" s="5">
        <f t="shared" si="1"/>
        <v>0</v>
      </c>
    </row>
    <row r="910" ht="15.75" customHeight="1">
      <c r="B910" s="3">
        <v>44508.0</v>
      </c>
      <c r="C910" s="2">
        <v>66.679</v>
      </c>
      <c r="D910" s="2">
        <f t="shared" si="2"/>
        <v>137125.909</v>
      </c>
      <c r="E910" s="5">
        <f t="shared" si="1"/>
        <v>0.0004863793972</v>
      </c>
    </row>
    <row r="911" ht="15.75" customHeight="1">
      <c r="B911" s="3">
        <v>44538.0</v>
      </c>
      <c r="C911" s="2">
        <v>155.975</v>
      </c>
      <c r="D911" s="2">
        <f t="shared" si="2"/>
        <v>137281.884</v>
      </c>
      <c r="E911" s="5">
        <f t="shared" si="1"/>
        <v>0.00113681186</v>
      </c>
    </row>
    <row r="912" ht="15.75" customHeight="1">
      <c r="B912" s="3" t="s">
        <v>546</v>
      </c>
      <c r="C912" s="2">
        <v>357.659</v>
      </c>
      <c r="D912" s="2">
        <f t="shared" si="2"/>
        <v>137639.543</v>
      </c>
      <c r="E912" s="5">
        <f t="shared" si="1"/>
        <v>0.002601901246</v>
      </c>
    </row>
    <row r="913" ht="15.75" customHeight="1">
      <c r="B913" s="3" t="s">
        <v>547</v>
      </c>
      <c r="C913" s="2">
        <v>-156.733</v>
      </c>
      <c r="D913" s="2">
        <f t="shared" si="2"/>
        <v>137482.81</v>
      </c>
      <c r="E913" s="5">
        <f t="shared" si="1"/>
        <v>-0.001139369559</v>
      </c>
    </row>
    <row r="914" ht="15.75" customHeight="1">
      <c r="B914" s="3" t="s">
        <v>548</v>
      </c>
      <c r="C914" s="2">
        <v>-179.598</v>
      </c>
      <c r="D914" s="2">
        <f t="shared" si="2"/>
        <v>137303.212</v>
      </c>
      <c r="E914" s="5">
        <f t="shared" si="1"/>
        <v>-0.001307184581</v>
      </c>
    </row>
    <row r="915" ht="15.75" customHeight="1">
      <c r="B915" s="3" t="s">
        <v>549</v>
      </c>
      <c r="C915" s="2">
        <v>-356.683</v>
      </c>
      <c r="D915" s="2">
        <f t="shared" si="2"/>
        <v>136946.529</v>
      </c>
      <c r="E915" s="5">
        <f t="shared" si="1"/>
        <v>-0.002601156156</v>
      </c>
    </row>
    <row r="916" ht="15.75" customHeight="1">
      <c r="B916" s="3" t="s">
        <v>550</v>
      </c>
      <c r="C916" s="2">
        <v>66.172</v>
      </c>
      <c r="D916" s="2">
        <f t="shared" si="2"/>
        <v>137012.701</v>
      </c>
      <c r="E916" s="5">
        <f t="shared" si="1"/>
        <v>0.0004830791887</v>
      </c>
    </row>
    <row r="917" ht="15.75" customHeight="1">
      <c r="B917" s="3" t="s">
        <v>551</v>
      </c>
      <c r="C917" s="2">
        <v>132.519</v>
      </c>
      <c r="D917" s="2">
        <f t="shared" si="2"/>
        <v>137145.22</v>
      </c>
      <c r="E917" s="5">
        <f t="shared" si="1"/>
        <v>0.0009667348646</v>
      </c>
    </row>
    <row r="918" ht="15.75" customHeight="1">
      <c r="B918" s="3" t="s">
        <v>552</v>
      </c>
      <c r="C918" s="2">
        <v>311.743</v>
      </c>
      <c r="D918" s="2">
        <f t="shared" si="2"/>
        <v>137456.963</v>
      </c>
      <c r="E918" s="5">
        <f t="shared" si="1"/>
        <v>0.002270507325</v>
      </c>
    </row>
    <row r="919" ht="15.75" customHeight="1">
      <c r="B919" s="3" t="s">
        <v>553</v>
      </c>
      <c r="C919" s="2">
        <v>44.918</v>
      </c>
      <c r="D919" s="2">
        <f t="shared" si="2"/>
        <v>137501.881</v>
      </c>
      <c r="E919" s="5">
        <f t="shared" si="1"/>
        <v>0.0003267252637</v>
      </c>
    </row>
    <row r="920" ht="15.75" customHeight="1">
      <c r="B920" s="3" t="s">
        <v>554</v>
      </c>
      <c r="C920" s="2">
        <v>292.408</v>
      </c>
      <c r="D920" s="2">
        <f t="shared" si="2"/>
        <v>137794.289</v>
      </c>
      <c r="E920" s="5">
        <f t="shared" si="1"/>
        <v>0.002124316586</v>
      </c>
    </row>
    <row r="921" ht="15.75" customHeight="1">
      <c r="B921" s="3" t="s">
        <v>555</v>
      </c>
      <c r="C921" s="2">
        <v>157.801</v>
      </c>
      <c r="D921" s="2">
        <f t="shared" si="2"/>
        <v>137952.09</v>
      </c>
      <c r="E921" s="5">
        <f t="shared" si="1"/>
        <v>0.001144537367</v>
      </c>
    </row>
    <row r="922" ht="15.75" customHeight="1">
      <c r="B922" s="3" t="s">
        <v>556</v>
      </c>
      <c r="C922" s="2">
        <v>179.301</v>
      </c>
      <c r="D922" s="2">
        <f t="shared" si="2"/>
        <v>138131.391</v>
      </c>
      <c r="E922" s="5">
        <f t="shared" si="1"/>
        <v>0.00129888992</v>
      </c>
    </row>
    <row r="923" ht="15.75" customHeight="1">
      <c r="B923" s="3" t="s">
        <v>557</v>
      </c>
      <c r="C923" s="2">
        <v>180.885</v>
      </c>
      <c r="D923" s="2">
        <f t="shared" si="2"/>
        <v>138312.276</v>
      </c>
      <c r="E923" s="5">
        <f t="shared" si="1"/>
        <v>0.001308657404</v>
      </c>
    </row>
    <row r="924" ht="15.75" customHeight="1">
      <c r="B924" s="3" t="s">
        <v>558</v>
      </c>
      <c r="C924" s="2">
        <v>0.0</v>
      </c>
      <c r="D924" s="2">
        <f t="shared" si="2"/>
        <v>138312.276</v>
      </c>
      <c r="E924" s="5">
        <f t="shared" si="1"/>
        <v>0</v>
      </c>
    </row>
    <row r="925" ht="15.75" customHeight="1">
      <c r="B925" s="3">
        <v>44205.0</v>
      </c>
      <c r="C925" s="2">
        <v>272.177</v>
      </c>
      <c r="D925" s="2">
        <f t="shared" si="2"/>
        <v>138584.453</v>
      </c>
      <c r="E925" s="5">
        <f t="shared" si="1"/>
        <v>0.001965910458</v>
      </c>
    </row>
    <row r="926" ht="15.75" customHeight="1">
      <c r="B926" s="3">
        <v>44236.0</v>
      </c>
      <c r="C926" s="2">
        <v>272.28</v>
      </c>
      <c r="D926" s="2">
        <f t="shared" si="2"/>
        <v>138856.733</v>
      </c>
      <c r="E926" s="5">
        <f t="shared" si="1"/>
        <v>0.001962795008</v>
      </c>
    </row>
    <row r="927" ht="15.75" customHeight="1">
      <c r="B927" s="3">
        <v>44264.0</v>
      </c>
      <c r="C927" s="2">
        <v>386.886</v>
      </c>
      <c r="D927" s="2">
        <f t="shared" si="2"/>
        <v>139243.619</v>
      </c>
      <c r="E927" s="5">
        <f t="shared" si="1"/>
        <v>0.002782349945</v>
      </c>
    </row>
    <row r="928" ht="15.75" customHeight="1">
      <c r="B928" s="3">
        <v>44386.0</v>
      </c>
      <c r="C928" s="2">
        <v>159.257</v>
      </c>
      <c r="D928" s="2">
        <f t="shared" si="2"/>
        <v>139402.876</v>
      </c>
      <c r="E928" s="5">
        <f t="shared" si="1"/>
        <v>0.001143075691</v>
      </c>
    </row>
    <row r="929" ht="15.75" customHeight="1">
      <c r="B929" s="3">
        <v>44417.0</v>
      </c>
      <c r="C929" s="2">
        <v>181.395</v>
      </c>
      <c r="D929" s="2">
        <f t="shared" si="2"/>
        <v>139584.271</v>
      </c>
      <c r="E929" s="5">
        <f t="shared" si="1"/>
        <v>0.00130038267</v>
      </c>
    </row>
    <row r="930" ht="15.75" customHeight="1">
      <c r="B930" s="3">
        <v>44448.0</v>
      </c>
      <c r="C930" s="2">
        <v>271.743</v>
      </c>
      <c r="D930" s="2">
        <f t="shared" si="2"/>
        <v>139856.014</v>
      </c>
      <c r="E930" s="5">
        <f t="shared" si="1"/>
        <v>0.001944909881</v>
      </c>
    </row>
    <row r="931" ht="15.75" customHeight="1">
      <c r="B931" s="3">
        <v>44478.0</v>
      </c>
      <c r="C931" s="2">
        <v>22.543</v>
      </c>
      <c r="D931" s="2">
        <f t="shared" si="2"/>
        <v>139878.557</v>
      </c>
      <c r="E931" s="5">
        <f t="shared" si="1"/>
        <v>0.0001611742157</v>
      </c>
    </row>
    <row r="932" ht="15.75" customHeight="1">
      <c r="B932" s="3" t="s">
        <v>559</v>
      </c>
      <c r="C932" s="2">
        <v>0.0</v>
      </c>
      <c r="D932" s="2">
        <f t="shared" si="2"/>
        <v>139878.557</v>
      </c>
      <c r="E932" s="5">
        <f t="shared" si="1"/>
        <v>0</v>
      </c>
    </row>
    <row r="933" ht="15.75" customHeight="1">
      <c r="B933" s="3" t="s">
        <v>560</v>
      </c>
      <c r="C933" s="2">
        <v>67.263</v>
      </c>
      <c r="D933" s="2">
        <f t="shared" si="2"/>
        <v>139945.82</v>
      </c>
      <c r="E933" s="5">
        <f t="shared" si="1"/>
        <v>0.0004807515486</v>
      </c>
    </row>
    <row r="934" ht="15.75" customHeight="1">
      <c r="B934" s="3" t="s">
        <v>561</v>
      </c>
      <c r="C934" s="2">
        <v>22.298</v>
      </c>
      <c r="D934" s="2">
        <f t="shared" si="2"/>
        <v>139968.118</v>
      </c>
      <c r="E934" s="5">
        <f t="shared" si="1"/>
        <v>0.0001593203983</v>
      </c>
    </row>
    <row r="935" ht="15.75" customHeight="1">
      <c r="B935" s="3" t="s">
        <v>562</v>
      </c>
      <c r="C935" s="2">
        <v>1079.384</v>
      </c>
      <c r="D935" s="2">
        <f t="shared" si="2"/>
        <v>141047.502</v>
      </c>
      <c r="E935" s="5">
        <f t="shared" si="1"/>
        <v>0.007682059155</v>
      </c>
    </row>
    <row r="936" ht="15.75" customHeight="1">
      <c r="B936" s="3" t="s">
        <v>563</v>
      </c>
      <c r="C936" s="2">
        <v>0.0</v>
      </c>
      <c r="D936" s="2">
        <f t="shared" si="2"/>
        <v>141047.502</v>
      </c>
      <c r="E936" s="5">
        <f t="shared" si="1"/>
        <v>0</v>
      </c>
    </row>
    <row r="937" ht="15.75" customHeight="1">
      <c r="B937" s="3" t="s">
        <v>564</v>
      </c>
      <c r="C937" s="2">
        <v>0.0</v>
      </c>
      <c r="D937" s="2">
        <f t="shared" si="2"/>
        <v>141047.502</v>
      </c>
      <c r="E937" s="5">
        <f t="shared" si="1"/>
        <v>0</v>
      </c>
    </row>
    <row r="938" ht="15.75" customHeight="1">
      <c r="B938" s="3" t="s">
        <v>565</v>
      </c>
      <c r="C938" s="2">
        <v>503.029</v>
      </c>
      <c r="D938" s="2">
        <f t="shared" si="2"/>
        <v>141550.531</v>
      </c>
      <c r="E938" s="5">
        <f t="shared" si="1"/>
        <v>0.003560035616</v>
      </c>
    </row>
    <row r="939" ht="15.75" customHeight="1">
      <c r="B939" s="3" t="s">
        <v>566</v>
      </c>
      <c r="C939" s="2">
        <v>-1879.446</v>
      </c>
      <c r="D939" s="2">
        <f t="shared" si="2"/>
        <v>139671.085</v>
      </c>
      <c r="E939" s="5">
        <f t="shared" si="1"/>
        <v>-0.01336649728</v>
      </c>
    </row>
    <row r="940" ht="15.75" customHeight="1">
      <c r="B940" s="3" t="s">
        <v>567</v>
      </c>
      <c r="C940" s="2">
        <v>0.0</v>
      </c>
      <c r="D940" s="2">
        <f t="shared" si="2"/>
        <v>139671.085</v>
      </c>
      <c r="E940" s="5">
        <f t="shared" si="1"/>
        <v>0</v>
      </c>
    </row>
    <row r="941" ht="15.75" customHeight="1">
      <c r="B941" s="3" t="s">
        <v>568</v>
      </c>
      <c r="C941" s="2">
        <v>-44.661</v>
      </c>
      <c r="D941" s="2">
        <f t="shared" si="2"/>
        <v>139626.424</v>
      </c>
      <c r="E941" s="5">
        <f t="shared" si="1"/>
        <v>-0.0003198095145</v>
      </c>
    </row>
    <row r="942" ht="15.75" customHeight="1">
      <c r="B942" s="3" t="s">
        <v>569</v>
      </c>
      <c r="C942" s="2">
        <v>133.673</v>
      </c>
      <c r="D942" s="2">
        <f t="shared" si="2"/>
        <v>139760.097</v>
      </c>
      <c r="E942" s="5">
        <f t="shared" si="1"/>
        <v>0.0009569037885</v>
      </c>
    </row>
    <row r="943" ht="15.75" customHeight="1">
      <c r="B943" s="3" t="s">
        <v>570</v>
      </c>
      <c r="C943" s="2">
        <v>-4732.308</v>
      </c>
      <c r="D943" s="2">
        <f t="shared" si="2"/>
        <v>135027.789</v>
      </c>
      <c r="E943" s="5">
        <f t="shared" si="1"/>
        <v>-0.03444675817</v>
      </c>
    </row>
    <row r="944" ht="15.75" customHeight="1">
      <c r="B944" s="3" t="s">
        <v>571</v>
      </c>
      <c r="C944" s="2">
        <v>-130.597</v>
      </c>
      <c r="D944" s="2">
        <f t="shared" si="2"/>
        <v>134897.192</v>
      </c>
      <c r="E944" s="5">
        <f t="shared" si="1"/>
        <v>-0.0009676541216</v>
      </c>
    </row>
    <row r="945" ht="15.75" customHeight="1">
      <c r="B945" s="3" t="s">
        <v>572</v>
      </c>
      <c r="C945" s="2">
        <v>327.035</v>
      </c>
      <c r="D945" s="2">
        <f t="shared" si="2"/>
        <v>135224.227</v>
      </c>
      <c r="E945" s="5">
        <f t="shared" si="1"/>
        <v>0.002421393764</v>
      </c>
    </row>
    <row r="946" ht="15.75" customHeight="1">
      <c r="B946" s="3">
        <v>44206.0</v>
      </c>
      <c r="C946" s="2">
        <v>-215.442</v>
      </c>
      <c r="D946" s="2">
        <f t="shared" si="2"/>
        <v>135008.785</v>
      </c>
      <c r="E946" s="5">
        <f t="shared" si="1"/>
        <v>-0.001594490947</v>
      </c>
    </row>
    <row r="947" ht="15.75" customHeight="1">
      <c r="B947" s="3">
        <v>44296.0</v>
      </c>
      <c r="C947" s="2">
        <v>305.085</v>
      </c>
      <c r="D947" s="2">
        <f t="shared" si="2"/>
        <v>135313.87</v>
      </c>
      <c r="E947" s="5">
        <f t="shared" si="1"/>
        <v>0.002257192462</v>
      </c>
    </row>
    <row r="948" ht="15.75" customHeight="1">
      <c r="B948" s="3">
        <v>44326.0</v>
      </c>
      <c r="C948" s="2">
        <v>-236.611</v>
      </c>
      <c r="D948" s="2">
        <f t="shared" si="2"/>
        <v>135077.259</v>
      </c>
      <c r="E948" s="5">
        <f t="shared" si="1"/>
        <v>-0.001750139224</v>
      </c>
    </row>
    <row r="949" ht="15.75" customHeight="1">
      <c r="B949" s="3">
        <v>44357.0</v>
      </c>
      <c r="C949" s="2">
        <v>108.694</v>
      </c>
      <c r="D949" s="2">
        <f t="shared" si="2"/>
        <v>135185.953</v>
      </c>
      <c r="E949" s="5">
        <f t="shared" si="1"/>
        <v>0.0008043566496</v>
      </c>
    </row>
    <row r="950" ht="15.75" customHeight="1">
      <c r="B950" s="3">
        <v>44387.0</v>
      </c>
      <c r="C950" s="2">
        <v>349.25</v>
      </c>
      <c r="D950" s="2">
        <f t="shared" si="2"/>
        <v>135535.203</v>
      </c>
      <c r="E950" s="5">
        <f t="shared" si="1"/>
        <v>0.002580147033</v>
      </c>
    </row>
    <row r="951" ht="15.75" customHeight="1">
      <c r="B951" s="3">
        <v>44418.0</v>
      </c>
      <c r="C951" s="2">
        <v>330.215</v>
      </c>
      <c r="D951" s="2">
        <f t="shared" si="2"/>
        <v>135865.418</v>
      </c>
      <c r="E951" s="5">
        <f t="shared" si="1"/>
        <v>0.00243341494</v>
      </c>
    </row>
    <row r="952" ht="15.75" customHeight="1">
      <c r="B952" s="3">
        <v>44510.0</v>
      </c>
      <c r="C952" s="2">
        <v>0.0</v>
      </c>
      <c r="D952" s="2">
        <f t="shared" si="2"/>
        <v>135865.418</v>
      </c>
      <c r="E952" s="5">
        <f t="shared" si="1"/>
        <v>0</v>
      </c>
    </row>
    <row r="953" ht="15.75" customHeight="1">
      <c r="B953" s="3">
        <v>44540.0</v>
      </c>
      <c r="C953" s="2">
        <v>-130.929</v>
      </c>
      <c r="D953" s="2">
        <f t="shared" si="2"/>
        <v>135734.489</v>
      </c>
      <c r="E953" s="5">
        <f t="shared" si="1"/>
        <v>-0.0009641314799</v>
      </c>
    </row>
    <row r="954" ht="15.75" customHeight="1">
      <c r="B954" s="3" t="s">
        <v>573</v>
      </c>
      <c r="C954" s="2">
        <v>-391.837</v>
      </c>
      <c r="D954" s="2">
        <f t="shared" si="2"/>
        <v>135342.652</v>
      </c>
      <c r="E954" s="5">
        <f t="shared" si="1"/>
        <v>-0.00289096507</v>
      </c>
    </row>
    <row r="955" ht="15.75" customHeight="1">
      <c r="B955" s="3" t="s">
        <v>574</v>
      </c>
      <c r="C955" s="2">
        <v>-414.864</v>
      </c>
      <c r="D955" s="2">
        <f t="shared" si="2"/>
        <v>134927.788</v>
      </c>
      <c r="E955" s="5">
        <f t="shared" si="1"/>
        <v>-0.003069994083</v>
      </c>
    </row>
    <row r="956" ht="15.75" customHeight="1">
      <c r="B956" s="3" t="s">
        <v>575</v>
      </c>
      <c r="C956" s="2">
        <v>22.21</v>
      </c>
      <c r="D956" s="2">
        <f t="shared" si="2"/>
        <v>134949.998</v>
      </c>
      <c r="E956" s="5">
        <f t="shared" si="1"/>
        <v>0.000164593021</v>
      </c>
    </row>
    <row r="957" ht="15.75" customHeight="1">
      <c r="B957" s="3" t="s">
        <v>576</v>
      </c>
      <c r="C957" s="2">
        <v>290.884</v>
      </c>
      <c r="D957" s="2">
        <f t="shared" si="2"/>
        <v>135240.882</v>
      </c>
      <c r="E957" s="5">
        <f t="shared" si="1"/>
        <v>0.002153174914</v>
      </c>
    </row>
    <row r="958" ht="15.75" customHeight="1">
      <c r="B958" s="3" t="s">
        <v>577</v>
      </c>
      <c r="C958" s="2">
        <v>89.805</v>
      </c>
      <c r="D958" s="2">
        <f t="shared" si="2"/>
        <v>135330.687</v>
      </c>
      <c r="E958" s="5">
        <f t="shared" si="1"/>
        <v>0.0006638169977</v>
      </c>
    </row>
    <row r="959" ht="15.75" customHeight="1">
      <c r="B959" s="3" t="s">
        <v>578</v>
      </c>
      <c r="C959" s="2">
        <v>113.087</v>
      </c>
      <c r="D959" s="2">
        <f t="shared" si="2"/>
        <v>135443.774</v>
      </c>
      <c r="E959" s="5">
        <f t="shared" si="1"/>
        <v>0.0008352856186</v>
      </c>
    </row>
    <row r="960" ht="15.75" customHeight="1">
      <c r="B960" s="3" t="s">
        <v>579</v>
      </c>
      <c r="C960" s="2">
        <v>204.305</v>
      </c>
      <c r="D960" s="2">
        <f t="shared" si="2"/>
        <v>135648.079</v>
      </c>
      <c r="E960" s="5">
        <f t="shared" si="1"/>
        <v>0.001507275386</v>
      </c>
    </row>
    <row r="961" ht="15.75" customHeight="1">
      <c r="B961" s="3" t="s">
        <v>580</v>
      </c>
      <c r="C961" s="2">
        <v>751.416</v>
      </c>
      <c r="D961" s="2">
        <f t="shared" si="2"/>
        <v>136399.495</v>
      </c>
      <c r="E961" s="5">
        <f t="shared" si="1"/>
        <v>0.005524165497</v>
      </c>
    </row>
    <row r="962" ht="15.75" customHeight="1">
      <c r="B962" s="3" t="s">
        <v>581</v>
      </c>
      <c r="C962" s="2">
        <v>204.715</v>
      </c>
      <c r="D962" s="2">
        <f t="shared" si="2"/>
        <v>136604.21</v>
      </c>
      <c r="E962" s="5">
        <f t="shared" si="1"/>
        <v>0.001499723517</v>
      </c>
    </row>
    <row r="963" ht="15.75" customHeight="1">
      <c r="B963" s="3" t="s">
        <v>582</v>
      </c>
      <c r="C963" s="2">
        <v>0.0</v>
      </c>
      <c r="D963" s="2">
        <f t="shared" si="2"/>
        <v>136604.21</v>
      </c>
      <c r="E963" s="5">
        <f t="shared" si="1"/>
        <v>0</v>
      </c>
    </row>
    <row r="964" ht="15.75" customHeight="1">
      <c r="B964" s="3" t="s">
        <v>583</v>
      </c>
      <c r="C964" s="2">
        <v>7486.92</v>
      </c>
      <c r="D964" s="2">
        <f t="shared" si="2"/>
        <v>144091.13</v>
      </c>
      <c r="E964" s="5">
        <f t="shared" si="1"/>
        <v>0.05335818006</v>
      </c>
    </row>
    <row r="965" ht="15.75" customHeight="1">
      <c r="B965" s="3" t="s">
        <v>584</v>
      </c>
      <c r="C965" s="2">
        <v>45.561</v>
      </c>
      <c r="D965" s="2">
        <f t="shared" si="2"/>
        <v>144136.691</v>
      </c>
      <c r="E965" s="5">
        <f t="shared" si="1"/>
        <v>0.0003161457504</v>
      </c>
    </row>
    <row r="966" ht="15.75" customHeight="1">
      <c r="B966" s="3" t="s">
        <v>585</v>
      </c>
      <c r="C966" s="2">
        <v>207.05</v>
      </c>
      <c r="D966" s="2">
        <f t="shared" si="2"/>
        <v>144343.741</v>
      </c>
      <c r="E966" s="5">
        <f t="shared" si="1"/>
        <v>0.001435452894</v>
      </c>
    </row>
    <row r="967" ht="15.75" customHeight="1">
      <c r="B967" s="3">
        <v>44207.0</v>
      </c>
      <c r="C967" s="2">
        <v>207.477</v>
      </c>
      <c r="D967" s="2">
        <f t="shared" si="2"/>
        <v>144551.218</v>
      </c>
      <c r="E967" s="5">
        <f t="shared" si="1"/>
        <v>0.001436349297</v>
      </c>
    </row>
    <row r="968" ht="15.75" customHeight="1">
      <c r="B968" s="3">
        <v>44238.0</v>
      </c>
      <c r="C968" s="2">
        <v>184.757</v>
      </c>
      <c r="D968" s="2">
        <f t="shared" si="2"/>
        <v>144735.975</v>
      </c>
      <c r="E968" s="5">
        <f t="shared" si="1"/>
        <v>0.00127732599</v>
      </c>
    </row>
    <row r="969" ht="15.75" customHeight="1">
      <c r="B969" s="3">
        <v>44266.0</v>
      </c>
      <c r="C969" s="2">
        <v>764.931</v>
      </c>
      <c r="D969" s="2">
        <f t="shared" si="2"/>
        <v>145500.906</v>
      </c>
      <c r="E969" s="5">
        <f t="shared" si="1"/>
        <v>0.005271092829</v>
      </c>
    </row>
    <row r="970" ht="15.75" customHeight="1">
      <c r="B970" s="3">
        <v>44297.0</v>
      </c>
      <c r="C970" s="2">
        <v>116.647</v>
      </c>
      <c r="D970" s="2">
        <f t="shared" si="2"/>
        <v>145617.553</v>
      </c>
      <c r="E970" s="5">
        <f t="shared" si="1"/>
        <v>0.0008013714187</v>
      </c>
    </row>
    <row r="971" ht="15.75" customHeight="1">
      <c r="B971" s="3">
        <v>44327.0</v>
      </c>
      <c r="C971" s="2">
        <v>117.152</v>
      </c>
      <c r="D971" s="2">
        <f t="shared" si="2"/>
        <v>145734.705</v>
      </c>
      <c r="E971" s="5">
        <f t="shared" si="1"/>
        <v>0.0008041949434</v>
      </c>
    </row>
    <row r="972" ht="15.75" customHeight="1">
      <c r="B972" s="3">
        <v>44419.0</v>
      </c>
      <c r="C972" s="2">
        <v>70.56</v>
      </c>
      <c r="D972" s="2">
        <f t="shared" si="2"/>
        <v>145805.265</v>
      </c>
      <c r="E972" s="5">
        <f t="shared" si="1"/>
        <v>0.0004840502754</v>
      </c>
    </row>
    <row r="973" ht="15.75" customHeight="1">
      <c r="B973" s="3">
        <v>44450.0</v>
      </c>
      <c r="C973" s="2">
        <v>306.032</v>
      </c>
      <c r="D973" s="2">
        <f t="shared" si="2"/>
        <v>146111.297</v>
      </c>
      <c r="E973" s="5">
        <f t="shared" si="1"/>
        <v>0.002096709485</v>
      </c>
    </row>
    <row r="974" ht="15.75" customHeight="1">
      <c r="B974" s="3">
        <v>44480.0</v>
      </c>
      <c r="C974" s="2">
        <v>46.921</v>
      </c>
      <c r="D974" s="2">
        <f t="shared" si="2"/>
        <v>146158.218</v>
      </c>
      <c r="E974" s="5">
        <f t="shared" si="1"/>
        <v>0.000321080359</v>
      </c>
    </row>
    <row r="975" ht="15.75" customHeight="1">
      <c r="B975" s="3">
        <v>44511.0</v>
      </c>
      <c r="C975" s="2">
        <v>372.361</v>
      </c>
      <c r="D975" s="2">
        <f t="shared" si="2"/>
        <v>146530.579</v>
      </c>
      <c r="E975" s="5">
        <f t="shared" si="1"/>
        <v>0.002544417174</v>
      </c>
    </row>
    <row r="976" ht="15.75" customHeight="1">
      <c r="B976" s="3">
        <v>44541.0</v>
      </c>
      <c r="C976" s="2">
        <v>582.133</v>
      </c>
      <c r="D976" s="2">
        <f t="shared" si="2"/>
        <v>147112.712</v>
      </c>
      <c r="E976" s="5">
        <f t="shared" si="1"/>
        <v>0.003964904225</v>
      </c>
    </row>
    <row r="977" ht="15.75" customHeight="1">
      <c r="B977" s="3" t="s">
        <v>586</v>
      </c>
      <c r="C977" s="2">
        <v>0.0</v>
      </c>
      <c r="D977" s="2">
        <f t="shared" si="2"/>
        <v>147112.712</v>
      </c>
      <c r="E977" s="5">
        <f t="shared" si="1"/>
        <v>0</v>
      </c>
    </row>
    <row r="978" ht="15.75" customHeight="1">
      <c r="B978" s="3" t="s">
        <v>587</v>
      </c>
      <c r="C978" s="2">
        <v>0.0</v>
      </c>
      <c r="D978" s="2">
        <f t="shared" si="2"/>
        <v>147112.712</v>
      </c>
      <c r="E978" s="5">
        <f t="shared" si="1"/>
        <v>0</v>
      </c>
    </row>
    <row r="979" ht="15.75" customHeight="1">
      <c r="B979" s="3" t="s">
        <v>588</v>
      </c>
      <c r="C979" s="2">
        <v>306.128</v>
      </c>
      <c r="D979" s="2">
        <f t="shared" si="2"/>
        <v>147418.84</v>
      </c>
      <c r="E979" s="5">
        <f t="shared" si="1"/>
        <v>0.002078745779</v>
      </c>
    </row>
    <row r="980" ht="15.75" customHeight="1">
      <c r="B980" s="3" t="s">
        <v>589</v>
      </c>
      <c r="C980" s="2">
        <v>1104.112</v>
      </c>
      <c r="D980" s="2">
        <f t="shared" si="2"/>
        <v>148522.952</v>
      </c>
      <c r="E980" s="5">
        <f t="shared" si="1"/>
        <v>0.007461718167</v>
      </c>
    </row>
    <row r="981" ht="15.75" customHeight="1">
      <c r="B981" s="3" t="s">
        <v>590</v>
      </c>
      <c r="C981" s="2">
        <v>-23.573</v>
      </c>
      <c r="D981" s="2">
        <f t="shared" si="2"/>
        <v>148499.379</v>
      </c>
      <c r="E981" s="5">
        <f t="shared" si="1"/>
        <v>-0.0001587288065</v>
      </c>
    </row>
    <row r="982" ht="15.75" customHeight="1">
      <c r="B982" s="3" t="s">
        <v>591</v>
      </c>
      <c r="C982" s="2">
        <v>235.409</v>
      </c>
      <c r="D982" s="2">
        <f t="shared" si="2"/>
        <v>148734.788</v>
      </c>
      <c r="E982" s="5">
        <f t="shared" si="1"/>
        <v>0.001583997234</v>
      </c>
    </row>
    <row r="983" ht="15.75" customHeight="1">
      <c r="B983" s="3" t="s">
        <v>592</v>
      </c>
      <c r="C983" s="2">
        <v>117.339</v>
      </c>
      <c r="D983" s="2">
        <f t="shared" si="2"/>
        <v>148852.127</v>
      </c>
      <c r="E983" s="5">
        <f t="shared" si="1"/>
        <v>0.0007886032629</v>
      </c>
    </row>
    <row r="984" ht="15.75" customHeight="1">
      <c r="B984" s="3" t="s">
        <v>593</v>
      </c>
      <c r="C984" s="2">
        <v>-1034.301</v>
      </c>
      <c r="D984" s="2">
        <f t="shared" si="2"/>
        <v>147817.826</v>
      </c>
      <c r="E984" s="5">
        <f t="shared" si="1"/>
        <v>-0.006972766741</v>
      </c>
    </row>
    <row r="985" ht="15.75" customHeight="1">
      <c r="B985" s="3" t="s">
        <v>594</v>
      </c>
      <c r="C985" s="2">
        <v>518.359</v>
      </c>
      <c r="D985" s="2">
        <f t="shared" si="2"/>
        <v>148336.185</v>
      </c>
      <c r="E985" s="5">
        <f t="shared" si="1"/>
        <v>0.00350060786</v>
      </c>
    </row>
    <row r="986" ht="15.75" customHeight="1">
      <c r="B986" s="3" t="s">
        <v>595</v>
      </c>
      <c r="C986" s="2">
        <v>-184.215</v>
      </c>
      <c r="D986" s="2">
        <f t="shared" si="2"/>
        <v>148151.97</v>
      </c>
      <c r="E986" s="5">
        <f t="shared" si="1"/>
        <v>-0.001242646767</v>
      </c>
    </row>
    <row r="987" ht="15.75" customHeight="1">
      <c r="B987" s="3" t="s">
        <v>596</v>
      </c>
      <c r="C987" s="2">
        <v>466.644</v>
      </c>
      <c r="D987" s="2">
        <f t="shared" si="2"/>
        <v>148618.614</v>
      </c>
      <c r="E987" s="5">
        <f t="shared" si="1"/>
        <v>0.003144815624</v>
      </c>
    </row>
    <row r="988" ht="15.75" customHeight="1">
      <c r="B988" s="3">
        <v>44208.0</v>
      </c>
      <c r="C988" s="2">
        <v>274.714</v>
      </c>
      <c r="D988" s="2">
        <f t="shared" si="2"/>
        <v>148893.328</v>
      </c>
      <c r="E988" s="5">
        <f t="shared" si="1"/>
        <v>0.001846743201</v>
      </c>
    </row>
    <row r="989" ht="15.75" customHeight="1">
      <c r="B989" s="3">
        <v>44239.0</v>
      </c>
      <c r="C989" s="2">
        <v>859.722</v>
      </c>
      <c r="D989" s="2">
        <f t="shared" si="2"/>
        <v>149753.05</v>
      </c>
      <c r="E989" s="5">
        <f t="shared" si="1"/>
        <v>0.005757473977</v>
      </c>
    </row>
    <row r="990" ht="15.75" customHeight="1">
      <c r="B990" s="3">
        <v>44267.0</v>
      </c>
      <c r="C990" s="2">
        <v>1514.629</v>
      </c>
      <c r="D990" s="2">
        <f t="shared" si="2"/>
        <v>151267.679</v>
      </c>
      <c r="E990" s="5">
        <f t="shared" si="1"/>
        <v>0.01006337196</v>
      </c>
    </row>
    <row r="991" ht="15.75" customHeight="1">
      <c r="B991" s="3">
        <v>44359.0</v>
      </c>
      <c r="C991" s="2">
        <v>250.317</v>
      </c>
      <c r="D991" s="2">
        <f t="shared" si="2"/>
        <v>151517.996</v>
      </c>
      <c r="E991" s="5">
        <f t="shared" si="1"/>
        <v>0.001653427343</v>
      </c>
    </row>
    <row r="992" ht="15.75" customHeight="1">
      <c r="B992" s="3">
        <v>44389.0</v>
      </c>
      <c r="C992" s="2">
        <v>69.071</v>
      </c>
      <c r="D992" s="2">
        <f t="shared" si="2"/>
        <v>151587.067</v>
      </c>
      <c r="E992" s="5">
        <f t="shared" si="1"/>
        <v>0.0004557561692</v>
      </c>
    </row>
    <row r="993" ht="15.75" customHeight="1">
      <c r="B993" s="3">
        <v>44420.0</v>
      </c>
      <c r="C993" s="2">
        <v>1527.54</v>
      </c>
      <c r="D993" s="2">
        <f t="shared" si="2"/>
        <v>153114.607</v>
      </c>
      <c r="E993" s="5">
        <f t="shared" si="1"/>
        <v>0.0100265468</v>
      </c>
    </row>
    <row r="994" ht="15.75" customHeight="1">
      <c r="B994" s="3">
        <v>44451.0</v>
      </c>
      <c r="C994" s="2">
        <v>-1555.857</v>
      </c>
      <c r="D994" s="2">
        <f t="shared" si="2"/>
        <v>151558.75</v>
      </c>
      <c r="E994" s="5">
        <f t="shared" si="1"/>
        <v>-0.01021336778</v>
      </c>
    </row>
    <row r="995" ht="15.75" customHeight="1">
      <c r="B995" s="3">
        <v>44481.0</v>
      </c>
      <c r="C995" s="2">
        <v>2036.423</v>
      </c>
      <c r="D995" s="2">
        <f t="shared" si="2"/>
        <v>153595.173</v>
      </c>
      <c r="E995" s="5">
        <f t="shared" si="1"/>
        <v>0.01334705588</v>
      </c>
    </row>
    <row r="996" ht="15.75" customHeight="1">
      <c r="B996" s="3" t="s">
        <v>597</v>
      </c>
      <c r="C996" s="2">
        <v>307.202</v>
      </c>
      <c r="D996" s="2">
        <f t="shared" si="2"/>
        <v>153902.375</v>
      </c>
      <c r="E996" s="5">
        <f t="shared" si="1"/>
        <v>0.001998078386</v>
      </c>
    </row>
    <row r="997" ht="15.75" customHeight="1">
      <c r="B997" s="3" t="s">
        <v>598</v>
      </c>
      <c r="C997" s="2">
        <v>1237.046</v>
      </c>
      <c r="D997" s="2">
        <f t="shared" si="2"/>
        <v>155139.421</v>
      </c>
      <c r="E997" s="5">
        <f t="shared" si="1"/>
        <v>0.008005730118</v>
      </c>
    </row>
    <row r="998" ht="15.75" customHeight="1">
      <c r="B998" s="3" t="s">
        <v>599</v>
      </c>
      <c r="C998" s="2">
        <v>-5699.714</v>
      </c>
      <c r="D998" s="2">
        <f t="shared" si="2"/>
        <v>149439.707</v>
      </c>
      <c r="E998" s="5">
        <f t="shared" si="1"/>
        <v>-0.03743118912</v>
      </c>
    </row>
    <row r="999" ht="15.75" customHeight="1">
      <c r="B999" s="3" t="s">
        <v>600</v>
      </c>
      <c r="C999" s="2">
        <v>-730.013</v>
      </c>
      <c r="D999" s="2">
        <f t="shared" si="2"/>
        <v>148709.694</v>
      </c>
      <c r="E999" s="5">
        <f t="shared" si="1"/>
        <v>-0.004896970823</v>
      </c>
    </row>
    <row r="1000" ht="15.75" customHeight="1">
      <c r="B1000" s="3" t="s">
        <v>601</v>
      </c>
      <c r="C1000" s="2">
        <v>2871.299</v>
      </c>
      <c r="D1000" s="2">
        <f t="shared" si="2"/>
        <v>151580.993</v>
      </c>
      <c r="E1000" s="5">
        <f t="shared" si="1"/>
        <v>0.01912404636</v>
      </c>
    </row>
    <row r="1001" ht="15.75" customHeight="1">
      <c r="B1001" s="3" t="s">
        <v>602</v>
      </c>
      <c r="C1001" s="2">
        <v>231.05</v>
      </c>
      <c r="D1001" s="2">
        <f t="shared" si="2"/>
        <v>151812.043</v>
      </c>
      <c r="E1001" s="5">
        <f t="shared" si="1"/>
        <v>0.001523107107</v>
      </c>
    </row>
    <row r="1002" ht="15.75" customHeight="1">
      <c r="B1002" s="3" t="s">
        <v>603</v>
      </c>
      <c r="C1002" s="2">
        <v>708.103</v>
      </c>
      <c r="D1002" s="2">
        <f t="shared" si="2"/>
        <v>152520.146</v>
      </c>
      <c r="E1002" s="5">
        <f t="shared" si="1"/>
        <v>0.004653495775</v>
      </c>
    </row>
    <row r="1003" ht="15.75" customHeight="1">
      <c r="B1003" s="3" t="s">
        <v>604</v>
      </c>
      <c r="C1003" s="2">
        <v>-2789.986</v>
      </c>
      <c r="D1003" s="2">
        <f t="shared" si="2"/>
        <v>149730.16</v>
      </c>
      <c r="E1003" s="5">
        <f t="shared" si="1"/>
        <v>-0.0184619515</v>
      </c>
    </row>
    <row r="1004" ht="15.75" customHeight="1">
      <c r="B1004" s="3" t="s">
        <v>605</v>
      </c>
      <c r="C1004" s="2">
        <v>328.847</v>
      </c>
      <c r="D1004" s="2">
        <f t="shared" si="2"/>
        <v>150059.007</v>
      </c>
      <c r="E1004" s="5">
        <f t="shared" si="1"/>
        <v>0.002193856003</v>
      </c>
    </row>
    <row r="1005" ht="15.75" customHeight="1">
      <c r="B1005" s="3" t="s">
        <v>606</v>
      </c>
      <c r="C1005" s="2">
        <v>709.067</v>
      </c>
      <c r="D1005" s="2">
        <f t="shared" si="2"/>
        <v>150768.074</v>
      </c>
      <c r="E1005" s="5">
        <f t="shared" si="1"/>
        <v>0.004714125542</v>
      </c>
    </row>
    <row r="1006" ht="15.75" customHeight="1">
      <c r="B1006" s="3" t="s">
        <v>607</v>
      </c>
      <c r="C1006" s="2">
        <v>790.793</v>
      </c>
      <c r="D1006" s="2">
        <f t="shared" si="2"/>
        <v>151558.867</v>
      </c>
      <c r="E1006" s="5">
        <f t="shared" si="1"/>
        <v>0.005231388251</v>
      </c>
    </row>
    <row r="1007" ht="15.75" customHeight="1">
      <c r="B1007" s="3" t="s">
        <v>608</v>
      </c>
      <c r="C1007" s="2">
        <v>167.574</v>
      </c>
      <c r="D1007" s="2">
        <f t="shared" si="2"/>
        <v>151726.441</v>
      </c>
      <c r="E1007" s="5">
        <f t="shared" si="1"/>
        <v>0.001105058588</v>
      </c>
    </row>
    <row r="1008" ht="15.75" customHeight="1">
      <c r="B1008" s="3" t="s">
        <v>609</v>
      </c>
      <c r="C1008" s="2">
        <v>-431.51</v>
      </c>
      <c r="D1008" s="2">
        <f t="shared" si="2"/>
        <v>151294.931</v>
      </c>
      <c r="E1008" s="5">
        <f t="shared" si="1"/>
        <v>-0.002848051864</v>
      </c>
    </row>
    <row r="1009" ht="15.75" customHeight="1">
      <c r="B1009" s="3" t="s">
        <v>610</v>
      </c>
      <c r="C1009" s="2">
        <v>597.583</v>
      </c>
      <c r="D1009" s="2">
        <f t="shared" si="2"/>
        <v>151892.514</v>
      </c>
      <c r="E1009" s="5">
        <f t="shared" si="1"/>
        <v>0.003942008706</v>
      </c>
    </row>
    <row r="1010" ht="15.75" customHeight="1">
      <c r="B1010" s="3">
        <v>44621.0</v>
      </c>
      <c r="C1010" s="2">
        <v>2431.845</v>
      </c>
      <c r="D1010" s="2">
        <f t="shared" si="2"/>
        <v>154324.359</v>
      </c>
      <c r="E1010" s="5">
        <f t="shared" si="1"/>
        <v>0.01588348873</v>
      </c>
    </row>
    <row r="1011" ht="15.75" customHeight="1">
      <c r="B1011" s="3">
        <v>44652.0</v>
      </c>
      <c r="C1011" s="2">
        <v>215.942</v>
      </c>
      <c r="D1011" s="2">
        <f t="shared" si="2"/>
        <v>154540.301</v>
      </c>
      <c r="E1011" s="5">
        <f t="shared" si="1"/>
        <v>0.00139829552</v>
      </c>
    </row>
    <row r="1012" ht="15.75" customHeight="1">
      <c r="B1012" s="3">
        <v>44682.0</v>
      </c>
      <c r="C1012" s="2">
        <v>-1774.515</v>
      </c>
      <c r="D1012" s="2">
        <f t="shared" si="2"/>
        <v>152765.786</v>
      </c>
      <c r="E1012" s="5">
        <f t="shared" si="1"/>
        <v>-0.01154897217</v>
      </c>
    </row>
    <row r="1013" ht="15.75" customHeight="1">
      <c r="B1013" s="3">
        <v>44713.0</v>
      </c>
      <c r="C1013" s="2">
        <v>329.233</v>
      </c>
      <c r="D1013" s="2">
        <f t="shared" si="2"/>
        <v>153095.019</v>
      </c>
      <c r="E1013" s="5">
        <f t="shared" si="1"/>
        <v>0.002152829796</v>
      </c>
    </row>
    <row r="1014" ht="15.75" customHeight="1">
      <c r="B1014" s="3">
        <v>44743.0</v>
      </c>
      <c r="C1014" s="2">
        <v>-986.814</v>
      </c>
      <c r="D1014" s="2">
        <f t="shared" si="2"/>
        <v>152108.205</v>
      </c>
      <c r="E1014" s="5">
        <f t="shared" si="1"/>
        <v>-0.00646662526</v>
      </c>
    </row>
    <row r="1015" ht="15.75" customHeight="1">
      <c r="B1015" s="3">
        <v>44835.0</v>
      </c>
      <c r="C1015" s="2">
        <v>-702.142</v>
      </c>
      <c r="D1015" s="2">
        <f t="shared" si="2"/>
        <v>151406.063</v>
      </c>
      <c r="E1015" s="5">
        <f t="shared" si="1"/>
        <v>-0.004626756147</v>
      </c>
    </row>
    <row r="1016" ht="15.75" customHeight="1">
      <c r="B1016" s="3">
        <v>44866.0</v>
      </c>
      <c r="C1016" s="2">
        <v>93.484</v>
      </c>
      <c r="D1016" s="2">
        <f t="shared" si="2"/>
        <v>151499.547</v>
      </c>
      <c r="E1016" s="5">
        <f t="shared" si="1"/>
        <v>0.0006172484093</v>
      </c>
    </row>
    <row r="1017" ht="15.75" customHeight="1">
      <c r="B1017" s="3">
        <v>44896.0</v>
      </c>
      <c r="C1017" s="2">
        <v>141.511</v>
      </c>
      <c r="D1017" s="2">
        <f t="shared" si="2"/>
        <v>151641.058</v>
      </c>
      <c r="E1017" s="5">
        <f t="shared" si="1"/>
        <v>0.0009336328288</v>
      </c>
    </row>
    <row r="1018" ht="15.75" customHeight="1">
      <c r="B1018" s="3" t="s">
        <v>611</v>
      </c>
      <c r="C1018" s="2">
        <v>141.911</v>
      </c>
      <c r="D1018" s="2">
        <f t="shared" si="2"/>
        <v>151782.969</v>
      </c>
      <c r="E1018" s="5">
        <f t="shared" si="1"/>
        <v>0.0009353973168</v>
      </c>
    </row>
    <row r="1019" ht="15.75" customHeight="1">
      <c r="B1019" s="3" t="s">
        <v>612</v>
      </c>
      <c r="C1019" s="2">
        <v>-23.318</v>
      </c>
      <c r="D1019" s="2">
        <f t="shared" si="2"/>
        <v>151759.651</v>
      </c>
      <c r="E1019" s="5">
        <f t="shared" si="1"/>
        <v>-0.0001536390511</v>
      </c>
    </row>
    <row r="1020" ht="15.75" customHeight="1">
      <c r="B1020" s="3" t="s">
        <v>613</v>
      </c>
      <c r="C1020" s="2">
        <v>-1236.865</v>
      </c>
      <c r="D1020" s="2">
        <f t="shared" si="2"/>
        <v>150522.786</v>
      </c>
      <c r="E1020" s="5">
        <f t="shared" si="1"/>
        <v>-0.008183551218</v>
      </c>
    </row>
    <row r="1021" ht="15.75" customHeight="1">
      <c r="B1021" s="3" t="s">
        <v>614</v>
      </c>
      <c r="C1021" s="2">
        <v>45.817</v>
      </c>
      <c r="D1021" s="2">
        <f t="shared" si="2"/>
        <v>150568.603</v>
      </c>
      <c r="E1021" s="5">
        <f t="shared" si="1"/>
        <v>0.0003043394931</v>
      </c>
    </row>
    <row r="1022" ht="15.75" customHeight="1">
      <c r="B1022" s="3" t="s">
        <v>615</v>
      </c>
      <c r="C1022" s="2">
        <v>-703.288</v>
      </c>
      <c r="D1022" s="2">
        <f t="shared" si="2"/>
        <v>149865.315</v>
      </c>
      <c r="E1022" s="5">
        <f t="shared" si="1"/>
        <v>-0.004681823473</v>
      </c>
    </row>
    <row r="1023" ht="15.75" customHeight="1">
      <c r="B1023" s="3" t="s">
        <v>616</v>
      </c>
      <c r="C1023" s="2">
        <v>-157.066</v>
      </c>
      <c r="D1023" s="2">
        <f t="shared" si="2"/>
        <v>149708.249</v>
      </c>
      <c r="E1023" s="5">
        <f t="shared" si="1"/>
        <v>-0.001048597295</v>
      </c>
    </row>
    <row r="1024" ht="15.75" customHeight="1">
      <c r="B1024" s="3" t="s">
        <v>617</v>
      </c>
      <c r="C1024" s="2">
        <v>-242.152</v>
      </c>
      <c r="D1024" s="2">
        <f t="shared" si="2"/>
        <v>149466.097</v>
      </c>
      <c r="E1024" s="5">
        <f t="shared" si="1"/>
        <v>-0.001618802254</v>
      </c>
    </row>
    <row r="1025" ht="15.75" customHeight="1">
      <c r="B1025" s="3" t="s">
        <v>618</v>
      </c>
      <c r="C1025" s="2">
        <v>-220.747</v>
      </c>
      <c r="D1025" s="2">
        <f t="shared" si="2"/>
        <v>149245.35</v>
      </c>
      <c r="E1025" s="5">
        <f t="shared" si="1"/>
        <v>-0.001477995185</v>
      </c>
    </row>
    <row r="1026" ht="15.75" customHeight="1">
      <c r="B1026" s="3" t="s">
        <v>619</v>
      </c>
      <c r="C1026" s="2">
        <v>675.989</v>
      </c>
      <c r="D1026" s="2">
        <f t="shared" si="2"/>
        <v>149921.339</v>
      </c>
      <c r="E1026" s="5">
        <f t="shared" si="1"/>
        <v>0.004519153872</v>
      </c>
    </row>
    <row r="1027" ht="15.75" customHeight="1">
      <c r="B1027" s="3" t="s">
        <v>620</v>
      </c>
      <c r="C1027" s="2">
        <v>174.19</v>
      </c>
      <c r="D1027" s="2">
        <f t="shared" si="2"/>
        <v>150095.529</v>
      </c>
      <c r="E1027" s="5">
        <f t="shared" si="1"/>
        <v>0.001161201507</v>
      </c>
    </row>
    <row r="1028" ht="15.75" customHeight="1">
      <c r="B1028" s="3" t="s">
        <v>621</v>
      </c>
      <c r="C1028" s="2">
        <v>2360.711</v>
      </c>
      <c r="D1028" s="2">
        <f t="shared" si="2"/>
        <v>152456.24</v>
      </c>
      <c r="E1028" s="5">
        <f t="shared" si="1"/>
        <v>0.01560565266</v>
      </c>
    </row>
    <row r="1029" ht="15.75" customHeight="1">
      <c r="B1029" s="3" t="s">
        <v>622</v>
      </c>
      <c r="C1029" s="2">
        <v>488.131</v>
      </c>
      <c r="D1029" s="2">
        <f t="shared" si="2"/>
        <v>152944.371</v>
      </c>
      <c r="E1029" s="5">
        <f t="shared" si="1"/>
        <v>0.003196662993</v>
      </c>
    </row>
    <row r="1030" ht="15.75" customHeight="1">
      <c r="B1030" s="3">
        <v>44563.0</v>
      </c>
      <c r="C1030" s="2">
        <v>384.323</v>
      </c>
      <c r="D1030" s="2">
        <f t="shared" si="2"/>
        <v>153328.694</v>
      </c>
      <c r="E1030" s="5">
        <f t="shared" si="1"/>
        <v>0.002509676793</v>
      </c>
    </row>
    <row r="1031" ht="15.75" customHeight="1">
      <c r="B1031" s="3">
        <v>44594.0</v>
      </c>
      <c r="C1031" s="2">
        <v>-796.686</v>
      </c>
      <c r="D1031" s="2">
        <f t="shared" si="2"/>
        <v>152532.008</v>
      </c>
      <c r="E1031" s="5">
        <f t="shared" si="1"/>
        <v>-0.005209481287</v>
      </c>
    </row>
    <row r="1032" ht="15.75" customHeight="1">
      <c r="B1032" s="3">
        <v>44622.0</v>
      </c>
      <c r="C1032" s="2">
        <v>-183.817</v>
      </c>
      <c r="D1032" s="2">
        <f t="shared" si="2"/>
        <v>152348.191</v>
      </c>
      <c r="E1032" s="5">
        <f t="shared" si="1"/>
        <v>-0.001205831162</v>
      </c>
    </row>
    <row r="1033" ht="15.75" customHeight="1">
      <c r="B1033" s="3">
        <v>44653.0</v>
      </c>
      <c r="C1033" s="2">
        <v>4662.9</v>
      </c>
      <c r="D1033" s="2">
        <f t="shared" si="2"/>
        <v>157011.091</v>
      </c>
      <c r="E1033" s="5">
        <f t="shared" si="1"/>
        <v>0.03014781478</v>
      </c>
    </row>
    <row r="1034" ht="15.75" customHeight="1">
      <c r="B1034" s="3">
        <v>44744.0</v>
      </c>
      <c r="C1034" s="2">
        <v>67.611</v>
      </c>
      <c r="D1034" s="2">
        <f t="shared" si="2"/>
        <v>157078.702</v>
      </c>
      <c r="E1034" s="5">
        <f t="shared" si="1"/>
        <v>0.0004305202051</v>
      </c>
    </row>
    <row r="1035" ht="15.75" customHeight="1">
      <c r="B1035" s="3">
        <v>44775.0</v>
      </c>
      <c r="C1035" s="2">
        <v>-22.454</v>
      </c>
      <c r="D1035" s="2">
        <f t="shared" si="2"/>
        <v>157056.248</v>
      </c>
      <c r="E1035" s="5">
        <f t="shared" si="1"/>
        <v>-0.0001429576686</v>
      </c>
    </row>
    <row r="1036" ht="15.75" customHeight="1">
      <c r="B1036" s="3">
        <v>44806.0</v>
      </c>
      <c r="C1036" s="2">
        <v>181.145</v>
      </c>
      <c r="D1036" s="2">
        <f t="shared" si="2"/>
        <v>157237.393</v>
      </c>
      <c r="E1036" s="5">
        <f t="shared" si="1"/>
        <v>0.001152711964</v>
      </c>
    </row>
    <row r="1037" ht="15.75" customHeight="1">
      <c r="B1037" s="3">
        <v>44836.0</v>
      </c>
      <c r="C1037" s="2">
        <v>5444.999</v>
      </c>
      <c r="D1037" s="2">
        <f t="shared" si="2"/>
        <v>162682.392</v>
      </c>
      <c r="E1037" s="5">
        <f t="shared" si="1"/>
        <v>0.03404306398</v>
      </c>
    </row>
    <row r="1038" ht="15.75" customHeight="1">
      <c r="B1038" s="3">
        <v>44867.0</v>
      </c>
      <c r="C1038" s="2">
        <v>67.684</v>
      </c>
      <c r="D1038" s="2">
        <f t="shared" si="2"/>
        <v>162750.076</v>
      </c>
      <c r="E1038" s="5">
        <f t="shared" si="1"/>
        <v>0.0004159634187</v>
      </c>
    </row>
    <row r="1039" ht="15.75" customHeight="1">
      <c r="B1039" s="3" t="s">
        <v>623</v>
      </c>
      <c r="C1039" s="2">
        <v>442.684</v>
      </c>
      <c r="D1039" s="2">
        <f t="shared" si="2"/>
        <v>163192.76</v>
      </c>
      <c r="E1039" s="5">
        <f t="shared" si="1"/>
        <v>0.002716330738</v>
      </c>
    </row>
    <row r="1040" ht="15.75" customHeight="1">
      <c r="B1040" s="3" t="s">
        <v>624</v>
      </c>
      <c r="C1040" s="2">
        <v>44.102</v>
      </c>
      <c r="D1040" s="2">
        <f t="shared" si="2"/>
        <v>163236.862</v>
      </c>
      <c r="E1040" s="5">
        <f t="shared" si="1"/>
        <v>0.0002702083224</v>
      </c>
    </row>
    <row r="1041" ht="15.75" customHeight="1">
      <c r="B1041" s="3" t="s">
        <v>625</v>
      </c>
      <c r="C1041" s="2">
        <v>-291.214</v>
      </c>
      <c r="D1041" s="2">
        <f t="shared" si="2"/>
        <v>162945.648</v>
      </c>
      <c r="E1041" s="5">
        <f t="shared" si="1"/>
        <v>-0.001785589775</v>
      </c>
    </row>
    <row r="1042" ht="15.75" customHeight="1">
      <c r="B1042" s="3" t="s">
        <v>626</v>
      </c>
      <c r="C1042" s="2">
        <v>-67.271</v>
      </c>
      <c r="D1042" s="2">
        <f t="shared" si="2"/>
        <v>162878.377</v>
      </c>
      <c r="E1042" s="5">
        <f t="shared" si="1"/>
        <v>-0.0004129284264</v>
      </c>
    </row>
    <row r="1043" ht="15.75" customHeight="1">
      <c r="B1043" s="3" t="s">
        <v>627</v>
      </c>
      <c r="C1043" s="2">
        <v>-87.807</v>
      </c>
      <c r="D1043" s="2">
        <f t="shared" si="2"/>
        <v>162790.57</v>
      </c>
      <c r="E1043" s="5">
        <f t="shared" si="1"/>
        <v>-0.0005392408637</v>
      </c>
    </row>
    <row r="1044" ht="15.75" customHeight="1">
      <c r="B1044" s="3" t="s">
        <v>628</v>
      </c>
      <c r="C1044" s="2">
        <v>-87.19</v>
      </c>
      <c r="D1044" s="2">
        <f t="shared" si="2"/>
        <v>162703.38</v>
      </c>
      <c r="E1044" s="5">
        <f t="shared" si="1"/>
        <v>-0.0005357396172</v>
      </c>
    </row>
    <row r="1045" ht="15.75" customHeight="1">
      <c r="B1045" s="3" t="s">
        <v>629</v>
      </c>
      <c r="C1045" s="2">
        <v>0.0</v>
      </c>
      <c r="D1045" s="2">
        <f t="shared" si="2"/>
        <v>162703.38</v>
      </c>
      <c r="E1045" s="5">
        <f t="shared" si="1"/>
        <v>0</v>
      </c>
    </row>
    <row r="1046" ht="15.75" customHeight="1">
      <c r="B1046" s="3" t="s">
        <v>630</v>
      </c>
      <c r="C1046" s="2">
        <v>-635.387</v>
      </c>
      <c r="D1046" s="2">
        <f t="shared" si="2"/>
        <v>162067.993</v>
      </c>
      <c r="E1046" s="5">
        <f t="shared" si="1"/>
        <v>-0.003912831385</v>
      </c>
    </row>
    <row r="1047" ht="15.75" customHeight="1">
      <c r="B1047" s="3" t="s">
        <v>631</v>
      </c>
      <c r="C1047" s="2">
        <v>-429.96</v>
      </c>
      <c r="D1047" s="2">
        <f t="shared" si="2"/>
        <v>161638.033</v>
      </c>
      <c r="E1047" s="5">
        <f t="shared" si="1"/>
        <v>-0.002656485937</v>
      </c>
    </row>
    <row r="1048" ht="15.75" customHeight="1">
      <c r="B1048" s="3" t="s">
        <v>632</v>
      </c>
      <c r="C1048" s="2">
        <v>351.702</v>
      </c>
      <c r="D1048" s="2">
        <f t="shared" si="2"/>
        <v>161989.735</v>
      </c>
      <c r="E1048" s="5">
        <f t="shared" si="1"/>
        <v>0.002173497909</v>
      </c>
    </row>
    <row r="1049" ht="15.75" customHeight="1">
      <c r="B1049" s="3">
        <v>44564.0</v>
      </c>
      <c r="C1049" s="2">
        <v>-328.949</v>
      </c>
      <c r="D1049" s="2">
        <f t="shared" si="2"/>
        <v>161660.786</v>
      </c>
      <c r="E1049" s="5">
        <f t="shared" si="1"/>
        <v>-0.002032742677</v>
      </c>
    </row>
    <row r="1050" ht="15.75" customHeight="1">
      <c r="B1050" s="3">
        <v>44595.0</v>
      </c>
      <c r="C1050" s="2">
        <v>-410.233</v>
      </c>
      <c r="D1050" s="2">
        <f t="shared" si="2"/>
        <v>161250.553</v>
      </c>
      <c r="E1050" s="5">
        <f t="shared" si="1"/>
        <v>-0.002540841223</v>
      </c>
    </row>
    <row r="1051" ht="15.75" customHeight="1">
      <c r="B1051" s="3">
        <v>44623.0</v>
      </c>
      <c r="C1051" s="2">
        <v>131.966</v>
      </c>
      <c r="D1051" s="2">
        <f t="shared" si="2"/>
        <v>161382.519</v>
      </c>
      <c r="E1051" s="5">
        <f t="shared" si="1"/>
        <v>0.0008180562925</v>
      </c>
    </row>
    <row r="1052" ht="15.75" customHeight="1">
      <c r="B1052" s="3">
        <v>44654.0</v>
      </c>
      <c r="C1052" s="2">
        <v>153.17</v>
      </c>
      <c r="D1052" s="2">
        <f t="shared" si="2"/>
        <v>161535.689</v>
      </c>
      <c r="E1052" s="5">
        <f t="shared" si="1"/>
        <v>0.0009486613495</v>
      </c>
    </row>
    <row r="1053" ht="15.75" customHeight="1">
      <c r="B1053" s="3">
        <v>44745.0</v>
      </c>
      <c r="C1053" s="2">
        <v>303.932</v>
      </c>
      <c r="D1053" s="2">
        <f t="shared" si="2"/>
        <v>161839.621</v>
      </c>
      <c r="E1053" s="5">
        <f t="shared" si="1"/>
        <v>0.001879748268</v>
      </c>
    </row>
    <row r="1054" ht="15.75" customHeight="1">
      <c r="B1054" s="3">
        <v>44776.0</v>
      </c>
      <c r="C1054" s="2">
        <v>210.688</v>
      </c>
      <c r="D1054" s="2">
        <f t="shared" si="2"/>
        <v>162050.309</v>
      </c>
      <c r="E1054" s="5">
        <f t="shared" si="1"/>
        <v>0.001300985367</v>
      </c>
    </row>
    <row r="1055" ht="15.75" customHeight="1">
      <c r="B1055" s="3">
        <v>44807.0</v>
      </c>
      <c r="C1055" s="2">
        <v>-167.336</v>
      </c>
      <c r="D1055" s="2">
        <f t="shared" si="2"/>
        <v>161882.973</v>
      </c>
      <c r="E1055" s="5">
        <f t="shared" si="1"/>
        <v>-0.00103315111</v>
      </c>
    </row>
    <row r="1056" ht="15.75" customHeight="1">
      <c r="B1056" s="3">
        <v>44837.0</v>
      </c>
      <c r="C1056" s="2">
        <v>-536.442</v>
      </c>
      <c r="D1056" s="2">
        <f t="shared" si="2"/>
        <v>161346.531</v>
      </c>
      <c r="E1056" s="5">
        <f t="shared" si="1"/>
        <v>-0.003319266873</v>
      </c>
    </row>
    <row r="1057" ht="15.75" customHeight="1">
      <c r="B1057" s="3">
        <v>44868.0</v>
      </c>
      <c r="C1057" s="2">
        <v>235.043</v>
      </c>
      <c r="D1057" s="2">
        <f t="shared" si="2"/>
        <v>161581.574</v>
      </c>
      <c r="E1057" s="5">
        <f t="shared" si="1"/>
        <v>0.001455698887</v>
      </c>
    </row>
    <row r="1058" ht="15.75" customHeight="1">
      <c r="B1058" s="3" t="s">
        <v>633</v>
      </c>
      <c r="C1058" s="2">
        <v>2952.86</v>
      </c>
      <c r="D1058" s="2">
        <f t="shared" si="2"/>
        <v>164534.434</v>
      </c>
      <c r="E1058" s="5">
        <f t="shared" si="1"/>
        <v>0.01810975622</v>
      </c>
    </row>
    <row r="1059" ht="15.75" customHeight="1">
      <c r="B1059" s="3" t="s">
        <v>634</v>
      </c>
      <c r="C1059" s="2">
        <v>544.435</v>
      </c>
      <c r="D1059" s="2">
        <f t="shared" si="2"/>
        <v>165078.869</v>
      </c>
      <c r="E1059" s="5">
        <f t="shared" si="1"/>
        <v>0.003303480109</v>
      </c>
    </row>
    <row r="1060" ht="15.75" customHeight="1">
      <c r="B1060" s="3" t="s">
        <v>635</v>
      </c>
      <c r="C1060" s="2">
        <v>663.044</v>
      </c>
      <c r="D1060" s="2">
        <f t="shared" si="2"/>
        <v>165741.913</v>
      </c>
      <c r="E1060" s="5">
        <f t="shared" si="1"/>
        <v>0.004008483892</v>
      </c>
    </row>
    <row r="1061" ht="15.75" customHeight="1">
      <c r="B1061" s="3" t="s">
        <v>636</v>
      </c>
      <c r="C1061" s="2">
        <v>65.603</v>
      </c>
      <c r="D1061" s="2">
        <f t="shared" si="2"/>
        <v>165807.516</v>
      </c>
      <c r="E1061" s="5">
        <f t="shared" si="1"/>
        <v>0.0003957358699</v>
      </c>
    </row>
    <row r="1062" ht="15.75" customHeight="1">
      <c r="B1062" s="3" t="s">
        <v>637</v>
      </c>
      <c r="C1062" s="2">
        <v>66.417</v>
      </c>
      <c r="D1062" s="2">
        <f t="shared" si="2"/>
        <v>165873.933</v>
      </c>
      <c r="E1062" s="5">
        <f t="shared" si="1"/>
        <v>0.0004004866783</v>
      </c>
    </row>
    <row r="1063" ht="15.75" customHeight="1">
      <c r="B1063" s="3" t="s">
        <v>638</v>
      </c>
      <c r="C1063" s="2">
        <v>-739.117</v>
      </c>
      <c r="D1063" s="2">
        <f t="shared" si="2"/>
        <v>165134.816</v>
      </c>
      <c r="E1063" s="5">
        <f t="shared" si="1"/>
        <v>-0.004465853127</v>
      </c>
    </row>
    <row r="1064" ht="15.75" customHeight="1">
      <c r="B1064" s="3" t="s">
        <v>639</v>
      </c>
      <c r="C1064" s="2">
        <v>470.166</v>
      </c>
      <c r="D1064" s="2">
        <f t="shared" si="2"/>
        <v>165604.982</v>
      </c>
      <c r="E1064" s="5">
        <f t="shared" si="1"/>
        <v>0.00284311909</v>
      </c>
    </row>
    <row r="1065" ht="15.75" customHeight="1">
      <c r="B1065" s="3" t="s">
        <v>640</v>
      </c>
      <c r="C1065" s="2">
        <v>-815.109</v>
      </c>
      <c r="D1065" s="2">
        <f t="shared" si="2"/>
        <v>164789.873</v>
      </c>
      <c r="E1065" s="5">
        <f t="shared" si="1"/>
        <v>-0.004934160695</v>
      </c>
    </row>
    <row r="1066" ht="15.75" customHeight="1">
      <c r="B1066" s="3" t="s">
        <v>641</v>
      </c>
      <c r="C1066" s="2">
        <v>0.0</v>
      </c>
      <c r="D1066" s="2">
        <f t="shared" si="2"/>
        <v>164789.873</v>
      </c>
      <c r="E1066" s="5">
        <f t="shared" si="1"/>
        <v>0</v>
      </c>
    </row>
    <row r="1067" ht="15.75" customHeight="1">
      <c r="B1067" s="3" t="s">
        <v>642</v>
      </c>
      <c r="C1067" s="2">
        <v>203.526</v>
      </c>
      <c r="D1067" s="2">
        <f t="shared" si="2"/>
        <v>164993.399</v>
      </c>
      <c r="E1067" s="5">
        <f t="shared" si="1"/>
        <v>0.001234301695</v>
      </c>
    </row>
    <row r="1068" ht="15.75" customHeight="1">
      <c r="B1068" s="3" t="s">
        <v>643</v>
      </c>
      <c r="C1068" s="2">
        <v>704.588</v>
      </c>
      <c r="D1068" s="2">
        <f t="shared" si="2"/>
        <v>165697.987</v>
      </c>
      <c r="E1068" s="5">
        <f t="shared" si="1"/>
        <v>0.004261308858</v>
      </c>
    </row>
    <row r="1069" ht="15.75" customHeight="1">
      <c r="B1069" s="3" t="s">
        <v>644</v>
      </c>
      <c r="C1069" s="2">
        <v>-160.237</v>
      </c>
      <c r="D1069" s="2">
        <f t="shared" si="2"/>
        <v>165537.75</v>
      </c>
      <c r="E1069" s="5">
        <f t="shared" si="1"/>
        <v>-0.0009675104139</v>
      </c>
    </row>
    <row r="1070" ht="15.75" customHeight="1">
      <c r="B1070" s="3" t="s">
        <v>645</v>
      </c>
      <c r="C1070" s="2">
        <v>162.201</v>
      </c>
      <c r="D1070" s="2">
        <f t="shared" si="2"/>
        <v>165699.951</v>
      </c>
      <c r="E1070" s="5">
        <f t="shared" si="1"/>
        <v>0.0009793632336</v>
      </c>
    </row>
    <row r="1071" ht="15.75" customHeight="1">
      <c r="B1071" s="3" t="s">
        <v>646</v>
      </c>
      <c r="C1071" s="2">
        <v>276.337</v>
      </c>
      <c r="D1071" s="2">
        <f t="shared" si="2"/>
        <v>165976.288</v>
      </c>
      <c r="E1071" s="5">
        <f t="shared" si="1"/>
        <v>0.001666306063</v>
      </c>
    </row>
    <row r="1072" ht="15.75" customHeight="1">
      <c r="B1072" s="3">
        <v>44565.0</v>
      </c>
      <c r="C1072" s="2">
        <v>249.362</v>
      </c>
      <c r="D1072" s="2">
        <f t="shared" si="2"/>
        <v>166225.65</v>
      </c>
      <c r="E1072" s="5">
        <f t="shared" si="1"/>
        <v>0.001501267863</v>
      </c>
    </row>
    <row r="1073" ht="15.75" customHeight="1">
      <c r="B1073" s="3">
        <v>44655.0</v>
      </c>
      <c r="C1073" s="2">
        <v>841.618</v>
      </c>
      <c r="D1073" s="2">
        <f t="shared" si="2"/>
        <v>167067.268</v>
      </c>
      <c r="E1073" s="5">
        <f t="shared" si="1"/>
        <v>0.005050331066</v>
      </c>
    </row>
    <row r="1074" ht="15.75" customHeight="1">
      <c r="B1074" s="3">
        <v>44685.0</v>
      </c>
      <c r="C1074" s="2">
        <v>-504.473</v>
      </c>
      <c r="D1074" s="2">
        <f t="shared" si="2"/>
        <v>166562.795</v>
      </c>
      <c r="E1074" s="5">
        <f t="shared" si="1"/>
        <v>-0.003024148243</v>
      </c>
    </row>
    <row r="1075" ht="15.75" customHeight="1">
      <c r="B1075" s="3">
        <v>44716.0</v>
      </c>
      <c r="C1075" s="2">
        <v>769.979</v>
      </c>
      <c r="D1075" s="2">
        <f t="shared" si="2"/>
        <v>167332.774</v>
      </c>
      <c r="E1075" s="5">
        <f t="shared" si="1"/>
        <v>0.004612102923</v>
      </c>
    </row>
    <row r="1076" ht="15.75" customHeight="1">
      <c r="B1076" s="3">
        <v>44746.0</v>
      </c>
      <c r="C1076" s="2">
        <v>156.985</v>
      </c>
      <c r="D1076" s="2">
        <f t="shared" si="2"/>
        <v>167489.759</v>
      </c>
      <c r="E1076" s="5">
        <f t="shared" si="1"/>
        <v>0.0009377207089</v>
      </c>
    </row>
    <row r="1077" ht="15.75" customHeight="1">
      <c r="B1077" s="3">
        <v>44777.0</v>
      </c>
      <c r="C1077" s="2">
        <v>135.148</v>
      </c>
      <c r="D1077" s="2">
        <f t="shared" si="2"/>
        <v>167624.907</v>
      </c>
      <c r="E1077" s="5">
        <f t="shared" si="1"/>
        <v>0.0008065776944</v>
      </c>
    </row>
    <row r="1078" ht="15.75" customHeight="1">
      <c r="B1078" s="3">
        <v>44869.0</v>
      </c>
      <c r="C1078" s="2">
        <v>-89.861</v>
      </c>
      <c r="D1078" s="2">
        <f t="shared" si="2"/>
        <v>167535.046</v>
      </c>
      <c r="E1078" s="5">
        <f t="shared" si="1"/>
        <v>-0.0005362275615</v>
      </c>
    </row>
    <row r="1079" ht="15.75" customHeight="1">
      <c r="B1079" s="3">
        <v>44899.0</v>
      </c>
      <c r="C1079" s="2">
        <v>-265.034</v>
      </c>
      <c r="D1079" s="2">
        <f t="shared" si="2"/>
        <v>167270.012</v>
      </c>
      <c r="E1079" s="5">
        <f t="shared" si="1"/>
        <v>-0.001583214166</v>
      </c>
    </row>
    <row r="1080" ht="15.75" customHeight="1">
      <c r="B1080" s="3" t="s">
        <v>647</v>
      </c>
      <c r="C1080" s="2">
        <v>-154.08</v>
      </c>
      <c r="D1080" s="2">
        <f t="shared" si="2"/>
        <v>167115.932</v>
      </c>
      <c r="E1080" s="5">
        <f t="shared" si="1"/>
        <v>-0.0009215699025</v>
      </c>
    </row>
    <row r="1081" ht="15.75" customHeight="1">
      <c r="B1081" s="3" t="s">
        <v>648</v>
      </c>
      <c r="C1081" s="2">
        <v>-5275.979</v>
      </c>
      <c r="D1081" s="2">
        <f t="shared" si="2"/>
        <v>161839.953</v>
      </c>
      <c r="E1081" s="5">
        <f t="shared" si="1"/>
        <v>-0.03207987271</v>
      </c>
    </row>
    <row r="1082" ht="15.75" customHeight="1">
      <c r="B1082" s="3" t="s">
        <v>649</v>
      </c>
      <c r="C1082" s="2">
        <v>-109.955</v>
      </c>
      <c r="D1082" s="2">
        <f t="shared" si="2"/>
        <v>161729.998</v>
      </c>
      <c r="E1082" s="5">
        <f t="shared" si="1"/>
        <v>-0.0006796366838</v>
      </c>
    </row>
    <row r="1083" ht="15.75" customHeight="1">
      <c r="B1083" s="3" t="s">
        <v>650</v>
      </c>
      <c r="C1083" s="2">
        <v>-5408.69</v>
      </c>
      <c r="D1083" s="2">
        <f t="shared" si="2"/>
        <v>156321.308</v>
      </c>
      <c r="E1083" s="5">
        <f t="shared" si="1"/>
        <v>-0.03401471005</v>
      </c>
    </row>
    <row r="1084" ht="15.75" customHeight="1">
      <c r="B1084" s="3" t="s">
        <v>651</v>
      </c>
      <c r="C1084" s="2">
        <v>580.838</v>
      </c>
      <c r="D1084" s="2">
        <f t="shared" si="2"/>
        <v>156902.146</v>
      </c>
      <c r="E1084" s="5">
        <f t="shared" si="1"/>
        <v>0.003708781436</v>
      </c>
    </row>
    <row r="1085" ht="15.75" customHeight="1">
      <c r="B1085" s="3" t="s">
        <v>652</v>
      </c>
      <c r="C1085" s="2">
        <v>-2835.45</v>
      </c>
      <c r="D1085" s="2">
        <f t="shared" si="2"/>
        <v>154066.696</v>
      </c>
      <c r="E1085" s="5">
        <f t="shared" si="1"/>
        <v>-0.01823673758</v>
      </c>
    </row>
    <row r="1086" ht="15.75" customHeight="1">
      <c r="B1086" s="3" t="s">
        <v>653</v>
      </c>
      <c r="C1086" s="2">
        <v>0.0</v>
      </c>
      <c r="D1086" s="2">
        <f t="shared" si="2"/>
        <v>154066.696</v>
      </c>
      <c r="E1086" s="5">
        <f t="shared" si="1"/>
        <v>0</v>
      </c>
    </row>
    <row r="1087" ht="15.75" customHeight="1">
      <c r="B1087" s="3" t="s">
        <v>654</v>
      </c>
      <c r="C1087" s="2">
        <v>171.11</v>
      </c>
      <c r="D1087" s="2">
        <f t="shared" si="2"/>
        <v>154237.806</v>
      </c>
      <c r="E1087" s="5">
        <f t="shared" si="1"/>
        <v>0.00111000661</v>
      </c>
    </row>
    <row r="1088" ht="15.75" customHeight="1">
      <c r="B1088" s="3" t="s">
        <v>655</v>
      </c>
      <c r="C1088" s="2">
        <v>-193.598</v>
      </c>
      <c r="D1088" s="2">
        <f t="shared" si="2"/>
        <v>154044.208</v>
      </c>
      <c r="E1088" s="5">
        <f t="shared" si="1"/>
        <v>-0.001255980023</v>
      </c>
    </row>
    <row r="1089" ht="15.75" customHeight="1">
      <c r="B1089" s="3" t="s">
        <v>656</v>
      </c>
      <c r="C1089" s="2">
        <v>250.867</v>
      </c>
      <c r="D1089" s="2">
        <f t="shared" si="2"/>
        <v>154295.075</v>
      </c>
      <c r="E1089" s="5">
        <f t="shared" si="1"/>
        <v>0.001627214365</v>
      </c>
    </row>
    <row r="1090" ht="15.75" customHeight="1">
      <c r="B1090" s="3" t="s">
        <v>657</v>
      </c>
      <c r="C1090" s="2">
        <v>20.95</v>
      </c>
      <c r="D1090" s="2">
        <f t="shared" si="2"/>
        <v>154316.025</v>
      </c>
      <c r="E1090" s="5">
        <f t="shared" si="1"/>
        <v>0.0001357695821</v>
      </c>
    </row>
    <row r="1091" ht="15.75" customHeight="1">
      <c r="B1091" s="3" t="s">
        <v>658</v>
      </c>
      <c r="C1091" s="2">
        <v>-21.469</v>
      </c>
      <c r="D1091" s="2">
        <f t="shared" si="2"/>
        <v>154294.556</v>
      </c>
      <c r="E1091" s="5">
        <f t="shared" si="1"/>
        <v>-0.0001391332725</v>
      </c>
    </row>
    <row r="1092" ht="15.75" customHeight="1">
      <c r="B1092" s="3">
        <v>44597.0</v>
      </c>
      <c r="C1092" s="2">
        <v>-62.076</v>
      </c>
      <c r="D1092" s="2">
        <f t="shared" si="2"/>
        <v>154232.48</v>
      </c>
      <c r="E1092" s="5">
        <f t="shared" si="1"/>
        <v>-0.0004024023414</v>
      </c>
    </row>
    <row r="1093" ht="15.75" customHeight="1">
      <c r="B1093" s="3">
        <v>44625.0</v>
      </c>
      <c r="C1093" s="2">
        <v>-374.568</v>
      </c>
      <c r="D1093" s="2">
        <f t="shared" si="2"/>
        <v>153857.912</v>
      </c>
      <c r="E1093" s="5">
        <f t="shared" si="1"/>
        <v>-0.002431547327</v>
      </c>
    </row>
    <row r="1094" ht="15.75" customHeight="1">
      <c r="B1094" s="3">
        <v>44656.0</v>
      </c>
      <c r="C1094" s="2">
        <v>125.46</v>
      </c>
      <c r="D1094" s="2">
        <f t="shared" si="2"/>
        <v>153983.372</v>
      </c>
      <c r="E1094" s="5">
        <f t="shared" si="1"/>
        <v>0.000815095398</v>
      </c>
    </row>
    <row r="1095" ht="15.75" customHeight="1">
      <c r="B1095" s="3">
        <v>44686.0</v>
      </c>
      <c r="C1095" s="2">
        <v>-21.535</v>
      </c>
      <c r="D1095" s="2">
        <f t="shared" si="2"/>
        <v>153961.837</v>
      </c>
      <c r="E1095" s="5">
        <f t="shared" si="1"/>
        <v>-0.0001398625431</v>
      </c>
    </row>
    <row r="1096" ht="15.75" customHeight="1">
      <c r="B1096" s="3">
        <v>44717.0</v>
      </c>
      <c r="C1096" s="2">
        <v>249.23</v>
      </c>
      <c r="D1096" s="2">
        <f t="shared" si="2"/>
        <v>154211.067</v>
      </c>
      <c r="E1096" s="5">
        <f t="shared" si="1"/>
        <v>0.001617468967</v>
      </c>
    </row>
    <row r="1097" ht="15.75" customHeight="1">
      <c r="B1097" s="3">
        <v>44809.0</v>
      </c>
      <c r="C1097" s="2">
        <v>-309.815</v>
      </c>
      <c r="D1097" s="2">
        <f t="shared" si="2"/>
        <v>153901.252</v>
      </c>
      <c r="E1097" s="5">
        <f t="shared" si="1"/>
        <v>-0.002011053017</v>
      </c>
    </row>
    <row r="1098" ht="15.75" customHeight="1">
      <c r="B1098" s="3">
        <v>44839.0</v>
      </c>
      <c r="C1098" s="2">
        <v>559.832</v>
      </c>
      <c r="D1098" s="2">
        <f t="shared" si="2"/>
        <v>154461.084</v>
      </c>
      <c r="E1098" s="5">
        <f t="shared" si="1"/>
        <v>0.00363100515</v>
      </c>
    </row>
    <row r="1099" ht="15.75" customHeight="1">
      <c r="B1099" s="3">
        <v>44870.0</v>
      </c>
      <c r="C1099" s="2">
        <v>0.0</v>
      </c>
      <c r="D1099" s="2">
        <f t="shared" si="2"/>
        <v>154461.084</v>
      </c>
      <c r="E1099" s="5">
        <f t="shared" si="1"/>
        <v>0</v>
      </c>
    </row>
    <row r="1100" ht="15.75" customHeight="1">
      <c r="B1100" s="3">
        <v>44900.0</v>
      </c>
      <c r="C1100" s="2">
        <v>19.714</v>
      </c>
      <c r="D1100" s="2">
        <f t="shared" si="2"/>
        <v>154480.798</v>
      </c>
      <c r="E1100" s="5">
        <f t="shared" si="1"/>
        <v>0.0001276227095</v>
      </c>
    </row>
    <row r="1101" ht="15.75" customHeight="1">
      <c r="B1101" s="3" t="s">
        <v>659</v>
      </c>
      <c r="C1101" s="2">
        <v>78.781</v>
      </c>
      <c r="D1101" s="2">
        <f t="shared" si="2"/>
        <v>154559.579</v>
      </c>
      <c r="E1101" s="5">
        <f t="shared" si="1"/>
        <v>0.0005098427751</v>
      </c>
    </row>
    <row r="1102" ht="15.75" customHeight="1">
      <c r="B1102" s="3" t="s">
        <v>660</v>
      </c>
      <c r="C1102" s="2">
        <v>-121.006</v>
      </c>
      <c r="D1102" s="2">
        <f t="shared" si="2"/>
        <v>154438.573</v>
      </c>
      <c r="E1102" s="5">
        <f t="shared" si="1"/>
        <v>-0.0007832150801</v>
      </c>
    </row>
    <row r="1103" ht="15.75" customHeight="1">
      <c r="B1103" s="3" t="s">
        <v>661</v>
      </c>
      <c r="C1103" s="2">
        <v>0.0</v>
      </c>
      <c r="D1103" s="2">
        <f t="shared" si="2"/>
        <v>154438.573</v>
      </c>
      <c r="E1103" s="5">
        <f t="shared" si="1"/>
        <v>0</v>
      </c>
    </row>
    <row r="1104" ht="15.75" customHeight="1">
      <c r="B1104" s="3" t="s">
        <v>662</v>
      </c>
      <c r="C1104" s="2">
        <v>5021.346</v>
      </c>
      <c r="D1104" s="2">
        <f t="shared" si="2"/>
        <v>159459.919</v>
      </c>
      <c r="E1104" s="5">
        <f t="shared" si="1"/>
        <v>0.03199616759</v>
      </c>
    </row>
    <row r="1105" ht="15.75" customHeight="1">
      <c r="B1105" s="3" t="s">
        <v>663</v>
      </c>
      <c r="C1105" s="2">
        <v>-59.017</v>
      </c>
      <c r="D1105" s="2">
        <f t="shared" si="2"/>
        <v>159400.902</v>
      </c>
      <c r="E1105" s="5">
        <f t="shared" si="1"/>
        <v>-0.0003701740495</v>
      </c>
    </row>
    <row r="1106" ht="15.75" customHeight="1">
      <c r="B1106" s="3" t="s">
        <v>664</v>
      </c>
      <c r="C1106" s="2">
        <v>156.475</v>
      </c>
      <c r="D1106" s="2">
        <f t="shared" si="2"/>
        <v>159557.377</v>
      </c>
      <c r="E1106" s="5">
        <f t="shared" si="1"/>
        <v>0.0009811628846</v>
      </c>
    </row>
    <row r="1107" ht="15.75" customHeight="1">
      <c r="B1107" s="3" t="s">
        <v>665</v>
      </c>
      <c r="C1107" s="2">
        <v>215.189</v>
      </c>
      <c r="D1107" s="2">
        <f t="shared" si="2"/>
        <v>159772.566</v>
      </c>
      <c r="E1107" s="5">
        <f t="shared" si="1"/>
        <v>0.001347753553</v>
      </c>
    </row>
    <row r="1108" ht="15.75" customHeight="1">
      <c r="B1108" s="3" t="s">
        <v>666</v>
      </c>
      <c r="C1108" s="2">
        <v>338.775</v>
      </c>
      <c r="D1108" s="2">
        <f t="shared" si="2"/>
        <v>160111.341</v>
      </c>
      <c r="E1108" s="5">
        <f t="shared" si="1"/>
        <v>0.002118112973</v>
      </c>
    </row>
    <row r="1109" ht="15.75" customHeight="1">
      <c r="B1109" s="3" t="s">
        <v>667</v>
      </c>
      <c r="C1109" s="2">
        <v>336.029</v>
      </c>
      <c r="D1109" s="2">
        <f t="shared" si="2"/>
        <v>160447.37</v>
      </c>
      <c r="E1109" s="5">
        <f t="shared" si="1"/>
        <v>0.002096521552</v>
      </c>
    </row>
    <row r="1110" ht="15.75" customHeight="1">
      <c r="B1110" s="3" t="s">
        <v>668</v>
      </c>
      <c r="C1110" s="2">
        <v>458.929</v>
      </c>
      <c r="D1110" s="2">
        <f t="shared" si="2"/>
        <v>160906.299</v>
      </c>
      <c r="E1110" s="5">
        <f t="shared" si="1"/>
        <v>0.002856225749</v>
      </c>
    </row>
    <row r="1111" ht="15.75" customHeight="1">
      <c r="B1111" s="3" t="s">
        <v>669</v>
      </c>
      <c r="C1111" s="2">
        <v>773.334</v>
      </c>
      <c r="D1111" s="2">
        <f t="shared" si="2"/>
        <v>161679.633</v>
      </c>
      <c r="E1111" s="5">
        <f t="shared" si="1"/>
        <v>0.004794601405</v>
      </c>
    </row>
    <row r="1112" ht="15.75" customHeight="1">
      <c r="B1112" s="3" t="s">
        <v>670</v>
      </c>
      <c r="C1112" s="2">
        <v>166.864</v>
      </c>
      <c r="D1112" s="2">
        <f t="shared" si="2"/>
        <v>161846.497</v>
      </c>
      <c r="E1112" s="5">
        <f t="shared" si="1"/>
        <v>0.001031533464</v>
      </c>
    </row>
    <row r="1113" ht="15.75" customHeight="1">
      <c r="B1113" s="3">
        <v>44567.0</v>
      </c>
      <c r="C1113" s="2">
        <v>456.037</v>
      </c>
      <c r="D1113" s="2">
        <f t="shared" si="2"/>
        <v>162302.534</v>
      </c>
      <c r="E1113" s="5">
        <f t="shared" si="1"/>
        <v>0.00281375082</v>
      </c>
    </row>
    <row r="1114" ht="15.75" customHeight="1">
      <c r="B1114" s="3">
        <v>44598.0</v>
      </c>
      <c r="C1114" s="2">
        <v>823.037</v>
      </c>
      <c r="D1114" s="2">
        <f t="shared" si="2"/>
        <v>163125.571</v>
      </c>
      <c r="E1114" s="5">
        <f t="shared" si="1"/>
        <v>0.005058190993</v>
      </c>
    </row>
    <row r="1115" ht="15.75" customHeight="1">
      <c r="B1115" s="3">
        <v>44626.0</v>
      </c>
      <c r="C1115" s="2">
        <v>461.092</v>
      </c>
      <c r="D1115" s="2">
        <f t="shared" si="2"/>
        <v>163586.663</v>
      </c>
      <c r="E1115" s="5">
        <f t="shared" si="1"/>
        <v>0.002822620387</v>
      </c>
    </row>
    <row r="1116" ht="15.75" customHeight="1">
      <c r="B1116" s="3">
        <v>44718.0</v>
      </c>
      <c r="C1116" s="2">
        <v>329.882</v>
      </c>
      <c r="D1116" s="2">
        <f t="shared" si="2"/>
        <v>163916.545</v>
      </c>
      <c r="E1116" s="5">
        <f t="shared" si="1"/>
        <v>0.002014527513</v>
      </c>
    </row>
    <row r="1117" ht="15.75" customHeight="1">
      <c r="B1117" s="3">
        <v>44748.0</v>
      </c>
      <c r="C1117" s="2">
        <v>5356.752</v>
      </c>
      <c r="D1117" s="2">
        <f t="shared" si="2"/>
        <v>169273.297</v>
      </c>
      <c r="E1117" s="5">
        <f t="shared" si="1"/>
        <v>0.03215712442</v>
      </c>
    </row>
    <row r="1118" ht="15.75" customHeight="1">
      <c r="B1118" s="3">
        <v>44779.0</v>
      </c>
      <c r="C1118" s="2">
        <v>62.64</v>
      </c>
      <c r="D1118" s="2">
        <f t="shared" si="2"/>
        <v>169335.937</v>
      </c>
      <c r="E1118" s="5">
        <f t="shared" si="1"/>
        <v>0.0003699840077</v>
      </c>
    </row>
    <row r="1119" ht="15.75" customHeight="1">
      <c r="B1119" s="3">
        <v>44810.0</v>
      </c>
      <c r="C1119" s="2">
        <v>20.655</v>
      </c>
      <c r="D1119" s="2">
        <f t="shared" si="2"/>
        <v>169356.592</v>
      </c>
      <c r="E1119" s="5">
        <f t="shared" si="1"/>
        <v>0.0001219690324</v>
      </c>
    </row>
    <row r="1120" ht="15.75" customHeight="1">
      <c r="B1120" s="3">
        <v>44840.0</v>
      </c>
      <c r="C1120" s="2">
        <v>-281.423</v>
      </c>
      <c r="D1120" s="2">
        <f t="shared" si="2"/>
        <v>169075.169</v>
      </c>
      <c r="E1120" s="5">
        <f t="shared" si="1"/>
        <v>-0.001663100792</v>
      </c>
    </row>
    <row r="1121" ht="15.75" customHeight="1">
      <c r="B1121" s="3" t="s">
        <v>671</v>
      </c>
      <c r="C1121" s="2">
        <v>-39.034</v>
      </c>
      <c r="D1121" s="2">
        <f t="shared" si="2"/>
        <v>169036.135</v>
      </c>
      <c r="E1121" s="5">
        <f t="shared" si="1"/>
        <v>-0.0002308943813</v>
      </c>
    </row>
    <row r="1122" ht="15.75" customHeight="1">
      <c r="B1122" s="3" t="s">
        <v>672</v>
      </c>
      <c r="C1122" s="2">
        <v>-919.263</v>
      </c>
      <c r="D1122" s="2">
        <f t="shared" si="2"/>
        <v>168116.872</v>
      </c>
      <c r="E1122" s="5">
        <f t="shared" si="1"/>
        <v>-0.00545310443</v>
      </c>
    </row>
    <row r="1123" ht="15.75" customHeight="1">
      <c r="B1123" s="3" t="s">
        <v>673</v>
      </c>
      <c r="C1123" s="2">
        <v>-37.392</v>
      </c>
      <c r="D1123" s="2">
        <f t="shared" si="2"/>
        <v>168079.48</v>
      </c>
      <c r="E1123" s="5">
        <f t="shared" si="1"/>
        <v>-0.0002224414389</v>
      </c>
    </row>
    <row r="1124" ht="15.75" customHeight="1">
      <c r="B1124" s="3" t="s">
        <v>674</v>
      </c>
      <c r="C1124" s="2">
        <v>-322.482</v>
      </c>
      <c r="D1124" s="2">
        <f t="shared" si="2"/>
        <v>167756.998</v>
      </c>
      <c r="E1124" s="5">
        <f t="shared" si="1"/>
        <v>-0.001920470945</v>
      </c>
    </row>
    <row r="1125" ht="15.75" customHeight="1">
      <c r="B1125" s="3" t="s">
        <v>675</v>
      </c>
      <c r="C1125" s="2">
        <v>422.16</v>
      </c>
      <c r="D1125" s="2">
        <f t="shared" si="2"/>
        <v>168179.158</v>
      </c>
      <c r="E1125" s="5">
        <f t="shared" si="1"/>
        <v>0.002513336029</v>
      </c>
    </row>
    <row r="1126" ht="15.75" customHeight="1">
      <c r="B1126" s="3" t="s">
        <v>676</v>
      </c>
      <c r="C1126" s="2">
        <v>0.0</v>
      </c>
      <c r="D1126" s="2">
        <f t="shared" si="2"/>
        <v>168179.158</v>
      </c>
      <c r="E1126" s="5">
        <f t="shared" si="1"/>
        <v>0</v>
      </c>
    </row>
    <row r="1127" ht="15.75" customHeight="1">
      <c r="B1127" s="3" t="s">
        <v>677</v>
      </c>
      <c r="C1127" s="2">
        <v>-956.568</v>
      </c>
      <c r="D1127" s="2">
        <f t="shared" si="2"/>
        <v>167222.59</v>
      </c>
      <c r="E1127" s="5">
        <f t="shared" si="1"/>
        <v>-0.005704028672</v>
      </c>
    </row>
    <row r="1128" ht="15.75" customHeight="1">
      <c r="B1128" s="3" t="s">
        <v>678</v>
      </c>
      <c r="C1128" s="2">
        <v>-226.16</v>
      </c>
      <c r="D1128" s="2">
        <f t="shared" si="2"/>
        <v>166996.43</v>
      </c>
      <c r="E1128" s="5">
        <f t="shared" si="1"/>
        <v>-0.001353364237</v>
      </c>
    </row>
    <row r="1129" ht="15.75" customHeight="1">
      <c r="B1129" s="3" t="s">
        <v>679</v>
      </c>
      <c r="C1129" s="2">
        <v>-470.562</v>
      </c>
      <c r="D1129" s="2">
        <f t="shared" si="2"/>
        <v>166525.868</v>
      </c>
      <c r="E1129" s="5">
        <f t="shared" si="1"/>
        <v>-0.002821774227</v>
      </c>
    </row>
    <row r="1130" ht="15.75" customHeight="1">
      <c r="B1130" s="3" t="s">
        <v>680</v>
      </c>
      <c r="C1130" s="2">
        <v>-152.022</v>
      </c>
      <c r="D1130" s="2">
        <f t="shared" si="2"/>
        <v>166373.846</v>
      </c>
      <c r="E1130" s="5">
        <f t="shared" si="1"/>
        <v>-0.0009133201632</v>
      </c>
    </row>
    <row r="1131" ht="15.75" customHeight="1">
      <c r="B1131" s="3" t="s">
        <v>681</v>
      </c>
      <c r="C1131" s="2">
        <v>-137.088</v>
      </c>
      <c r="D1131" s="2">
        <f t="shared" si="2"/>
        <v>166236.758</v>
      </c>
      <c r="E1131" s="5">
        <f t="shared" si="1"/>
        <v>-0.0008243153172</v>
      </c>
    </row>
    <row r="1132" ht="15.75" customHeight="1">
      <c r="B1132" s="3" t="s">
        <v>682</v>
      </c>
      <c r="C1132" s="2">
        <v>-761.521</v>
      </c>
      <c r="D1132" s="2">
        <f t="shared" si="2"/>
        <v>165475.237</v>
      </c>
      <c r="E1132" s="5">
        <f t="shared" si="1"/>
        <v>-0.004591466991</v>
      </c>
    </row>
    <row r="1133" ht="15.75" customHeight="1">
      <c r="B1133" s="3" t="s">
        <v>683</v>
      </c>
      <c r="C1133" s="2">
        <v>19.133</v>
      </c>
      <c r="D1133" s="2">
        <f t="shared" si="2"/>
        <v>165494.37</v>
      </c>
      <c r="E1133" s="5">
        <f t="shared" si="1"/>
        <v>0.0001156178671</v>
      </c>
    </row>
    <row r="1134" ht="15.75" customHeight="1">
      <c r="B1134" s="3" t="s">
        <v>684</v>
      </c>
      <c r="C1134" s="2">
        <v>-38.243</v>
      </c>
      <c r="D1134" s="2">
        <f t="shared" si="2"/>
        <v>165456.127</v>
      </c>
      <c r="E1134" s="5">
        <f t="shared" si="1"/>
        <v>-0.0002311100936</v>
      </c>
    </row>
    <row r="1135" ht="15.75" customHeight="1">
      <c r="B1135" s="3">
        <v>44568.0</v>
      </c>
      <c r="C1135" s="2">
        <v>-75.828</v>
      </c>
      <c r="D1135" s="2">
        <f t="shared" si="2"/>
        <v>165380.299</v>
      </c>
      <c r="E1135" s="5">
        <f t="shared" si="1"/>
        <v>-0.0004584017682</v>
      </c>
    </row>
    <row r="1136" ht="15.75" customHeight="1">
      <c r="B1136" s="3">
        <v>44688.0</v>
      </c>
      <c r="C1136" s="2">
        <v>172.415</v>
      </c>
      <c r="D1136" s="2">
        <f t="shared" si="2"/>
        <v>165552.714</v>
      </c>
      <c r="E1136" s="5">
        <f t="shared" si="1"/>
        <v>0.001041993448</v>
      </c>
    </row>
    <row r="1137" ht="15.75" customHeight="1">
      <c r="B1137" s="3">
        <v>44719.0</v>
      </c>
      <c r="C1137" s="2">
        <v>441.395</v>
      </c>
      <c r="D1137" s="2">
        <f t="shared" si="2"/>
        <v>165994.109</v>
      </c>
      <c r="E1137" s="5">
        <f t="shared" si="1"/>
        <v>0.002662642077</v>
      </c>
    </row>
    <row r="1138" ht="15.75" customHeight="1">
      <c r="B1138" s="3">
        <v>44749.0</v>
      </c>
      <c r="C1138" s="2">
        <v>192.6</v>
      </c>
      <c r="D1138" s="2">
        <f t="shared" si="2"/>
        <v>166186.709</v>
      </c>
      <c r="E1138" s="5">
        <f t="shared" si="1"/>
        <v>0.001159609533</v>
      </c>
    </row>
    <row r="1139" ht="15.75" customHeight="1">
      <c r="B1139" s="3">
        <v>44780.0</v>
      </c>
      <c r="C1139" s="2">
        <v>449.66</v>
      </c>
      <c r="D1139" s="2">
        <f t="shared" si="2"/>
        <v>166636.369</v>
      </c>
      <c r="E1139" s="5">
        <f t="shared" si="1"/>
        <v>0.002702097921</v>
      </c>
    </row>
    <row r="1140" ht="15.75" customHeight="1">
      <c r="B1140" s="3">
        <v>44872.0</v>
      </c>
      <c r="C1140" s="2">
        <v>-78.143</v>
      </c>
      <c r="D1140" s="2">
        <f t="shared" si="2"/>
        <v>166558.226</v>
      </c>
      <c r="E1140" s="5">
        <f t="shared" si="1"/>
        <v>-0.0004690532356</v>
      </c>
    </row>
    <row r="1141" ht="15.75" customHeight="1">
      <c r="B1141" s="3">
        <v>44902.0</v>
      </c>
      <c r="C1141" s="2">
        <v>115.865</v>
      </c>
      <c r="D1141" s="2">
        <f t="shared" si="2"/>
        <v>166674.091</v>
      </c>
      <c r="E1141" s="5">
        <f t="shared" si="1"/>
        <v>0.0006954007685</v>
      </c>
    </row>
    <row r="1142" ht="15.75" customHeight="1">
      <c r="B1142" s="3" t="s">
        <v>685</v>
      </c>
      <c r="C1142" s="2">
        <v>286.99</v>
      </c>
      <c r="D1142" s="2">
        <f t="shared" si="2"/>
        <v>166961.081</v>
      </c>
      <c r="E1142" s="5">
        <f t="shared" si="1"/>
        <v>0.001720382591</v>
      </c>
    </row>
    <row r="1143" ht="15.75" customHeight="1">
      <c r="B1143" s="3" t="s">
        <v>686</v>
      </c>
      <c r="C1143" s="2">
        <v>-57.143</v>
      </c>
      <c r="D1143" s="2">
        <f t="shared" si="2"/>
        <v>166903.938</v>
      </c>
      <c r="E1143" s="5">
        <f t="shared" si="1"/>
        <v>-0.0003423119962</v>
      </c>
    </row>
    <row r="1144" ht="15.75" customHeight="1">
      <c r="B1144" s="3" t="s">
        <v>687</v>
      </c>
      <c r="C1144" s="2">
        <v>-151.945</v>
      </c>
      <c r="D1144" s="2">
        <f t="shared" si="2"/>
        <v>166751.993</v>
      </c>
      <c r="E1144" s="5">
        <f t="shared" si="1"/>
        <v>-0.0009107886082</v>
      </c>
    </row>
    <row r="1145" ht="15.75" customHeight="1">
      <c r="B1145" s="3" t="s">
        <v>688</v>
      </c>
      <c r="C1145" s="2">
        <v>-38.716</v>
      </c>
      <c r="D1145" s="2">
        <f t="shared" si="2"/>
        <v>166713.277</v>
      </c>
      <c r="E1145" s="5">
        <f t="shared" si="1"/>
        <v>-0.0002322040923</v>
      </c>
    </row>
    <row r="1146" ht="15.75" customHeight="1">
      <c r="B1146" s="3" t="s">
        <v>689</v>
      </c>
      <c r="C1146" s="2">
        <v>153.567</v>
      </c>
      <c r="D1146" s="2">
        <f t="shared" si="2"/>
        <v>166866.844</v>
      </c>
      <c r="E1146" s="5">
        <f t="shared" si="1"/>
        <v>0.0009207203978</v>
      </c>
    </row>
    <row r="1147" ht="15.75" customHeight="1">
      <c r="B1147" s="3" t="s">
        <v>690</v>
      </c>
      <c r="C1147" s="2">
        <v>216.997</v>
      </c>
      <c r="D1147" s="2">
        <f t="shared" si="2"/>
        <v>167083.841</v>
      </c>
      <c r="E1147" s="5">
        <f t="shared" si="1"/>
        <v>0.001299575298</v>
      </c>
    </row>
    <row r="1148" ht="15.75" customHeight="1">
      <c r="B1148" s="3" t="s">
        <v>691</v>
      </c>
      <c r="C1148" s="2">
        <v>-238.124</v>
      </c>
      <c r="D1148" s="2">
        <f t="shared" si="2"/>
        <v>166845.717</v>
      </c>
      <c r="E1148" s="5">
        <f t="shared" si="1"/>
        <v>-0.001426193247</v>
      </c>
    </row>
    <row r="1149" ht="15.75" customHeight="1">
      <c r="B1149" s="3" t="s">
        <v>692</v>
      </c>
      <c r="C1149" s="2">
        <v>601.235</v>
      </c>
      <c r="D1149" s="2">
        <f t="shared" si="2"/>
        <v>167446.952</v>
      </c>
      <c r="E1149" s="5">
        <f t="shared" si="1"/>
        <v>0.003597061521</v>
      </c>
    </row>
    <row r="1150" ht="15.75" customHeight="1">
      <c r="B1150" s="3" t="s">
        <v>693</v>
      </c>
      <c r="C1150" s="2">
        <v>-476.504</v>
      </c>
      <c r="D1150" s="2">
        <f t="shared" si="2"/>
        <v>166970.448</v>
      </c>
      <c r="E1150" s="5">
        <f t="shared" si="1"/>
        <v>-0.002849757952</v>
      </c>
    </row>
    <row r="1151" ht="15.75" customHeight="1">
      <c r="B1151" s="3" t="s">
        <v>694</v>
      </c>
      <c r="C1151" s="2">
        <v>99.402</v>
      </c>
      <c r="D1151" s="2">
        <f t="shared" si="2"/>
        <v>167069.85</v>
      </c>
      <c r="E1151" s="5">
        <f t="shared" si="1"/>
        <v>0.000595149768</v>
      </c>
    </row>
    <row r="1152" ht="15.75" customHeight="1">
      <c r="B1152" s="3" t="s">
        <v>695</v>
      </c>
      <c r="C1152" s="2">
        <v>334.067</v>
      </c>
      <c r="D1152" s="2">
        <f t="shared" si="2"/>
        <v>167403.917</v>
      </c>
      <c r="E1152" s="5">
        <f t="shared" si="1"/>
        <v>0.001997568384</v>
      </c>
    </row>
    <row r="1153" ht="15.75" customHeight="1">
      <c r="B1153" s="3" t="s">
        <v>696</v>
      </c>
      <c r="C1153" s="2">
        <v>241.982</v>
      </c>
      <c r="D1153" s="2">
        <f t="shared" si="2"/>
        <v>167645.899</v>
      </c>
      <c r="E1153" s="5">
        <f t="shared" si="1"/>
        <v>0.001444454111</v>
      </c>
    </row>
    <row r="1154" ht="15.75" customHeight="1">
      <c r="B1154" s="3" t="s">
        <v>697</v>
      </c>
      <c r="C1154" s="2">
        <v>61.237</v>
      </c>
      <c r="D1154" s="2">
        <f t="shared" si="2"/>
        <v>167707.136</v>
      </c>
      <c r="E1154" s="5">
        <f t="shared" si="1"/>
        <v>0.0003652091634</v>
      </c>
    </row>
    <row r="1155" ht="15.75" customHeight="1">
      <c r="B1155" s="3">
        <v>44569.0</v>
      </c>
      <c r="C1155" s="2">
        <v>62.114</v>
      </c>
      <c r="D1155" s="2">
        <f t="shared" si="2"/>
        <v>167769.25</v>
      </c>
      <c r="E1155" s="5">
        <f t="shared" si="1"/>
        <v>0.0003703032661</v>
      </c>
    </row>
    <row r="1156" ht="15.75" customHeight="1">
      <c r="B1156" s="3">
        <v>44600.0</v>
      </c>
      <c r="C1156" s="2">
        <v>0.0</v>
      </c>
      <c r="D1156" s="2">
        <f t="shared" si="2"/>
        <v>167769.25</v>
      </c>
      <c r="E1156" s="5">
        <f t="shared" si="1"/>
        <v>0</v>
      </c>
    </row>
    <row r="1157" ht="15.75" customHeight="1">
      <c r="B1157" s="3">
        <v>44628.0</v>
      </c>
      <c r="C1157" s="2">
        <v>82.035</v>
      </c>
      <c r="D1157" s="2">
        <f t="shared" si="2"/>
        <v>167851.285</v>
      </c>
      <c r="E1157" s="5">
        <f t="shared" si="1"/>
        <v>0.0004888556753</v>
      </c>
    </row>
    <row r="1158" ht="15.75" customHeight="1">
      <c r="B1158" s="3">
        <v>44659.0</v>
      </c>
      <c r="C1158" s="2">
        <v>583.24</v>
      </c>
      <c r="D1158" s="2">
        <f t="shared" si="2"/>
        <v>168434.525</v>
      </c>
      <c r="E1158" s="5">
        <f t="shared" si="1"/>
        <v>0.003468719568</v>
      </c>
    </row>
    <row r="1159" ht="15.75" customHeight="1">
      <c r="B1159" s="3">
        <v>44689.0</v>
      </c>
      <c r="C1159" s="2">
        <v>249.788</v>
      </c>
      <c r="D1159" s="2">
        <f t="shared" si="2"/>
        <v>168684.313</v>
      </c>
      <c r="E1159" s="5">
        <f t="shared" si="1"/>
        <v>0.001481899067</v>
      </c>
    </row>
    <row r="1160" ht="15.75" customHeight="1">
      <c r="B1160" s="3">
        <v>44781.0</v>
      </c>
      <c r="C1160" s="2">
        <v>-249.413</v>
      </c>
      <c r="D1160" s="2">
        <f t="shared" si="2"/>
        <v>168434.9</v>
      </c>
      <c r="E1160" s="5">
        <f t="shared" si="1"/>
        <v>-0.001479672685</v>
      </c>
    </row>
    <row r="1161" ht="15.75" customHeight="1">
      <c r="B1161" s="3">
        <v>44812.0</v>
      </c>
      <c r="C1161" s="2">
        <v>311.386</v>
      </c>
      <c r="D1161" s="2">
        <f t="shared" si="2"/>
        <v>168746.286</v>
      </c>
      <c r="E1161" s="5">
        <f t="shared" si="1"/>
        <v>0.00184699563</v>
      </c>
    </row>
    <row r="1162" ht="15.75" customHeight="1">
      <c r="B1162" s="3">
        <v>44842.0</v>
      </c>
      <c r="C1162" s="2">
        <v>144.705</v>
      </c>
      <c r="D1162" s="2">
        <f t="shared" si="2"/>
        <v>168890.991</v>
      </c>
      <c r="E1162" s="5">
        <f t="shared" si="1"/>
        <v>0.0008571625156</v>
      </c>
    </row>
    <row r="1163" ht="15.75" customHeight="1">
      <c r="B1163" s="3">
        <v>44873.0</v>
      </c>
      <c r="C1163" s="2">
        <v>-63.339</v>
      </c>
      <c r="D1163" s="2">
        <f t="shared" si="2"/>
        <v>168827.652</v>
      </c>
      <c r="E1163" s="5">
        <f t="shared" si="1"/>
        <v>-0.0003750992257</v>
      </c>
    </row>
    <row r="1164" ht="15.75" customHeight="1">
      <c r="B1164" s="3">
        <v>44903.0</v>
      </c>
      <c r="C1164" s="2">
        <v>63.312</v>
      </c>
      <c r="D1164" s="2">
        <f t="shared" si="2"/>
        <v>168890.964</v>
      </c>
      <c r="E1164" s="5">
        <f t="shared" si="1"/>
        <v>0.0003749393592</v>
      </c>
    </row>
    <row r="1165" ht="15.75" customHeight="1">
      <c r="B1165" s="3" t="s">
        <v>698</v>
      </c>
      <c r="C1165" s="2">
        <v>987.72</v>
      </c>
      <c r="D1165" s="2">
        <f t="shared" si="2"/>
        <v>169878.684</v>
      </c>
      <c r="E1165" s="5">
        <f t="shared" si="1"/>
        <v>0.0058312355</v>
      </c>
    </row>
    <row r="1166" ht="15.75" customHeight="1">
      <c r="B1166" s="3" t="s">
        <v>699</v>
      </c>
      <c r="C1166" s="2">
        <v>64.674</v>
      </c>
      <c r="D1166" s="2">
        <f t="shared" si="2"/>
        <v>169943.358</v>
      </c>
      <c r="E1166" s="5">
        <f t="shared" si="1"/>
        <v>0.0003806345251</v>
      </c>
    </row>
    <row r="1167" ht="15.75" customHeight="1">
      <c r="B1167" s="3" t="s">
        <v>700</v>
      </c>
      <c r="C1167" s="2">
        <v>172.797</v>
      </c>
      <c r="D1167" s="2">
        <f t="shared" si="2"/>
        <v>170116.155</v>
      </c>
      <c r="E1167" s="5">
        <f t="shared" si="1"/>
        <v>0.001016275142</v>
      </c>
    </row>
    <row r="1168" ht="15.75" customHeight="1">
      <c r="B1168" s="3" t="s">
        <v>701</v>
      </c>
      <c r="C1168" s="2">
        <v>85.789</v>
      </c>
      <c r="D1168" s="2">
        <f t="shared" si="2"/>
        <v>170201.944</v>
      </c>
      <c r="E1168" s="5">
        <f t="shared" si="1"/>
        <v>0.0005041694936</v>
      </c>
    </row>
    <row r="1169" ht="15.75" customHeight="1">
      <c r="B1169" s="3" t="s">
        <v>702</v>
      </c>
      <c r="C1169" s="2">
        <v>0.0</v>
      </c>
      <c r="D1169" s="2">
        <f t="shared" si="2"/>
        <v>170201.944</v>
      </c>
      <c r="E1169" s="5">
        <f t="shared" si="1"/>
        <v>0</v>
      </c>
    </row>
    <row r="1170" ht="15.75" customHeight="1">
      <c r="B1170" s="3" t="s">
        <v>703</v>
      </c>
      <c r="C1170" s="2">
        <v>63.667</v>
      </c>
      <c r="D1170" s="2">
        <f t="shared" si="2"/>
        <v>170265.611</v>
      </c>
      <c r="E1170" s="5">
        <f t="shared" si="1"/>
        <v>0.0003739974621</v>
      </c>
    </row>
    <row r="1171" ht="15.75" customHeight="1">
      <c r="B1171" s="3" t="s">
        <v>704</v>
      </c>
      <c r="C1171" s="2">
        <v>20.77</v>
      </c>
      <c r="D1171" s="2">
        <f t="shared" si="2"/>
        <v>170286.381</v>
      </c>
      <c r="E1171" s="5">
        <f t="shared" si="1"/>
        <v>0.000121978438</v>
      </c>
    </row>
    <row r="1172" ht="15.75" customHeight="1">
      <c r="B1172" s="3" t="s">
        <v>705</v>
      </c>
      <c r="C1172" s="2">
        <v>-580.271</v>
      </c>
      <c r="D1172" s="2">
        <f t="shared" si="2"/>
        <v>169706.11</v>
      </c>
      <c r="E1172" s="5">
        <f t="shared" si="1"/>
        <v>-0.003413437525</v>
      </c>
    </row>
    <row r="1173" ht="15.75" customHeight="1">
      <c r="B1173" s="3" t="s">
        <v>706</v>
      </c>
      <c r="C1173" s="2">
        <v>-41.57</v>
      </c>
      <c r="D1173" s="2">
        <f t="shared" si="2"/>
        <v>169664.54</v>
      </c>
      <c r="E1173" s="5">
        <f t="shared" si="1"/>
        <v>-0.0002449828835</v>
      </c>
    </row>
    <row r="1174" ht="15.75" customHeight="1">
      <c r="B1174" s="3" t="s">
        <v>707</v>
      </c>
      <c r="C1174" s="2">
        <v>-63.235</v>
      </c>
      <c r="D1174" s="2">
        <f t="shared" si="2"/>
        <v>169601.305</v>
      </c>
      <c r="E1174" s="5">
        <f t="shared" si="1"/>
        <v>-0.000372775519</v>
      </c>
    </row>
    <row r="1175" ht="15.75" customHeight="1">
      <c r="B1175" s="3" t="s">
        <v>708</v>
      </c>
      <c r="C1175" s="2">
        <v>-203.687</v>
      </c>
      <c r="D1175" s="2">
        <f t="shared" si="2"/>
        <v>169397.618</v>
      </c>
      <c r="E1175" s="5">
        <f t="shared" si="1"/>
        <v>-0.001201697178</v>
      </c>
    </row>
    <row r="1176" ht="15.75" customHeight="1">
      <c r="B1176" s="3" t="s">
        <v>709</v>
      </c>
      <c r="C1176" s="2">
        <v>20.234</v>
      </c>
      <c r="D1176" s="2">
        <f t="shared" si="2"/>
        <v>169417.852</v>
      </c>
      <c r="E1176" s="5">
        <f t="shared" si="1"/>
        <v>0.0001194396467</v>
      </c>
    </row>
    <row r="1177" ht="15.75" customHeight="1">
      <c r="B1177" s="3" t="s">
        <v>710</v>
      </c>
      <c r="C1177" s="2">
        <v>600.37</v>
      </c>
      <c r="D1177" s="2">
        <f t="shared" si="2"/>
        <v>170018.222</v>
      </c>
      <c r="E1177" s="5">
        <f t="shared" si="1"/>
        <v>0.003537459169</v>
      </c>
    </row>
    <row r="1178" ht="15.75" customHeight="1">
      <c r="B1178" s="3">
        <v>44570.0</v>
      </c>
      <c r="C1178" s="2">
        <v>0.0</v>
      </c>
      <c r="D1178" s="2">
        <f t="shared" si="2"/>
        <v>170018.222</v>
      </c>
      <c r="E1178" s="5">
        <f t="shared" si="1"/>
        <v>0</v>
      </c>
    </row>
    <row r="1179" ht="15.75" customHeight="1">
      <c r="B1179" s="3">
        <v>44601.0</v>
      </c>
      <c r="C1179" s="2">
        <v>-119.537</v>
      </c>
      <c r="D1179" s="2">
        <f t="shared" si="2"/>
        <v>169898.685</v>
      </c>
      <c r="E1179" s="5">
        <f t="shared" si="1"/>
        <v>-0.0007033307403</v>
      </c>
    </row>
    <row r="1180" ht="15.75" customHeight="1">
      <c r="B1180" s="3">
        <v>44721.0</v>
      </c>
      <c r="C1180" s="2">
        <v>39.421</v>
      </c>
      <c r="D1180" s="2">
        <f t="shared" si="2"/>
        <v>169938.106</v>
      </c>
      <c r="E1180" s="5">
        <f t="shared" si="1"/>
        <v>0.0002319996023</v>
      </c>
    </row>
    <row r="1181" ht="15.75" customHeight="1">
      <c r="B1181" s="3">
        <v>44751.0</v>
      </c>
      <c r="C1181" s="2">
        <v>-117.784</v>
      </c>
      <c r="D1181" s="2">
        <f t="shared" si="2"/>
        <v>169820.322</v>
      </c>
      <c r="E1181" s="5">
        <f t="shared" si="1"/>
        <v>-0.0006933397085</v>
      </c>
    </row>
    <row r="1182" ht="15.75" customHeight="1">
      <c r="B1182" s="3">
        <v>44782.0</v>
      </c>
      <c r="C1182" s="2">
        <v>379.834</v>
      </c>
      <c r="D1182" s="2">
        <f t="shared" si="2"/>
        <v>170200.156</v>
      </c>
      <c r="E1182" s="5">
        <f t="shared" si="1"/>
        <v>0.002234184013</v>
      </c>
    </row>
    <row r="1183" ht="15.75" customHeight="1">
      <c r="B1183" s="3">
        <v>44813.0</v>
      </c>
      <c r="C1183" s="2">
        <v>261.637</v>
      </c>
      <c r="D1183" s="2">
        <f t="shared" si="2"/>
        <v>170461.793</v>
      </c>
      <c r="E1183" s="5">
        <f t="shared" si="1"/>
        <v>0.001536050928</v>
      </c>
    </row>
    <row r="1184" ht="15.75" customHeight="1">
      <c r="B1184" s="3">
        <v>44904.0</v>
      </c>
      <c r="C1184" s="2">
        <v>102.175</v>
      </c>
      <c r="D1184" s="2">
        <f t="shared" si="2"/>
        <v>170563.968</v>
      </c>
      <c r="E1184" s="5">
        <f t="shared" si="1"/>
        <v>0.0005992216116</v>
      </c>
    </row>
    <row r="1185" ht="15.75" customHeight="1">
      <c r="B1185" s="3" t="s">
        <v>711</v>
      </c>
      <c r="C1185" s="2">
        <v>-103.256</v>
      </c>
      <c r="D1185" s="2">
        <f t="shared" si="2"/>
        <v>170460.712</v>
      </c>
      <c r="E1185" s="5">
        <f t="shared" si="1"/>
        <v>-0.0006055632288</v>
      </c>
    </row>
    <row r="1186" ht="15.75" customHeight="1">
      <c r="B1186" s="3" t="s">
        <v>712</v>
      </c>
      <c r="C1186" s="2">
        <v>0.0</v>
      </c>
      <c r="D1186" s="2">
        <f t="shared" si="2"/>
        <v>170460.712</v>
      </c>
      <c r="E1186" s="5">
        <f t="shared" si="1"/>
        <v>0</v>
      </c>
    </row>
    <row r="1187" ht="15.75" customHeight="1">
      <c r="B1187" s="3" t="s">
        <v>713</v>
      </c>
      <c r="C1187" s="2">
        <v>-59.494</v>
      </c>
      <c r="D1187" s="2">
        <f t="shared" si="2"/>
        <v>170401.218</v>
      </c>
      <c r="E1187" s="5">
        <f t="shared" si="1"/>
        <v>-0.0003490797614</v>
      </c>
    </row>
    <row r="1188" ht="15.75" customHeight="1">
      <c r="B1188" s="3" t="s">
        <v>714</v>
      </c>
      <c r="C1188" s="2">
        <v>-117.653</v>
      </c>
      <c r="D1188" s="2">
        <f t="shared" si="2"/>
        <v>170283.565</v>
      </c>
      <c r="E1188" s="5">
        <f t="shared" si="1"/>
        <v>-0.000690685411</v>
      </c>
    </row>
    <row r="1189" ht="15.75" customHeight="1">
      <c r="B1189" s="3" t="s">
        <v>715</v>
      </c>
      <c r="C1189" s="2">
        <v>155.746</v>
      </c>
      <c r="D1189" s="2">
        <f t="shared" si="2"/>
        <v>170439.311</v>
      </c>
      <c r="E1189" s="5">
        <f t="shared" si="1"/>
        <v>0.0009142092992</v>
      </c>
    </row>
    <row r="1190" ht="15.75" customHeight="1">
      <c r="B1190" s="3" t="s">
        <v>716</v>
      </c>
      <c r="C1190" s="2">
        <v>-39.204</v>
      </c>
      <c r="D1190" s="2">
        <f t="shared" si="2"/>
        <v>170400.107</v>
      </c>
      <c r="E1190" s="5">
        <f t="shared" si="1"/>
        <v>-0.000230043816</v>
      </c>
    </row>
    <row r="1191" ht="15.75" customHeight="1">
      <c r="B1191" s="3" t="s">
        <v>717</v>
      </c>
      <c r="C1191" s="2">
        <v>-58.143</v>
      </c>
      <c r="D1191" s="2">
        <f t="shared" si="2"/>
        <v>170341.964</v>
      </c>
      <c r="E1191" s="5">
        <f t="shared" si="1"/>
        <v>-0.0003412728014</v>
      </c>
    </row>
    <row r="1192" ht="15.75" customHeight="1">
      <c r="B1192" s="3" t="s">
        <v>718</v>
      </c>
      <c r="C1192" s="2">
        <v>247.658</v>
      </c>
      <c r="D1192" s="2">
        <f t="shared" si="2"/>
        <v>170589.622</v>
      </c>
      <c r="E1192" s="5">
        <f t="shared" si="1"/>
        <v>0.001452831323</v>
      </c>
    </row>
    <row r="1193" ht="15.75" customHeight="1">
      <c r="B1193" s="3" t="s">
        <v>719</v>
      </c>
      <c r="C1193" s="2">
        <v>-37.782</v>
      </c>
      <c r="D1193" s="2">
        <f t="shared" si="2"/>
        <v>170551.84</v>
      </c>
      <c r="E1193" s="5">
        <f t="shared" si="1"/>
        <v>-0.0002215034193</v>
      </c>
    </row>
    <row r="1194" ht="15.75" customHeight="1">
      <c r="B1194" s="3" t="s">
        <v>720</v>
      </c>
      <c r="C1194" s="2">
        <v>-612.673</v>
      </c>
      <c r="D1194" s="2">
        <f t="shared" si="2"/>
        <v>169939.167</v>
      </c>
      <c r="E1194" s="5">
        <f t="shared" si="1"/>
        <v>-0.003598765598</v>
      </c>
    </row>
    <row r="1195" ht="15.75" customHeight="1">
      <c r="B1195" s="3" t="s">
        <v>721</v>
      </c>
      <c r="C1195" s="2">
        <v>146.229</v>
      </c>
      <c r="D1195" s="2">
        <f t="shared" si="2"/>
        <v>170085.396</v>
      </c>
      <c r="E1195" s="5">
        <f t="shared" si="1"/>
        <v>0.0008601085035</v>
      </c>
    </row>
    <row r="1196" ht="15.75" customHeight="1">
      <c r="B1196" s="3" t="s">
        <v>722</v>
      </c>
      <c r="C1196" s="2">
        <v>820.843</v>
      </c>
      <c r="D1196" s="2">
        <f t="shared" si="2"/>
        <v>170906.239</v>
      </c>
      <c r="E1196" s="5">
        <f t="shared" si="1"/>
        <v>0.004814455847</v>
      </c>
    </row>
    <row r="1197" ht="15.75" customHeight="1">
      <c r="B1197" s="3" t="s">
        <v>723</v>
      </c>
      <c r="C1197" s="2">
        <v>167.408</v>
      </c>
      <c r="D1197" s="2">
        <f t="shared" si="2"/>
        <v>171073.647</v>
      </c>
      <c r="E1197" s="5">
        <f t="shared" si="1"/>
        <v>0.0009790518111</v>
      </c>
    </row>
    <row r="1198" ht="15.75" customHeight="1">
      <c r="B1198" s="3" t="s">
        <v>724</v>
      </c>
      <c r="C1198" s="2">
        <v>109.263</v>
      </c>
      <c r="D1198" s="2">
        <f t="shared" si="2"/>
        <v>171182.91</v>
      </c>
      <c r="E1198" s="5">
        <f t="shared" si="1"/>
        <v>0.0006384859631</v>
      </c>
    </row>
    <row r="1199" ht="15.75" customHeight="1">
      <c r="B1199" s="3">
        <v>44630.0</v>
      </c>
      <c r="C1199" s="2">
        <v>-107.622</v>
      </c>
      <c r="D1199" s="2">
        <f t="shared" si="2"/>
        <v>171075.288</v>
      </c>
      <c r="E1199" s="5">
        <f t="shared" si="1"/>
        <v>-0.0006288936492</v>
      </c>
    </row>
    <row r="1200" ht="15.75" customHeight="1">
      <c r="B1200" s="3">
        <v>44661.0</v>
      </c>
      <c r="C1200" s="2">
        <v>625.648</v>
      </c>
      <c r="D1200" s="2">
        <f t="shared" si="2"/>
        <v>171700.936</v>
      </c>
      <c r="E1200" s="5">
        <f t="shared" si="1"/>
        <v>0.003650478948</v>
      </c>
    </row>
    <row r="1201" ht="15.75" customHeight="1">
      <c r="B1201" s="3">
        <v>44691.0</v>
      </c>
      <c r="C1201" s="2">
        <v>189.66</v>
      </c>
      <c r="D1201" s="2">
        <f t="shared" si="2"/>
        <v>171890.596</v>
      </c>
      <c r="E1201" s="5">
        <f t="shared" si="1"/>
        <v>0.001103985411</v>
      </c>
    </row>
    <row r="1202" ht="15.75" customHeight="1">
      <c r="B1202" s="3">
        <v>44722.0</v>
      </c>
      <c r="C1202" s="2">
        <v>-170.364</v>
      </c>
      <c r="D1202" s="2">
        <f t="shared" si="2"/>
        <v>171720.232</v>
      </c>
      <c r="E1202" s="5">
        <f t="shared" si="1"/>
        <v>-0.0009916102758</v>
      </c>
    </row>
    <row r="1203" ht="15.75" customHeight="1">
      <c r="B1203" s="3">
        <v>44752.0</v>
      </c>
      <c r="C1203" s="2">
        <v>356.065</v>
      </c>
      <c r="D1203" s="2">
        <f t="shared" si="2"/>
        <v>172076.297</v>
      </c>
      <c r="E1203" s="5">
        <f t="shared" si="1"/>
        <v>0.002071371275</v>
      </c>
    </row>
    <row r="1204" ht="15.75" customHeight="1">
      <c r="B1204" s="3">
        <v>44844.0</v>
      </c>
      <c r="C1204" s="2">
        <v>-109.296</v>
      </c>
      <c r="D1204" s="2">
        <f t="shared" si="2"/>
        <v>171967.001</v>
      </c>
      <c r="E1204" s="5">
        <f t="shared" si="1"/>
        <v>-0.0006353619112</v>
      </c>
    </row>
    <row r="1205" ht="15.75" customHeight="1">
      <c r="B1205" s="3">
        <v>44875.0</v>
      </c>
      <c r="C1205" s="2">
        <v>216.954</v>
      </c>
      <c r="D1205" s="2">
        <f t="shared" si="2"/>
        <v>172183.955</v>
      </c>
      <c r="E1205" s="5">
        <f t="shared" si="1"/>
        <v>0.001260807358</v>
      </c>
    </row>
    <row r="1206" ht="15.75" customHeight="1">
      <c r="B1206" s="3">
        <v>44905.0</v>
      </c>
      <c r="C1206" s="2">
        <v>179.619</v>
      </c>
      <c r="D1206" s="2">
        <f t="shared" si="2"/>
        <v>172363.574</v>
      </c>
      <c r="E1206" s="5">
        <f t="shared" si="1"/>
        <v>0.001042637089</v>
      </c>
    </row>
    <row r="1207" ht="15.75" customHeight="1">
      <c r="B1207" s="3" t="s">
        <v>725</v>
      </c>
      <c r="C1207" s="2">
        <v>-17.903</v>
      </c>
      <c r="D1207" s="2">
        <f t="shared" si="2"/>
        <v>172345.671</v>
      </c>
      <c r="E1207" s="5">
        <f t="shared" si="1"/>
        <v>-0.0001038730482</v>
      </c>
    </row>
    <row r="1208" ht="15.75" customHeight="1">
      <c r="B1208" s="3" t="s">
        <v>726</v>
      </c>
      <c r="C1208" s="2">
        <v>128.594</v>
      </c>
      <c r="D1208" s="2">
        <f t="shared" si="2"/>
        <v>172474.265</v>
      </c>
      <c r="E1208" s="5">
        <f t="shared" si="1"/>
        <v>0.000745861782</v>
      </c>
    </row>
    <row r="1209" ht="15.75" customHeight="1">
      <c r="B1209" s="3" t="s">
        <v>727</v>
      </c>
      <c r="C1209" s="2">
        <v>89.683</v>
      </c>
      <c r="D1209" s="2">
        <f t="shared" si="2"/>
        <v>172563.948</v>
      </c>
      <c r="E1209" s="5">
        <f t="shared" si="1"/>
        <v>0.0005198438819</v>
      </c>
    </row>
    <row r="1210" ht="15.75" customHeight="1">
      <c r="B1210" s="3" t="s">
        <v>728</v>
      </c>
      <c r="C1210" s="2">
        <v>423.462</v>
      </c>
      <c r="D1210" s="2">
        <f t="shared" si="2"/>
        <v>172987.41</v>
      </c>
      <c r="E1210" s="5">
        <f t="shared" si="1"/>
        <v>0.002450936465</v>
      </c>
    </row>
    <row r="1211" ht="15.75" customHeight="1">
      <c r="B1211" s="3" t="s">
        <v>729</v>
      </c>
      <c r="C1211" s="2">
        <v>-335.2</v>
      </c>
      <c r="D1211" s="2">
        <f t="shared" si="2"/>
        <v>172652.21</v>
      </c>
      <c r="E1211" s="5">
        <f t="shared" si="1"/>
        <v>-0.001939593066</v>
      </c>
    </row>
    <row r="1212" ht="15.75" customHeight="1">
      <c r="B1212" s="3" t="s">
        <v>730</v>
      </c>
      <c r="C1212" s="2">
        <v>332.962</v>
      </c>
      <c r="D1212" s="2">
        <f t="shared" si="2"/>
        <v>172985.172</v>
      </c>
      <c r="E1212" s="5">
        <f t="shared" si="1"/>
        <v>0.001926655624</v>
      </c>
    </row>
    <row r="1213" ht="15.75" customHeight="1">
      <c r="B1213" s="3" t="s">
        <v>731</v>
      </c>
      <c r="C1213" s="2">
        <v>679.055</v>
      </c>
      <c r="D1213" s="2">
        <f t="shared" si="2"/>
        <v>173664.227</v>
      </c>
      <c r="E1213" s="5">
        <f t="shared" si="1"/>
        <v>0.00391782516</v>
      </c>
    </row>
    <row r="1214" ht="15.75" customHeight="1">
      <c r="B1214" s="3" t="s">
        <v>732</v>
      </c>
      <c r="C1214" s="2">
        <v>319.406</v>
      </c>
      <c r="D1214" s="2">
        <f t="shared" si="2"/>
        <v>173983.633</v>
      </c>
      <c r="E1214" s="5">
        <f t="shared" si="1"/>
        <v>0.00183752657</v>
      </c>
    </row>
    <row r="1215" ht="15.75" customHeight="1">
      <c r="B1215" s="3" t="s">
        <v>733</v>
      </c>
      <c r="C1215" s="2">
        <v>152.094</v>
      </c>
      <c r="D1215" s="2">
        <f t="shared" si="2"/>
        <v>174135.727</v>
      </c>
      <c r="E1215" s="5">
        <f t="shared" si="1"/>
        <v>0.0008738037992</v>
      </c>
    </row>
    <row r="1216" ht="15.75" customHeight="1">
      <c r="B1216" s="3" t="s">
        <v>734</v>
      </c>
      <c r="C1216" s="2">
        <v>560.313</v>
      </c>
      <c r="D1216" s="2">
        <f t="shared" si="2"/>
        <v>174696.04</v>
      </c>
      <c r="E1216" s="5">
        <f t="shared" si="1"/>
        <v>0.003212514082</v>
      </c>
    </row>
    <row r="1217" ht="15.75" customHeight="1">
      <c r="B1217" s="3" t="s">
        <v>735</v>
      </c>
      <c r="C1217" s="2">
        <v>556.181</v>
      </c>
      <c r="D1217" s="2">
        <f t="shared" si="2"/>
        <v>175252.221</v>
      </c>
      <c r="E1217" s="5">
        <f t="shared" si="1"/>
        <v>0.003178649705</v>
      </c>
    </row>
    <row r="1218" ht="15.75" customHeight="1">
      <c r="B1218" s="3" t="s">
        <v>736</v>
      </c>
      <c r="C1218" s="2">
        <v>228.748</v>
      </c>
      <c r="D1218" s="2">
        <f t="shared" si="2"/>
        <v>175480.969</v>
      </c>
      <c r="E1218" s="5">
        <f t="shared" si="1"/>
        <v>0.001304399121</v>
      </c>
    </row>
    <row r="1219" ht="15.75" customHeight="1">
      <c r="B1219" s="3" t="s">
        <v>737</v>
      </c>
      <c r="C1219" s="2">
        <v>97.669</v>
      </c>
      <c r="D1219" s="2">
        <f t="shared" si="2"/>
        <v>175578.638</v>
      </c>
      <c r="E1219" s="5">
        <f t="shared" si="1"/>
        <v>0.0005564240407</v>
      </c>
    </row>
    <row r="1220" ht="15.75" customHeight="1">
      <c r="B1220" s="3">
        <v>44572.0</v>
      </c>
      <c r="C1220" s="2">
        <v>-58.167</v>
      </c>
      <c r="D1220" s="2">
        <f t="shared" si="2"/>
        <v>175520.471</v>
      </c>
      <c r="E1220" s="5">
        <f t="shared" si="1"/>
        <v>-0.000331342342</v>
      </c>
    </row>
    <row r="1221" ht="15.75" customHeight="1">
      <c r="B1221" s="3">
        <v>44603.0</v>
      </c>
      <c r="C1221" s="2">
        <v>289.644</v>
      </c>
      <c r="D1221" s="2">
        <f t="shared" si="2"/>
        <v>175810.115</v>
      </c>
      <c r="E1221" s="5">
        <f t="shared" si="1"/>
        <v>0.001648840592</v>
      </c>
    </row>
    <row r="1222" ht="15.75" customHeight="1">
      <c r="B1222" s="3">
        <v>44631.0</v>
      </c>
      <c r="C1222" s="2">
        <v>37.654</v>
      </c>
      <c r="D1222" s="2">
        <f t="shared" si="2"/>
        <v>175847.769</v>
      </c>
      <c r="E1222" s="5">
        <f t="shared" si="1"/>
        <v>0.0002141513207</v>
      </c>
    </row>
    <row r="1223" ht="15.75" customHeight="1">
      <c r="B1223" s="3">
        <v>44662.0</v>
      </c>
      <c r="C1223" s="2">
        <v>0.0</v>
      </c>
      <c r="D1223" s="2">
        <f t="shared" si="2"/>
        <v>175847.769</v>
      </c>
      <c r="E1223" s="5">
        <f t="shared" si="1"/>
        <v>0</v>
      </c>
    </row>
    <row r="1224" ht="15.75" customHeight="1">
      <c r="B1224" s="3">
        <v>44753.0</v>
      </c>
      <c r="C1224" s="2">
        <v>-18.888</v>
      </c>
      <c r="D1224" s="2">
        <f t="shared" si="2"/>
        <v>175828.881</v>
      </c>
      <c r="E1224" s="5">
        <f t="shared" si="1"/>
        <v>-0.0001074168559</v>
      </c>
    </row>
    <row r="1225" ht="15.75" customHeight="1">
      <c r="B1225" s="3">
        <v>44784.0</v>
      </c>
      <c r="C1225" s="2">
        <v>0.0</v>
      </c>
      <c r="D1225" s="2">
        <f t="shared" si="2"/>
        <v>175828.881</v>
      </c>
      <c r="E1225" s="5">
        <f t="shared" si="1"/>
        <v>0</v>
      </c>
    </row>
    <row r="1226" ht="15.75" customHeight="1">
      <c r="B1226" s="3">
        <v>44815.0</v>
      </c>
      <c r="C1226" s="2">
        <v>95.882</v>
      </c>
      <c r="D1226" s="2">
        <f t="shared" si="2"/>
        <v>175924.763</v>
      </c>
      <c r="E1226" s="5">
        <f t="shared" si="1"/>
        <v>0.0005451656522</v>
      </c>
    </row>
    <row r="1227" ht="15.75" customHeight="1">
      <c r="B1227" s="3">
        <v>44845.0</v>
      </c>
      <c r="C1227" s="2">
        <v>-1784.293</v>
      </c>
      <c r="D1227" s="2">
        <f t="shared" si="2"/>
        <v>174140.47</v>
      </c>
      <c r="E1227" s="5">
        <f t="shared" si="1"/>
        <v>-0.01019414831</v>
      </c>
    </row>
    <row r="1228" ht="15.75" customHeight="1">
      <c r="B1228" s="3">
        <v>44876.0</v>
      </c>
      <c r="C1228" s="2">
        <v>39.649</v>
      </c>
      <c r="D1228" s="2">
        <f t="shared" si="2"/>
        <v>174180.119</v>
      </c>
      <c r="E1228" s="5">
        <f t="shared" si="1"/>
        <v>0.000227658091</v>
      </c>
    </row>
    <row r="1229" ht="15.75" customHeight="1">
      <c r="B1229" s="3" t="s">
        <v>738</v>
      </c>
      <c r="C1229" s="2">
        <v>160.062</v>
      </c>
      <c r="D1229" s="2">
        <f t="shared" si="2"/>
        <v>174340.181</v>
      </c>
      <c r="E1229" s="5">
        <f t="shared" si="1"/>
        <v>0.0009185233185</v>
      </c>
    </row>
    <row r="1230" ht="15.75" customHeight="1">
      <c r="B1230" s="3" t="s">
        <v>739</v>
      </c>
      <c r="C1230" s="2">
        <v>1110.672</v>
      </c>
      <c r="D1230" s="2">
        <f t="shared" si="2"/>
        <v>175450.853</v>
      </c>
      <c r="E1230" s="5">
        <f t="shared" si="1"/>
        <v>0.006350510017</v>
      </c>
    </row>
    <row r="1231" ht="15.75" customHeight="1">
      <c r="B1231" s="3" t="s">
        <v>740</v>
      </c>
      <c r="C1231" s="2">
        <v>100.038</v>
      </c>
      <c r="D1231" s="2">
        <f t="shared" si="2"/>
        <v>175550.891</v>
      </c>
      <c r="E1231" s="5">
        <f t="shared" si="1"/>
        <v>0.0005700142772</v>
      </c>
    </row>
    <row r="1232" ht="15.75" customHeight="1">
      <c r="B1232" s="3" t="s">
        <v>741</v>
      </c>
      <c r="C1232" s="2">
        <v>119.083</v>
      </c>
      <c r="D1232" s="2">
        <f t="shared" si="2"/>
        <v>175669.974</v>
      </c>
      <c r="E1232" s="5">
        <f t="shared" si="1"/>
        <v>0.0006781089419</v>
      </c>
    </row>
    <row r="1233" ht="15.75" customHeight="1">
      <c r="B1233" s="3" t="s">
        <v>742</v>
      </c>
      <c r="C1233" s="2">
        <v>-79.16</v>
      </c>
      <c r="D1233" s="2">
        <f t="shared" si="2"/>
        <v>175590.814</v>
      </c>
      <c r="E1233" s="5">
        <f t="shared" si="1"/>
        <v>-0.0004507192607</v>
      </c>
    </row>
    <row r="1234" ht="15.75" customHeight="1">
      <c r="B1234" s="3" t="s">
        <v>743</v>
      </c>
      <c r="C1234" s="2">
        <v>0.0</v>
      </c>
      <c r="D1234" s="2">
        <f t="shared" si="2"/>
        <v>175590.814</v>
      </c>
      <c r="E1234" s="5">
        <f t="shared" si="1"/>
        <v>0</v>
      </c>
    </row>
    <row r="1235" ht="15.75" customHeight="1">
      <c r="B1235" s="3" t="s">
        <v>744</v>
      </c>
      <c r="C1235" s="2">
        <v>118.858</v>
      </c>
      <c r="D1235" s="2">
        <f t="shared" si="2"/>
        <v>175709.672</v>
      </c>
      <c r="E1235" s="5">
        <f t="shared" si="1"/>
        <v>0.0006766742961</v>
      </c>
    </row>
    <row r="1236" ht="15.75" customHeight="1">
      <c r="B1236" s="3" t="s">
        <v>745</v>
      </c>
      <c r="C1236" s="2">
        <v>-120.475</v>
      </c>
      <c r="D1236" s="2">
        <f t="shared" si="2"/>
        <v>175589.197</v>
      </c>
      <c r="E1236" s="5">
        <f t="shared" si="1"/>
        <v>-0.0006858832484</v>
      </c>
    </row>
    <row r="1237" ht="15.75" customHeight="1">
      <c r="B1237" s="3" t="s">
        <v>746</v>
      </c>
      <c r="C1237" s="2">
        <v>121.194</v>
      </c>
      <c r="D1237" s="2">
        <f t="shared" si="2"/>
        <v>175710.391</v>
      </c>
      <c r="E1237" s="5">
        <f t="shared" si="1"/>
        <v>0.0006899752174</v>
      </c>
    </row>
    <row r="1238" ht="15.75" customHeight="1">
      <c r="B1238" s="3" t="s">
        <v>747</v>
      </c>
      <c r="C1238" s="2">
        <v>161.55</v>
      </c>
      <c r="D1238" s="2">
        <f t="shared" si="2"/>
        <v>175871.941</v>
      </c>
      <c r="E1238" s="5">
        <f t="shared" si="1"/>
        <v>0.0009189882236</v>
      </c>
    </row>
    <row r="1239" ht="15.75" customHeight="1">
      <c r="B1239" s="3" t="s">
        <v>748</v>
      </c>
      <c r="C1239" s="2">
        <v>119.292</v>
      </c>
      <c r="D1239" s="2">
        <f t="shared" si="2"/>
        <v>175991.233</v>
      </c>
      <c r="E1239" s="5">
        <f t="shared" si="1"/>
        <v>0.000678059049</v>
      </c>
    </row>
    <row r="1240" ht="15.75" customHeight="1">
      <c r="B1240" s="3" t="s">
        <v>749</v>
      </c>
      <c r="C1240" s="2">
        <v>436.745</v>
      </c>
      <c r="D1240" s="2">
        <f t="shared" si="2"/>
        <v>176427.978</v>
      </c>
      <c r="E1240" s="5">
        <f t="shared" si="1"/>
        <v>0.002478555141</v>
      </c>
    </row>
    <row r="1241" ht="15.75" customHeight="1">
      <c r="B1241" s="3">
        <v>44573.0</v>
      </c>
      <c r="C1241" s="2">
        <v>122.83</v>
      </c>
      <c r="D1241" s="2">
        <f t="shared" si="2"/>
        <v>176550.808</v>
      </c>
      <c r="E1241" s="5">
        <f t="shared" si="1"/>
        <v>0.0006959625328</v>
      </c>
    </row>
    <row r="1242" ht="15.75" customHeight="1">
      <c r="B1242" s="3">
        <v>44604.0</v>
      </c>
      <c r="C1242" s="2">
        <v>634.185</v>
      </c>
      <c r="D1242" s="2">
        <f t="shared" si="2"/>
        <v>177184.993</v>
      </c>
      <c r="E1242" s="5">
        <f t="shared" si="1"/>
        <v>0.003585645997</v>
      </c>
    </row>
    <row r="1243" ht="15.75" customHeight="1">
      <c r="B1243" s="3">
        <v>44693.0</v>
      </c>
      <c r="C1243" s="2">
        <v>306.52</v>
      </c>
      <c r="D1243" s="2">
        <f t="shared" si="2"/>
        <v>177491.513</v>
      </c>
      <c r="E1243" s="5">
        <f t="shared" si="1"/>
        <v>0.001728448719</v>
      </c>
    </row>
    <row r="1244" ht="15.75" customHeight="1">
      <c r="B1244" s="3">
        <v>44724.0</v>
      </c>
      <c r="C1244" s="2">
        <v>60.208</v>
      </c>
      <c r="D1244" s="2">
        <f t="shared" si="2"/>
        <v>177551.721</v>
      </c>
      <c r="E1244" s="5">
        <f t="shared" si="1"/>
        <v>0.0003391586985</v>
      </c>
    </row>
    <row r="1245" ht="15.75" customHeight="1">
      <c r="B1245" s="3">
        <v>44754.0</v>
      </c>
      <c r="C1245" s="2">
        <v>197.81</v>
      </c>
      <c r="D1245" s="2">
        <f t="shared" si="2"/>
        <v>177749.531</v>
      </c>
      <c r="E1245" s="5">
        <f t="shared" si="1"/>
        <v>0.001113477756</v>
      </c>
    </row>
    <row r="1246" ht="15.75" customHeight="1">
      <c r="B1246" s="3">
        <v>44785.0</v>
      </c>
      <c r="C1246" s="2">
        <v>-335.658</v>
      </c>
      <c r="D1246" s="2">
        <f t="shared" si="2"/>
        <v>177413.873</v>
      </c>
      <c r="E1246" s="5">
        <f t="shared" si="1"/>
        <v>-0.001890161521</v>
      </c>
    </row>
    <row r="1247" ht="15.75" customHeight="1">
      <c r="B1247" s="3">
        <v>44816.0</v>
      </c>
      <c r="C1247" s="2">
        <v>-358.127</v>
      </c>
      <c r="D1247" s="2">
        <f t="shared" si="2"/>
        <v>177055.746</v>
      </c>
      <c r="E1247" s="5">
        <f t="shared" si="1"/>
        <v>-0.002020636481</v>
      </c>
    </row>
    <row r="1248" ht="15.75" customHeight="1">
      <c r="B1248" s="3">
        <v>44907.0</v>
      </c>
      <c r="C1248" s="2">
        <v>-197.505</v>
      </c>
      <c r="D1248" s="2">
        <f t="shared" si="2"/>
        <v>176858.241</v>
      </c>
      <c r="E1248" s="5">
        <f t="shared" si="1"/>
        <v>-0.001116118762</v>
      </c>
    </row>
    <row r="1249" ht="15.75" customHeight="1">
      <c r="B1249" s="3" t="s">
        <v>750</v>
      </c>
      <c r="C1249" s="2">
        <v>-360.587</v>
      </c>
      <c r="D1249" s="2">
        <f t="shared" si="2"/>
        <v>176497.654</v>
      </c>
      <c r="E1249" s="5">
        <f t="shared" si="1"/>
        <v>-0.002040928878</v>
      </c>
    </row>
    <row r="1250" ht="15.75" customHeight="1">
      <c r="B1250" s="3" t="s">
        <v>751</v>
      </c>
      <c r="C1250" s="2">
        <v>3255.11</v>
      </c>
      <c r="D1250" s="2">
        <f t="shared" si="2"/>
        <v>179752.764</v>
      </c>
      <c r="E1250" s="5">
        <f t="shared" si="1"/>
        <v>0.01827478889</v>
      </c>
    </row>
    <row r="1251" ht="15.75" customHeight="1">
      <c r="B1251" s="3" t="s">
        <v>752</v>
      </c>
      <c r="C1251" s="2">
        <v>-5093.743</v>
      </c>
      <c r="D1251" s="2">
        <f t="shared" si="2"/>
        <v>174659.021</v>
      </c>
      <c r="E1251" s="5">
        <f t="shared" si="1"/>
        <v>-0.0287467516</v>
      </c>
    </row>
    <row r="1252" ht="15.75" customHeight="1">
      <c r="B1252" s="3" t="s">
        <v>753</v>
      </c>
      <c r="C1252" s="2">
        <v>779.157</v>
      </c>
      <c r="D1252" s="2">
        <f t="shared" si="2"/>
        <v>175438.178</v>
      </c>
      <c r="E1252" s="5">
        <f t="shared" si="1"/>
        <v>0.004451096945</v>
      </c>
    </row>
    <row r="1253" ht="15.75" customHeight="1">
      <c r="B1253" s="3" t="s">
        <v>754</v>
      </c>
      <c r="C1253" s="2">
        <v>154.107</v>
      </c>
      <c r="D1253" s="2">
        <f t="shared" si="2"/>
        <v>175592.285</v>
      </c>
      <c r="E1253" s="5">
        <f t="shared" si="1"/>
        <v>0.0008780264173</v>
      </c>
    </row>
    <row r="1254" ht="15.75" customHeight="1">
      <c r="B1254" s="3" t="s">
        <v>755</v>
      </c>
      <c r="C1254" s="2">
        <v>-133.638</v>
      </c>
      <c r="D1254" s="2">
        <f t="shared" si="2"/>
        <v>175458.647</v>
      </c>
      <c r="E1254" s="5">
        <f t="shared" si="1"/>
        <v>-0.0007613596448</v>
      </c>
    </row>
    <row r="1255" ht="15.75" customHeight="1">
      <c r="B1255" s="3" t="s">
        <v>756</v>
      </c>
      <c r="C1255" s="2">
        <v>19.112</v>
      </c>
      <c r="D1255" s="2">
        <f t="shared" si="2"/>
        <v>175477.759</v>
      </c>
      <c r="E1255" s="5">
        <f t="shared" si="1"/>
        <v>0.0001089200191</v>
      </c>
    </row>
    <row r="1256" ht="15.75" customHeight="1">
      <c r="B1256" s="3" t="s">
        <v>757</v>
      </c>
      <c r="C1256" s="2">
        <v>-2056.242</v>
      </c>
      <c r="D1256" s="2">
        <f t="shared" si="2"/>
        <v>173421.517</v>
      </c>
      <c r="E1256" s="5">
        <f t="shared" si="1"/>
        <v>-0.01178716007</v>
      </c>
    </row>
    <row r="1257" ht="15.75" customHeight="1">
      <c r="B1257" s="3" t="s">
        <v>758</v>
      </c>
      <c r="C1257" s="2">
        <v>229.418</v>
      </c>
      <c r="D1257" s="2">
        <f t="shared" si="2"/>
        <v>173650.935</v>
      </c>
      <c r="E1257" s="5">
        <f t="shared" si="1"/>
        <v>0.001322018109</v>
      </c>
    </row>
    <row r="1258" ht="15.75" customHeight="1">
      <c r="B1258" s="3" t="s">
        <v>759</v>
      </c>
      <c r="C1258" s="2">
        <v>76.923</v>
      </c>
      <c r="D1258" s="2">
        <f t="shared" si="2"/>
        <v>173727.858</v>
      </c>
      <c r="E1258" s="5">
        <f t="shared" si="1"/>
        <v>0.0004428767835</v>
      </c>
    </row>
    <row r="1259" ht="15.75" customHeight="1">
      <c r="B1259" s="3" t="s">
        <v>760</v>
      </c>
      <c r="C1259" s="2">
        <v>-153.236</v>
      </c>
      <c r="D1259" s="2">
        <f t="shared" si="2"/>
        <v>173574.622</v>
      </c>
      <c r="E1259" s="5">
        <f t="shared" si="1"/>
        <v>-0.000882435449</v>
      </c>
    </row>
    <row r="1260" ht="15.75" customHeight="1">
      <c r="B1260" s="3" t="s">
        <v>761</v>
      </c>
      <c r="C1260" s="2">
        <v>-132.47</v>
      </c>
      <c r="D1260" s="2">
        <f t="shared" si="2"/>
        <v>173442.152</v>
      </c>
      <c r="E1260" s="5">
        <f t="shared" si="1"/>
        <v>-0.0007634789806</v>
      </c>
    </row>
    <row r="1261" ht="15.75" customHeight="1">
      <c r="B1261" s="3">
        <v>44986.0</v>
      </c>
      <c r="C1261" s="2">
        <v>-57.628</v>
      </c>
      <c r="D1261" s="2">
        <f t="shared" si="2"/>
        <v>173384.524</v>
      </c>
      <c r="E1261" s="5">
        <f t="shared" si="1"/>
        <v>-0.0003323158483</v>
      </c>
    </row>
    <row r="1262" ht="15.75" customHeight="1">
      <c r="B1262" s="3">
        <v>45017.0</v>
      </c>
      <c r="C1262" s="2">
        <v>-229.599</v>
      </c>
      <c r="D1262" s="2">
        <f t="shared" si="2"/>
        <v>173154.925</v>
      </c>
      <c r="E1262" s="5">
        <f t="shared" si="1"/>
        <v>-0.001325096085</v>
      </c>
    </row>
    <row r="1263" ht="15.75" customHeight="1">
      <c r="B1263" s="3">
        <v>45047.0</v>
      </c>
      <c r="C1263" s="2">
        <v>-38.557</v>
      </c>
      <c r="D1263" s="2">
        <f t="shared" si="2"/>
        <v>173116.368</v>
      </c>
      <c r="E1263" s="5">
        <f t="shared" si="1"/>
        <v>-0.0002226982192</v>
      </c>
    </row>
    <row r="1264" ht="15.75" customHeight="1">
      <c r="B1264" s="3">
        <v>45078.0</v>
      </c>
      <c r="C1264" s="2">
        <v>-171.513</v>
      </c>
      <c r="D1264" s="2">
        <f t="shared" si="2"/>
        <v>172944.855</v>
      </c>
      <c r="E1264" s="5">
        <f t="shared" si="1"/>
        <v>-0.0009912293123</v>
      </c>
    </row>
    <row r="1265" ht="15.75" customHeight="1">
      <c r="B1265" s="3">
        <v>45170.0</v>
      </c>
      <c r="C1265" s="2">
        <v>77.97</v>
      </c>
      <c r="D1265" s="2">
        <f t="shared" si="2"/>
        <v>173022.825</v>
      </c>
      <c r="E1265" s="5">
        <f t="shared" si="1"/>
        <v>0.0004507357527</v>
      </c>
    </row>
    <row r="1266" ht="15.75" customHeight="1">
      <c r="B1266" s="3">
        <v>45200.0</v>
      </c>
      <c r="C1266" s="2">
        <v>-19.481</v>
      </c>
      <c r="D1266" s="2">
        <f t="shared" si="2"/>
        <v>173003.344</v>
      </c>
      <c r="E1266" s="5">
        <f t="shared" si="1"/>
        <v>-0.0001125984204</v>
      </c>
    </row>
    <row r="1267" ht="15.75" customHeight="1">
      <c r="B1267" s="3">
        <v>45231.0</v>
      </c>
      <c r="C1267" s="2">
        <v>-686.601</v>
      </c>
      <c r="D1267" s="2">
        <f t="shared" si="2"/>
        <v>172316.743</v>
      </c>
      <c r="E1267" s="5">
        <f t="shared" si="1"/>
        <v>-0.003976611443</v>
      </c>
    </row>
    <row r="1268" ht="15.75" customHeight="1">
      <c r="B1268" s="3">
        <v>45261.0</v>
      </c>
      <c r="C1268" s="2">
        <v>178.827</v>
      </c>
      <c r="D1268" s="2">
        <f t="shared" si="2"/>
        <v>172495.57</v>
      </c>
      <c r="E1268" s="5">
        <f t="shared" si="1"/>
        <v>0.001037242635</v>
      </c>
    </row>
    <row r="1269" ht="15.75" customHeight="1">
      <c r="B1269" s="3" t="s">
        <v>762</v>
      </c>
      <c r="C1269" s="2">
        <v>-139.579</v>
      </c>
      <c r="D1269" s="2">
        <f t="shared" si="2"/>
        <v>172355.991</v>
      </c>
      <c r="E1269" s="5">
        <f t="shared" si="1"/>
        <v>-0.000809501962</v>
      </c>
    </row>
    <row r="1270" ht="15.75" customHeight="1">
      <c r="B1270" s="3" t="s">
        <v>763</v>
      </c>
      <c r="C1270" s="2">
        <v>-80.081</v>
      </c>
      <c r="D1270" s="2">
        <f t="shared" si="2"/>
        <v>172275.91</v>
      </c>
      <c r="E1270" s="5">
        <f t="shared" si="1"/>
        <v>-0.0004647335386</v>
      </c>
    </row>
    <row r="1271" ht="15.75" customHeight="1">
      <c r="B1271" s="3" t="s">
        <v>764</v>
      </c>
      <c r="C1271" s="2">
        <v>-279.715</v>
      </c>
      <c r="D1271" s="2">
        <f t="shared" si="2"/>
        <v>171996.195</v>
      </c>
      <c r="E1271" s="5">
        <f t="shared" si="1"/>
        <v>-0.001624965006</v>
      </c>
    </row>
    <row r="1272" ht="15.75" customHeight="1">
      <c r="B1272" s="3" t="s">
        <v>765</v>
      </c>
      <c r="C1272" s="2">
        <v>275.361</v>
      </c>
      <c r="D1272" s="2">
        <f t="shared" si="2"/>
        <v>172271.556</v>
      </c>
      <c r="E1272" s="5">
        <f t="shared" si="1"/>
        <v>0.001599691275</v>
      </c>
    </row>
    <row r="1273" ht="15.75" customHeight="1">
      <c r="B1273" s="3" t="s">
        <v>766</v>
      </c>
      <c r="C1273" s="2">
        <v>195.209</v>
      </c>
      <c r="D1273" s="2">
        <f t="shared" si="2"/>
        <v>172466.765</v>
      </c>
      <c r="E1273" s="5">
        <f t="shared" si="1"/>
        <v>0.001132505492</v>
      </c>
    </row>
    <row r="1274" ht="15.75" customHeight="1">
      <c r="B1274" s="3" t="s">
        <v>767</v>
      </c>
      <c r="C1274" s="2">
        <v>59.672</v>
      </c>
      <c r="D1274" s="2">
        <f t="shared" si="2"/>
        <v>172526.437</v>
      </c>
      <c r="E1274" s="5">
        <f t="shared" si="1"/>
        <v>0.0003459314575</v>
      </c>
    </row>
    <row r="1275" ht="15.75" customHeight="1">
      <c r="B1275" s="3" t="s">
        <v>768</v>
      </c>
      <c r="C1275" s="2">
        <v>0.0</v>
      </c>
      <c r="D1275" s="2">
        <f t="shared" si="2"/>
        <v>172526.437</v>
      </c>
      <c r="E1275" s="5">
        <f t="shared" si="1"/>
        <v>0</v>
      </c>
    </row>
    <row r="1276" ht="15.75" customHeight="1">
      <c r="B1276" s="3" t="s">
        <v>769</v>
      </c>
      <c r="C1276" s="2">
        <v>160.904</v>
      </c>
      <c r="D1276" s="2">
        <f t="shared" si="2"/>
        <v>172687.341</v>
      </c>
      <c r="E1276" s="5">
        <f t="shared" si="1"/>
        <v>0.0009321992453</v>
      </c>
    </row>
    <row r="1277" ht="15.75" customHeight="1">
      <c r="B1277" s="3" t="s">
        <v>770</v>
      </c>
      <c r="C1277" s="2">
        <v>261.424</v>
      </c>
      <c r="D1277" s="2">
        <f t="shared" si="2"/>
        <v>172948.765</v>
      </c>
      <c r="E1277" s="5">
        <f t="shared" si="1"/>
        <v>0.001512712621</v>
      </c>
    </row>
    <row r="1278" ht="15.75" customHeight="1">
      <c r="B1278" s="3" t="s">
        <v>771</v>
      </c>
      <c r="C1278" s="2">
        <v>-81.329</v>
      </c>
      <c r="D1278" s="2">
        <f t="shared" si="2"/>
        <v>172867.436</v>
      </c>
      <c r="E1278" s="5">
        <f t="shared" si="1"/>
        <v>-0.0004703596955</v>
      </c>
    </row>
    <row r="1279" ht="15.75" customHeight="1">
      <c r="B1279" s="3" t="s">
        <v>772</v>
      </c>
      <c r="C1279" s="2">
        <v>142.684</v>
      </c>
      <c r="D1279" s="2">
        <f t="shared" si="2"/>
        <v>173010.12</v>
      </c>
      <c r="E1279" s="5">
        <f t="shared" si="1"/>
        <v>0.0008250550267</v>
      </c>
    </row>
    <row r="1280" ht="15.75" customHeight="1">
      <c r="B1280" s="3" t="s">
        <v>773</v>
      </c>
      <c r="C1280" s="2">
        <v>160.967</v>
      </c>
      <c r="D1280" s="2">
        <f t="shared" si="2"/>
        <v>173171.087</v>
      </c>
      <c r="E1280" s="5">
        <f t="shared" si="1"/>
        <v>0.0009299581164</v>
      </c>
    </row>
    <row r="1281" ht="15.75" customHeight="1">
      <c r="B1281" s="3">
        <v>44928.0</v>
      </c>
      <c r="C1281" s="2">
        <v>81.664</v>
      </c>
      <c r="D1281" s="2">
        <f t="shared" si="2"/>
        <v>173252.751</v>
      </c>
      <c r="E1281" s="5">
        <f t="shared" si="1"/>
        <v>0.0004714687187</v>
      </c>
    </row>
    <row r="1282" ht="15.75" customHeight="1">
      <c r="B1282" s="3">
        <v>44959.0</v>
      </c>
      <c r="C1282" s="2">
        <v>-371.329</v>
      </c>
      <c r="D1282" s="2">
        <f t="shared" si="2"/>
        <v>172881.422</v>
      </c>
      <c r="E1282" s="5">
        <f t="shared" si="1"/>
        <v>-0.002145579208</v>
      </c>
    </row>
    <row r="1283" ht="15.75" customHeight="1">
      <c r="B1283" s="3">
        <v>44987.0</v>
      </c>
      <c r="C1283" s="2">
        <v>209.337</v>
      </c>
      <c r="D1283" s="2">
        <f t="shared" si="2"/>
        <v>173090.759</v>
      </c>
      <c r="E1283" s="5">
        <f t="shared" si="1"/>
        <v>0.001210137907</v>
      </c>
    </row>
    <row r="1284" ht="15.75" customHeight="1">
      <c r="B1284" s="3">
        <v>45079.0</v>
      </c>
      <c r="C1284" s="2">
        <v>207.179</v>
      </c>
      <c r="D1284" s="2">
        <f t="shared" si="2"/>
        <v>173297.938</v>
      </c>
      <c r="E1284" s="5">
        <f t="shared" si="1"/>
        <v>0.001196222778</v>
      </c>
    </row>
    <row r="1285" ht="15.75" customHeight="1">
      <c r="B1285" s="3">
        <v>45109.0</v>
      </c>
      <c r="C1285" s="2">
        <v>41.184</v>
      </c>
      <c r="D1285" s="2">
        <f t="shared" si="2"/>
        <v>173339.122</v>
      </c>
      <c r="E1285" s="5">
        <f t="shared" si="1"/>
        <v>0.0002376202948</v>
      </c>
    </row>
    <row r="1286" ht="15.75" customHeight="1">
      <c r="B1286" s="3">
        <v>45140.0</v>
      </c>
      <c r="C1286" s="2">
        <v>-625.723</v>
      </c>
      <c r="D1286" s="2">
        <f t="shared" si="2"/>
        <v>172713.399</v>
      </c>
      <c r="E1286" s="5">
        <f t="shared" si="1"/>
        <v>-0.003616350952</v>
      </c>
    </row>
    <row r="1287" ht="15.75" customHeight="1">
      <c r="B1287" s="3">
        <v>45171.0</v>
      </c>
      <c r="C1287" s="2">
        <v>-20.627</v>
      </c>
      <c r="D1287" s="2">
        <f t="shared" si="2"/>
        <v>172692.772</v>
      </c>
      <c r="E1287" s="5">
        <f t="shared" si="1"/>
        <v>-0.0001194361986</v>
      </c>
    </row>
    <row r="1288" ht="15.75" customHeight="1">
      <c r="B1288" s="3">
        <v>45201.0</v>
      </c>
      <c r="C1288" s="2">
        <v>122.688</v>
      </c>
      <c r="D1288" s="2">
        <f t="shared" si="2"/>
        <v>172815.46</v>
      </c>
      <c r="E1288" s="5">
        <f t="shared" si="1"/>
        <v>0.0007101886079</v>
      </c>
    </row>
    <row r="1289" ht="15.75" customHeight="1">
      <c r="B1289" s="3" t="s">
        <v>774</v>
      </c>
      <c r="C1289" s="2">
        <v>40.994</v>
      </c>
      <c r="D1289" s="2">
        <f t="shared" si="2"/>
        <v>172856.454</v>
      </c>
      <c r="E1289" s="5">
        <f t="shared" si="1"/>
        <v>0.000237184443</v>
      </c>
    </row>
    <row r="1290" ht="15.75" customHeight="1">
      <c r="B1290" s="3" t="s">
        <v>775</v>
      </c>
      <c r="C1290" s="2">
        <v>82.939</v>
      </c>
      <c r="D1290" s="2">
        <f t="shared" si="2"/>
        <v>172939.393</v>
      </c>
      <c r="E1290" s="5">
        <f t="shared" si="1"/>
        <v>0.0004796992347</v>
      </c>
    </row>
    <row r="1291" ht="15.75" customHeight="1">
      <c r="B1291" s="3" t="s">
        <v>776</v>
      </c>
      <c r="C1291" s="2">
        <v>-207.314</v>
      </c>
      <c r="D1291" s="2">
        <f t="shared" si="2"/>
        <v>172732.079</v>
      </c>
      <c r="E1291" s="5">
        <f t="shared" si="1"/>
        <v>-0.00119948588</v>
      </c>
    </row>
    <row r="1292" ht="15.75" customHeight="1">
      <c r="B1292" s="3" t="s">
        <v>777</v>
      </c>
      <c r="C1292" s="2">
        <v>20.794</v>
      </c>
      <c r="D1292" s="2">
        <f t="shared" si="2"/>
        <v>172752.873</v>
      </c>
      <c r="E1292" s="5">
        <f t="shared" si="1"/>
        <v>0.0001203757206</v>
      </c>
    </row>
    <row r="1293" ht="15.75" customHeight="1">
      <c r="B1293" s="3" t="s">
        <v>778</v>
      </c>
      <c r="C1293" s="2">
        <v>-61.528</v>
      </c>
      <c r="D1293" s="2">
        <f t="shared" si="2"/>
        <v>172691.345</v>
      </c>
      <c r="E1293" s="5">
        <f t="shared" si="1"/>
        <v>-0.0003562253901</v>
      </c>
    </row>
    <row r="1294" ht="15.75" customHeight="1">
      <c r="B1294" s="3" t="s">
        <v>779</v>
      </c>
      <c r="C1294" s="2">
        <v>0.0</v>
      </c>
      <c r="D1294" s="2">
        <f t="shared" si="2"/>
        <v>172691.345</v>
      </c>
      <c r="E1294" s="5">
        <f t="shared" si="1"/>
        <v>0</v>
      </c>
    </row>
    <row r="1295" ht="15.75" customHeight="1">
      <c r="B1295" s="3" t="s">
        <v>780</v>
      </c>
      <c r="C1295" s="2">
        <v>-1142.65</v>
      </c>
      <c r="D1295" s="2">
        <f t="shared" si="2"/>
        <v>171548.695</v>
      </c>
      <c r="E1295" s="5">
        <f t="shared" si="1"/>
        <v>-0.006638705925</v>
      </c>
    </row>
    <row r="1296" ht="15.75" customHeight="1">
      <c r="B1296" s="3" t="s">
        <v>781</v>
      </c>
      <c r="C1296" s="2">
        <v>-620.474</v>
      </c>
      <c r="D1296" s="2">
        <f t="shared" si="2"/>
        <v>170928.221</v>
      </c>
      <c r="E1296" s="5">
        <f t="shared" si="1"/>
        <v>-0.003623454019</v>
      </c>
    </row>
    <row r="1297" ht="15.75" customHeight="1">
      <c r="B1297" s="3" t="s">
        <v>782</v>
      </c>
      <c r="C1297" s="2">
        <v>-80.494</v>
      </c>
      <c r="D1297" s="2">
        <f t="shared" si="2"/>
        <v>170847.727</v>
      </c>
      <c r="E1297" s="5">
        <f t="shared" si="1"/>
        <v>-0.0004710337398</v>
      </c>
    </row>
    <row r="1298" ht="15.75" customHeight="1">
      <c r="B1298" s="3" t="s">
        <v>783</v>
      </c>
      <c r="C1298" s="2">
        <v>-238.949</v>
      </c>
      <c r="D1298" s="2">
        <f t="shared" si="2"/>
        <v>170608.778</v>
      </c>
      <c r="E1298" s="5">
        <f t="shared" si="1"/>
        <v>-0.001399586978</v>
      </c>
    </row>
    <row r="1299" ht="15.75" customHeight="1">
      <c r="B1299" s="3" t="s">
        <v>784</v>
      </c>
      <c r="C1299" s="2">
        <v>179.784</v>
      </c>
      <c r="D1299" s="2">
        <f t="shared" si="2"/>
        <v>170788.562</v>
      </c>
      <c r="E1299" s="5">
        <f t="shared" si="1"/>
        <v>0.001053224472</v>
      </c>
    </row>
    <row r="1300" ht="15.75" customHeight="1">
      <c r="B1300" s="3">
        <v>44929.0</v>
      </c>
      <c r="C1300" s="2">
        <v>0.0</v>
      </c>
      <c r="D1300" s="2">
        <f t="shared" si="2"/>
        <v>170788.562</v>
      </c>
      <c r="E1300" s="5">
        <f t="shared" si="1"/>
        <v>0</v>
      </c>
    </row>
    <row r="1301" ht="15.75" customHeight="1">
      <c r="B1301" s="3">
        <v>44960.0</v>
      </c>
      <c r="C1301" s="2">
        <v>-594.733</v>
      </c>
      <c r="D1301" s="2">
        <f t="shared" si="2"/>
        <v>170193.829</v>
      </c>
      <c r="E1301" s="5">
        <f t="shared" si="1"/>
        <v>-0.003488353761</v>
      </c>
    </row>
    <row r="1302" ht="15.75" customHeight="1">
      <c r="B1302" s="3">
        <v>44988.0</v>
      </c>
      <c r="C1302" s="2">
        <v>-99.889</v>
      </c>
      <c r="D1302" s="2">
        <f t="shared" si="2"/>
        <v>170093.94</v>
      </c>
      <c r="E1302" s="5">
        <f t="shared" si="1"/>
        <v>-0.0005870854728</v>
      </c>
    </row>
    <row r="1303" ht="15.75" customHeight="1">
      <c r="B1303" s="3">
        <v>45080.0</v>
      </c>
      <c r="C1303" s="2">
        <v>142.114</v>
      </c>
      <c r="D1303" s="2">
        <f t="shared" si="2"/>
        <v>170236.054</v>
      </c>
      <c r="E1303" s="5">
        <f t="shared" si="1"/>
        <v>0.0008351541784</v>
      </c>
    </row>
    <row r="1304" ht="15.75" customHeight="1">
      <c r="B1304" s="3">
        <v>45110.0</v>
      </c>
      <c r="C1304" s="2">
        <v>304.751</v>
      </c>
      <c r="D1304" s="2">
        <f t="shared" si="2"/>
        <v>170540.805</v>
      </c>
      <c r="E1304" s="5">
        <f t="shared" si="1"/>
        <v>0.00178856676</v>
      </c>
    </row>
    <row r="1305" ht="15.75" customHeight="1">
      <c r="B1305" s="3">
        <v>45141.0</v>
      </c>
      <c r="C1305" s="2">
        <v>80.024</v>
      </c>
      <c r="D1305" s="2">
        <f t="shared" si="2"/>
        <v>170620.829</v>
      </c>
      <c r="E1305" s="5">
        <f t="shared" si="1"/>
        <v>0.0004691266162</v>
      </c>
    </row>
    <row r="1306" ht="15.75" customHeight="1">
      <c r="B1306" s="3">
        <v>45172.0</v>
      </c>
      <c r="C1306" s="2">
        <v>180.323</v>
      </c>
      <c r="D1306" s="2">
        <f t="shared" si="2"/>
        <v>170801.152</v>
      </c>
      <c r="E1306" s="5">
        <f t="shared" si="1"/>
        <v>0.001056305843</v>
      </c>
    </row>
    <row r="1307" ht="15.75" customHeight="1">
      <c r="B1307" s="3">
        <v>45202.0</v>
      </c>
      <c r="C1307" s="2">
        <v>157.354</v>
      </c>
      <c r="D1307" s="2">
        <f t="shared" si="2"/>
        <v>170958.506</v>
      </c>
      <c r="E1307" s="5">
        <f t="shared" si="1"/>
        <v>0.000920846024</v>
      </c>
    </row>
    <row r="1308" ht="15.75" customHeight="1">
      <c r="B1308" s="3" t="s">
        <v>785</v>
      </c>
      <c r="C1308" s="2">
        <v>77.529</v>
      </c>
      <c r="D1308" s="2">
        <f t="shared" si="2"/>
        <v>171036.035</v>
      </c>
      <c r="E1308" s="5">
        <f t="shared" si="1"/>
        <v>0.0004533932097</v>
      </c>
    </row>
    <row r="1309" ht="15.75" customHeight="1">
      <c r="B1309" s="3" t="s">
        <v>786</v>
      </c>
      <c r="C1309" s="2">
        <v>270.91</v>
      </c>
      <c r="D1309" s="2">
        <f t="shared" si="2"/>
        <v>171306.945</v>
      </c>
      <c r="E1309" s="5">
        <f t="shared" si="1"/>
        <v>0.001582682119</v>
      </c>
    </row>
    <row r="1310" ht="15.75" customHeight="1">
      <c r="B1310" s="3" t="s">
        <v>787</v>
      </c>
      <c r="C1310" s="2">
        <v>-314.89</v>
      </c>
      <c r="D1310" s="2">
        <f t="shared" si="2"/>
        <v>170992.055</v>
      </c>
      <c r="E1310" s="5">
        <f t="shared" si="1"/>
        <v>-0.00183985398</v>
      </c>
    </row>
    <row r="1311" ht="15.75" customHeight="1">
      <c r="B1311" s="3" t="s">
        <v>788</v>
      </c>
      <c r="C1311" s="2">
        <v>-1172.636</v>
      </c>
      <c r="D1311" s="2">
        <f t="shared" si="2"/>
        <v>169819.419</v>
      </c>
      <c r="E1311" s="5">
        <f t="shared" si="1"/>
        <v>-0.006881462139</v>
      </c>
    </row>
    <row r="1312" ht="15.75" customHeight="1">
      <c r="B1312" s="3" t="s">
        <v>789</v>
      </c>
      <c r="C1312" s="2">
        <v>-39.78</v>
      </c>
      <c r="D1312" s="2">
        <f t="shared" si="2"/>
        <v>169779.639</v>
      </c>
      <c r="E1312" s="5">
        <f t="shared" si="1"/>
        <v>-0.0002342762693</v>
      </c>
    </row>
    <row r="1313" ht="15.75" customHeight="1">
      <c r="B1313" s="3" t="s">
        <v>790</v>
      </c>
      <c r="C1313" s="2">
        <v>0.0</v>
      </c>
      <c r="D1313" s="2">
        <f t="shared" si="2"/>
        <v>169779.639</v>
      </c>
      <c r="E1313" s="5">
        <f t="shared" si="1"/>
        <v>0</v>
      </c>
    </row>
    <row r="1314" ht="15.75" customHeight="1">
      <c r="B1314" s="3" t="s">
        <v>791</v>
      </c>
      <c r="C1314" s="2">
        <v>-39.694</v>
      </c>
      <c r="D1314" s="2">
        <f t="shared" si="2"/>
        <v>169739.945</v>
      </c>
      <c r="E1314" s="5">
        <f t="shared" si="1"/>
        <v>-0.00023382451</v>
      </c>
    </row>
    <row r="1315" ht="15.75" customHeight="1">
      <c r="B1315" s="3" t="s">
        <v>792</v>
      </c>
      <c r="C1315" s="2">
        <v>904.767</v>
      </c>
      <c r="D1315" s="2">
        <f t="shared" si="2"/>
        <v>170644.712</v>
      </c>
      <c r="E1315" s="5">
        <f t="shared" si="1"/>
        <v>0.005316156955</v>
      </c>
    </row>
    <row r="1316" ht="15.75" customHeight="1">
      <c r="B1316" s="3" t="s">
        <v>793</v>
      </c>
      <c r="C1316" s="2">
        <v>-316.423</v>
      </c>
      <c r="D1316" s="2">
        <f t="shared" si="2"/>
        <v>170328.289</v>
      </c>
      <c r="E1316" s="5">
        <f t="shared" si="1"/>
        <v>-0.001856000856</v>
      </c>
    </row>
    <row r="1317" ht="15.75" customHeight="1">
      <c r="B1317" s="3" t="s">
        <v>794</v>
      </c>
      <c r="C1317" s="2">
        <v>138.282</v>
      </c>
      <c r="D1317" s="2">
        <f t="shared" si="2"/>
        <v>170466.571</v>
      </c>
      <c r="E1317" s="5">
        <f t="shared" si="1"/>
        <v>0.0008115263686</v>
      </c>
    </row>
    <row r="1318" ht="15.75" customHeight="1">
      <c r="B1318" s="3" t="s">
        <v>795</v>
      </c>
      <c r="C1318" s="2">
        <v>198.662</v>
      </c>
      <c r="D1318" s="2">
        <f t="shared" si="2"/>
        <v>170665.233</v>
      </c>
      <c r="E1318" s="5">
        <f t="shared" si="1"/>
        <v>0.001164722961</v>
      </c>
    </row>
    <row r="1319" ht="15.75" customHeight="1">
      <c r="B1319" s="3" t="s">
        <v>796</v>
      </c>
      <c r="C1319" s="2">
        <v>278.584</v>
      </c>
      <c r="D1319" s="2">
        <f t="shared" si="2"/>
        <v>170943.817</v>
      </c>
      <c r="E1319" s="5">
        <f t="shared" si="1"/>
        <v>0.001631011015</v>
      </c>
    </row>
    <row r="1320" ht="15.75" customHeight="1">
      <c r="B1320" s="3" t="s">
        <v>797</v>
      </c>
      <c r="C1320" s="2">
        <v>218.548</v>
      </c>
      <c r="D1320" s="2">
        <f t="shared" si="2"/>
        <v>171162.365</v>
      </c>
      <c r="E1320" s="5">
        <f t="shared" si="1"/>
        <v>0.001277661973</v>
      </c>
    </row>
    <row r="1321" ht="15.75" customHeight="1">
      <c r="B1321" s="3" t="s">
        <v>798</v>
      </c>
      <c r="C1321" s="2">
        <v>261.961</v>
      </c>
      <c r="D1321" s="2">
        <f t="shared" si="2"/>
        <v>171424.326</v>
      </c>
      <c r="E1321" s="5">
        <f t="shared" si="1"/>
        <v>0.00152931248</v>
      </c>
    </row>
    <row r="1322" ht="15.75" customHeight="1">
      <c r="B1322" s="3" t="s">
        <v>799</v>
      </c>
      <c r="C1322" s="2">
        <v>-2249.83</v>
      </c>
      <c r="D1322" s="2">
        <f t="shared" si="2"/>
        <v>169174.496</v>
      </c>
      <c r="E1322" s="5">
        <f t="shared" si="1"/>
        <v>-0.01321121846</v>
      </c>
    </row>
    <row r="1323" ht="15.75" customHeight="1">
      <c r="B1323" s="3">
        <v>44989.0</v>
      </c>
      <c r="C1323" s="2">
        <v>205.621</v>
      </c>
      <c r="D1323" s="2">
        <f t="shared" si="2"/>
        <v>169380.117</v>
      </c>
      <c r="E1323" s="5">
        <f t="shared" si="1"/>
        <v>0.001214699297</v>
      </c>
    </row>
    <row r="1324" ht="15.75" customHeight="1">
      <c r="B1324" s="3">
        <v>45020.0</v>
      </c>
      <c r="C1324" s="2">
        <v>-123.829</v>
      </c>
      <c r="D1324" s="2">
        <f t="shared" si="2"/>
        <v>169256.288</v>
      </c>
      <c r="E1324" s="5">
        <f t="shared" si="1"/>
        <v>-0.0007313390037</v>
      </c>
    </row>
    <row r="1325" ht="15.75" customHeight="1">
      <c r="B1325" s="3">
        <v>45050.0</v>
      </c>
      <c r="C1325" s="2">
        <v>20.52</v>
      </c>
      <c r="D1325" s="2">
        <f t="shared" si="2"/>
        <v>169276.808</v>
      </c>
      <c r="E1325" s="5">
        <f t="shared" si="1"/>
        <v>0.0001212289154</v>
      </c>
    </row>
    <row r="1326" ht="15.75" customHeight="1">
      <c r="B1326" s="3">
        <v>45081.0</v>
      </c>
      <c r="C1326" s="2">
        <v>40.943</v>
      </c>
      <c r="D1326" s="2">
        <f t="shared" si="2"/>
        <v>169317.751</v>
      </c>
      <c r="E1326" s="5">
        <f t="shared" si="1"/>
        <v>0.0002418408631</v>
      </c>
    </row>
    <row r="1327" ht="15.75" customHeight="1">
      <c r="B1327" s="3">
        <v>45203.0</v>
      </c>
      <c r="C1327" s="2">
        <v>205.493</v>
      </c>
      <c r="D1327" s="2">
        <f t="shared" si="2"/>
        <v>169523.244</v>
      </c>
      <c r="E1327" s="5">
        <f t="shared" si="1"/>
        <v>0.001212917139</v>
      </c>
    </row>
    <row r="1328" ht="15.75" customHeight="1">
      <c r="B1328" s="3">
        <v>45234.0</v>
      </c>
      <c r="C1328" s="2">
        <v>185.132</v>
      </c>
      <c r="D1328" s="2">
        <f t="shared" si="2"/>
        <v>169708.376</v>
      </c>
      <c r="E1328" s="5">
        <f t="shared" si="1"/>
        <v>0.00109147855</v>
      </c>
    </row>
    <row r="1329" ht="15.75" customHeight="1">
      <c r="B1329" s="3">
        <v>45264.0</v>
      </c>
      <c r="C1329" s="2">
        <v>102.847</v>
      </c>
      <c r="D1329" s="2">
        <f t="shared" si="2"/>
        <v>169811.223</v>
      </c>
      <c r="E1329" s="5">
        <f t="shared" si="1"/>
        <v>0.0006058383872</v>
      </c>
    </row>
    <row r="1330" ht="15.75" customHeight="1">
      <c r="B1330" s="3" t="s">
        <v>800</v>
      </c>
      <c r="C1330" s="2">
        <v>-40.969</v>
      </c>
      <c r="D1330" s="2">
        <f t="shared" si="2"/>
        <v>169770.254</v>
      </c>
      <c r="E1330" s="5">
        <f t="shared" si="1"/>
        <v>-0.0002412911361</v>
      </c>
    </row>
    <row r="1331" ht="15.75" customHeight="1">
      <c r="B1331" s="3" t="s">
        <v>801</v>
      </c>
      <c r="C1331" s="2">
        <v>62.279</v>
      </c>
      <c r="D1331" s="2">
        <f t="shared" si="2"/>
        <v>169832.533</v>
      </c>
      <c r="E1331" s="5">
        <f t="shared" si="1"/>
        <v>0.0003667755571</v>
      </c>
    </row>
    <row r="1332" ht="15.75" customHeight="1">
      <c r="B1332" s="3" t="s">
        <v>802</v>
      </c>
      <c r="C1332" s="2">
        <v>248.6</v>
      </c>
      <c r="D1332" s="2">
        <f t="shared" si="2"/>
        <v>170081.133</v>
      </c>
      <c r="E1332" s="5">
        <f t="shared" si="1"/>
        <v>0.001462724622</v>
      </c>
    </row>
    <row r="1333" ht="15.75" customHeight="1">
      <c r="B1333" s="3" t="s">
        <v>803</v>
      </c>
      <c r="C1333" s="2">
        <v>103.928</v>
      </c>
      <c r="D1333" s="2">
        <f t="shared" si="2"/>
        <v>170185.061</v>
      </c>
      <c r="E1333" s="5">
        <f t="shared" si="1"/>
        <v>0.0006108629365</v>
      </c>
    </row>
    <row r="1334" ht="15.75" customHeight="1">
      <c r="B1334" s="3" t="s">
        <v>804</v>
      </c>
      <c r="C1334" s="2">
        <v>62.41</v>
      </c>
      <c r="D1334" s="2">
        <f t="shared" si="2"/>
        <v>170247.471</v>
      </c>
      <c r="E1334" s="5">
        <f t="shared" si="1"/>
        <v>0.0003666512148</v>
      </c>
    </row>
    <row r="1335" ht="15.75" customHeight="1">
      <c r="B1335" s="3" t="s">
        <v>805</v>
      </c>
      <c r="C1335" s="2">
        <v>124.809</v>
      </c>
      <c r="D1335" s="2">
        <f t="shared" si="2"/>
        <v>170372.28</v>
      </c>
      <c r="E1335" s="5">
        <f t="shared" si="1"/>
        <v>0.000732834812</v>
      </c>
    </row>
    <row r="1336" ht="15.75" customHeight="1">
      <c r="B1336" s="3" t="s">
        <v>806</v>
      </c>
      <c r="C1336" s="2">
        <v>310.198</v>
      </c>
      <c r="D1336" s="2">
        <f t="shared" si="2"/>
        <v>170682.478</v>
      </c>
      <c r="E1336" s="5">
        <f t="shared" si="1"/>
        <v>0.001819051506</v>
      </c>
    </row>
    <row r="1337" ht="15.75" customHeight="1">
      <c r="B1337" s="3" t="s">
        <v>807</v>
      </c>
      <c r="C1337" s="2">
        <v>41.398</v>
      </c>
      <c r="D1337" s="2">
        <f t="shared" si="2"/>
        <v>170723.876</v>
      </c>
      <c r="E1337" s="5">
        <f t="shared" si="1"/>
        <v>0.0002425145269</v>
      </c>
    </row>
    <row r="1338" ht="15.75" customHeight="1">
      <c r="B1338" s="3" t="s">
        <v>808</v>
      </c>
      <c r="C1338" s="2">
        <v>-372.897</v>
      </c>
      <c r="D1338" s="2">
        <f t="shared" si="2"/>
        <v>170350.979</v>
      </c>
      <c r="E1338" s="5">
        <f t="shared" si="1"/>
        <v>-0.002186600056</v>
      </c>
    </row>
    <row r="1339" ht="15.75" customHeight="1">
      <c r="B1339" s="3" t="s">
        <v>809</v>
      </c>
      <c r="C1339" s="2">
        <v>-448.575</v>
      </c>
      <c r="D1339" s="2">
        <f t="shared" si="2"/>
        <v>169902.404</v>
      </c>
      <c r="E1339" s="5">
        <f t="shared" si="1"/>
        <v>-0.002636713004</v>
      </c>
    </row>
    <row r="1340" ht="15.75" customHeight="1">
      <c r="B1340" s="3" t="s">
        <v>810</v>
      </c>
      <c r="C1340" s="2">
        <v>731.215</v>
      </c>
      <c r="D1340" s="2">
        <f t="shared" si="2"/>
        <v>170633.619</v>
      </c>
      <c r="E1340" s="5">
        <f t="shared" si="1"/>
        <v>0.004294500872</v>
      </c>
    </row>
    <row r="1341" ht="15.75" customHeight="1">
      <c r="B1341" s="3" t="s">
        <v>811</v>
      </c>
      <c r="C1341" s="2">
        <v>20.709</v>
      </c>
      <c r="D1341" s="2">
        <f t="shared" si="2"/>
        <v>170654.328</v>
      </c>
      <c r="E1341" s="5">
        <f t="shared" si="1"/>
        <v>0.0001213579337</v>
      </c>
    </row>
    <row r="1342" ht="15.75" customHeight="1">
      <c r="B1342" s="3">
        <v>44931.0</v>
      </c>
      <c r="C1342" s="2">
        <v>125.296</v>
      </c>
      <c r="D1342" s="2">
        <f t="shared" si="2"/>
        <v>170779.624</v>
      </c>
      <c r="E1342" s="5">
        <f t="shared" si="1"/>
        <v>0.0007339399312</v>
      </c>
    </row>
    <row r="1343" ht="15.75" customHeight="1">
      <c r="B1343" s="3">
        <v>44962.0</v>
      </c>
      <c r="C1343" s="2">
        <v>20.874</v>
      </c>
      <c r="D1343" s="2">
        <f t="shared" si="2"/>
        <v>170800.498</v>
      </c>
      <c r="E1343" s="5">
        <f t="shared" si="1"/>
        <v>0.000122220227</v>
      </c>
    </row>
    <row r="1344" ht="15.75" customHeight="1">
      <c r="B1344" s="3">
        <v>44990.0</v>
      </c>
      <c r="C1344" s="2">
        <v>82.53</v>
      </c>
      <c r="D1344" s="2">
        <f t="shared" si="2"/>
        <v>170883.028</v>
      </c>
      <c r="E1344" s="5">
        <f t="shared" si="1"/>
        <v>0.0004830786112</v>
      </c>
    </row>
    <row r="1345" ht="15.75" customHeight="1">
      <c r="B1345" s="3">
        <v>45021.0</v>
      </c>
      <c r="C1345" s="2">
        <v>-20.489</v>
      </c>
      <c r="D1345" s="2">
        <f t="shared" si="2"/>
        <v>170862.539</v>
      </c>
      <c r="E1345" s="5">
        <f t="shared" si="1"/>
        <v>-0.0001199079198</v>
      </c>
    </row>
    <row r="1346" ht="15.75" customHeight="1">
      <c r="B1346" s="3">
        <v>45051.0</v>
      </c>
      <c r="C1346" s="2">
        <v>-142.401</v>
      </c>
      <c r="D1346" s="2">
        <f t="shared" si="2"/>
        <v>170720.138</v>
      </c>
      <c r="E1346" s="5">
        <f t="shared" si="1"/>
        <v>-0.0008337718382</v>
      </c>
    </row>
    <row r="1347" ht="15.75" customHeight="1">
      <c r="B1347" s="3">
        <v>45143.0</v>
      </c>
      <c r="C1347" s="2">
        <v>-20.72</v>
      </c>
      <c r="D1347" s="2">
        <f t="shared" si="2"/>
        <v>170699.418</v>
      </c>
      <c r="E1347" s="5">
        <f t="shared" si="1"/>
        <v>-0.00012137559</v>
      </c>
    </row>
    <row r="1348" ht="15.75" customHeight="1">
      <c r="B1348" s="3">
        <v>45174.0</v>
      </c>
      <c r="C1348" s="2">
        <v>41.459</v>
      </c>
      <c r="D1348" s="2">
        <f t="shared" si="2"/>
        <v>170740.877</v>
      </c>
      <c r="E1348" s="5">
        <f t="shared" si="1"/>
        <v>0.0002428477295</v>
      </c>
    </row>
    <row r="1349" ht="15.75" customHeight="1">
      <c r="B1349" s="3">
        <v>45204.0</v>
      </c>
      <c r="C1349" s="2">
        <v>-185.725</v>
      </c>
      <c r="D1349" s="2">
        <f t="shared" si="2"/>
        <v>170555.152</v>
      </c>
      <c r="E1349" s="5">
        <f t="shared" si="1"/>
        <v>-0.001088351475</v>
      </c>
    </row>
    <row r="1350" ht="15.75" customHeight="1">
      <c r="B1350" s="3">
        <v>45235.0</v>
      </c>
      <c r="C1350" s="2">
        <v>-290.209</v>
      </c>
      <c r="D1350" s="2">
        <f t="shared" si="2"/>
        <v>170264.943</v>
      </c>
      <c r="E1350" s="5">
        <f t="shared" si="1"/>
        <v>-0.001703004455</v>
      </c>
    </row>
    <row r="1351" ht="15.75" customHeight="1">
      <c r="B1351" s="3">
        <v>45265.0</v>
      </c>
      <c r="C1351" s="2">
        <v>-1200.506</v>
      </c>
      <c r="D1351" s="2">
        <f t="shared" si="2"/>
        <v>169064.437</v>
      </c>
      <c r="E1351" s="5">
        <f t="shared" si="1"/>
        <v>-0.007075785827</v>
      </c>
    </row>
    <row r="1352" ht="15.75" customHeight="1">
      <c r="B1352" s="3" t="s">
        <v>812</v>
      </c>
      <c r="C1352" s="2">
        <v>-62.011</v>
      </c>
      <c r="D1352" s="2">
        <f t="shared" si="2"/>
        <v>169002.426</v>
      </c>
      <c r="E1352" s="5">
        <f t="shared" si="1"/>
        <v>-0.0003668564268</v>
      </c>
    </row>
    <row r="1353" ht="15.75" customHeight="1">
      <c r="B1353" s="3" t="s">
        <v>813</v>
      </c>
      <c r="C1353" s="2">
        <v>0.0</v>
      </c>
      <c r="D1353" s="2">
        <f t="shared" si="2"/>
        <v>169002.426</v>
      </c>
      <c r="E1353" s="5">
        <f t="shared" si="1"/>
        <v>0</v>
      </c>
    </row>
    <row r="1354" ht="15.75" customHeight="1">
      <c r="B1354" s="3" t="s">
        <v>814</v>
      </c>
      <c r="C1354" s="2">
        <v>-20.603</v>
      </c>
      <c r="D1354" s="2">
        <f t="shared" si="2"/>
        <v>168981.823</v>
      </c>
      <c r="E1354" s="5">
        <f t="shared" si="1"/>
        <v>-0.0001219169242</v>
      </c>
    </row>
    <row r="1355" ht="15.75" customHeight="1">
      <c r="B1355" s="3" t="s">
        <v>815</v>
      </c>
      <c r="C1355" s="2">
        <v>-145.965</v>
      </c>
      <c r="D1355" s="2">
        <f t="shared" si="2"/>
        <v>168835.858</v>
      </c>
      <c r="E1355" s="5">
        <f t="shared" si="1"/>
        <v>-0.0008641644135</v>
      </c>
    </row>
    <row r="1356" ht="15.75" customHeight="1">
      <c r="B1356" s="3" t="s">
        <v>816</v>
      </c>
      <c r="C1356" s="2">
        <v>42.106</v>
      </c>
      <c r="D1356" s="2">
        <f t="shared" si="2"/>
        <v>168877.964</v>
      </c>
      <c r="E1356" s="5">
        <f t="shared" si="1"/>
        <v>0.0002493590577</v>
      </c>
    </row>
    <row r="1357" ht="15.75" customHeight="1">
      <c r="B1357" s="3" t="s">
        <v>817</v>
      </c>
      <c r="C1357" s="2">
        <v>147.16</v>
      </c>
      <c r="D1357" s="2">
        <f t="shared" si="2"/>
        <v>169025.124</v>
      </c>
      <c r="E1357" s="5">
        <f t="shared" si="1"/>
        <v>0.000871019026</v>
      </c>
    </row>
    <row r="1358" ht="15.75" customHeight="1">
      <c r="B1358" s="3" t="s">
        <v>818</v>
      </c>
      <c r="C1358" s="2">
        <v>-168.228</v>
      </c>
      <c r="D1358" s="2">
        <f t="shared" si="2"/>
        <v>168856.896</v>
      </c>
      <c r="E1358" s="5">
        <f t="shared" si="1"/>
        <v>-0.000995779615</v>
      </c>
    </row>
    <row r="1359" ht="15.75" customHeight="1">
      <c r="B1359" s="3" t="s">
        <v>819</v>
      </c>
      <c r="C1359" s="2">
        <v>-103.965</v>
      </c>
      <c r="D1359" s="2">
        <f t="shared" si="2"/>
        <v>168752.931</v>
      </c>
      <c r="E1359" s="5">
        <f t="shared" si="1"/>
        <v>-0.00061588849</v>
      </c>
    </row>
    <row r="1360" ht="15.75" customHeight="1">
      <c r="B1360" s="3" t="s">
        <v>820</v>
      </c>
      <c r="C1360" s="2">
        <v>-598.592</v>
      </c>
      <c r="D1360" s="2">
        <f t="shared" si="2"/>
        <v>168154.339</v>
      </c>
      <c r="E1360" s="5">
        <f t="shared" si="1"/>
        <v>-0.003553456296</v>
      </c>
    </row>
    <row r="1361" ht="15.75" customHeight="1">
      <c r="B1361" s="3" t="s">
        <v>821</v>
      </c>
      <c r="C1361" s="2">
        <v>-124.935</v>
      </c>
      <c r="D1361" s="2">
        <f t="shared" si="2"/>
        <v>168029.404</v>
      </c>
      <c r="E1361" s="5">
        <f t="shared" si="1"/>
        <v>-0.0007432542968</v>
      </c>
    </row>
    <row r="1362" ht="15.75" customHeight="1">
      <c r="B1362" s="3" t="s">
        <v>822</v>
      </c>
      <c r="C1362" s="2">
        <v>-63.287</v>
      </c>
      <c r="D1362" s="2">
        <f t="shared" si="2"/>
        <v>167966.117</v>
      </c>
      <c r="E1362" s="5">
        <f t="shared" si="1"/>
        <v>-0.0003767133595</v>
      </c>
    </row>
    <row r="1363" ht="15.75" customHeight="1">
      <c r="B1363" s="3" t="s">
        <v>823</v>
      </c>
      <c r="C1363" s="2">
        <v>21.097</v>
      </c>
      <c r="D1363" s="2">
        <f t="shared" si="2"/>
        <v>167987.214</v>
      </c>
      <c r="E1363" s="5">
        <f t="shared" si="1"/>
        <v>0.0001255948257</v>
      </c>
    </row>
    <row r="1364" ht="15.75" customHeight="1">
      <c r="B1364" s="3">
        <v>44932.0</v>
      </c>
      <c r="C1364" s="2">
        <v>0.0</v>
      </c>
      <c r="D1364" s="2">
        <f t="shared" si="2"/>
        <v>167987.214</v>
      </c>
      <c r="E1364" s="5">
        <f t="shared" si="1"/>
        <v>0</v>
      </c>
    </row>
    <row r="1365" ht="15.75" customHeight="1">
      <c r="B1365" s="3">
        <v>44963.0</v>
      </c>
      <c r="C1365" s="2">
        <v>84.733</v>
      </c>
      <c r="D1365" s="2">
        <f t="shared" si="2"/>
        <v>168071.947</v>
      </c>
      <c r="E1365" s="5">
        <f t="shared" si="1"/>
        <v>0.0005042743161</v>
      </c>
    </row>
    <row r="1366" ht="15.75" customHeight="1">
      <c r="B1366" s="3">
        <v>45052.0</v>
      </c>
      <c r="C1366" s="2">
        <v>128.954</v>
      </c>
      <c r="D1366" s="2">
        <f t="shared" si="2"/>
        <v>168200.901</v>
      </c>
      <c r="E1366" s="5">
        <f t="shared" si="1"/>
        <v>0.0007669605625</v>
      </c>
    </row>
    <row r="1367" ht="15.75" customHeight="1">
      <c r="B1367" s="3">
        <v>45083.0</v>
      </c>
      <c r="C1367" s="2">
        <v>-85.799</v>
      </c>
      <c r="D1367" s="2">
        <f t="shared" si="2"/>
        <v>168115.102</v>
      </c>
      <c r="E1367" s="5">
        <f t="shared" si="1"/>
        <v>-0.0005102284821</v>
      </c>
    </row>
    <row r="1368" ht="15.75" customHeight="1">
      <c r="B1368" s="3">
        <v>45113.0</v>
      </c>
      <c r="C1368" s="2">
        <v>-279.509</v>
      </c>
      <c r="D1368" s="2">
        <f t="shared" si="2"/>
        <v>167835.593</v>
      </c>
      <c r="E1368" s="5">
        <f t="shared" si="1"/>
        <v>-0.001663988607</v>
      </c>
    </row>
    <row r="1369" ht="15.75" customHeight="1">
      <c r="B1369" s="3">
        <v>45144.0</v>
      </c>
      <c r="C1369" s="2">
        <v>256.229</v>
      </c>
      <c r="D1369" s="2">
        <f t="shared" si="2"/>
        <v>168091.822</v>
      </c>
      <c r="E1369" s="5">
        <f t="shared" si="1"/>
        <v>0.001525502464</v>
      </c>
    </row>
    <row r="1370" ht="15.75" customHeight="1">
      <c r="B1370" s="3">
        <v>45175.0</v>
      </c>
      <c r="C1370" s="2">
        <v>300.818</v>
      </c>
      <c r="D1370" s="2">
        <f t="shared" si="2"/>
        <v>168392.64</v>
      </c>
      <c r="E1370" s="5">
        <f t="shared" si="1"/>
        <v>0.001788005772</v>
      </c>
    </row>
    <row r="1371" ht="15.75" customHeight="1">
      <c r="B1371" s="3">
        <v>45266.0</v>
      </c>
      <c r="C1371" s="2">
        <v>473.27</v>
      </c>
      <c r="D1371" s="2">
        <f t="shared" si="2"/>
        <v>168865.91</v>
      </c>
      <c r="E1371" s="5">
        <f t="shared" si="1"/>
        <v>0.002806572647</v>
      </c>
    </row>
    <row r="1372" ht="15.75" customHeight="1">
      <c r="B1372" s="3" t="s">
        <v>824</v>
      </c>
      <c r="C1372" s="2">
        <v>1215.915</v>
      </c>
      <c r="D1372" s="2">
        <f t="shared" si="2"/>
        <v>170081.825</v>
      </c>
      <c r="E1372" s="5">
        <f t="shared" si="1"/>
        <v>0.007174676744</v>
      </c>
    </row>
    <row r="1373" ht="15.75" customHeight="1">
      <c r="B1373" s="3" t="s">
        <v>825</v>
      </c>
      <c r="C1373" s="2">
        <v>87.456</v>
      </c>
      <c r="D1373" s="2">
        <f t="shared" si="2"/>
        <v>170169.281</v>
      </c>
      <c r="E1373" s="5">
        <f t="shared" si="1"/>
        <v>0.0005140674072</v>
      </c>
    </row>
    <row r="1374" ht="15.75" customHeight="1">
      <c r="B1374" s="3" t="s">
        <v>826</v>
      </c>
      <c r="C1374" s="2">
        <v>306.42</v>
      </c>
      <c r="D1374" s="2">
        <f t="shared" si="2"/>
        <v>170475.701</v>
      </c>
      <c r="E1374" s="5">
        <f t="shared" si="1"/>
        <v>0.00179905825</v>
      </c>
    </row>
    <row r="1375" ht="15.75" customHeight="1">
      <c r="B1375" s="3" t="s">
        <v>827</v>
      </c>
      <c r="C1375" s="2">
        <v>1329.451</v>
      </c>
      <c r="D1375" s="2">
        <f t="shared" si="2"/>
        <v>171805.152</v>
      </c>
      <c r="E1375" s="5">
        <f t="shared" si="1"/>
        <v>0.007768227021</v>
      </c>
    </row>
    <row r="1376" ht="15.75" customHeight="1">
      <c r="B1376" s="3" t="s">
        <v>828</v>
      </c>
      <c r="C1376" s="2">
        <v>0.0</v>
      </c>
      <c r="D1376" s="2">
        <f t="shared" si="2"/>
        <v>171805.152</v>
      </c>
      <c r="E1376" s="5">
        <f t="shared" si="1"/>
        <v>0</v>
      </c>
    </row>
    <row r="1377" ht="15.75" customHeight="1">
      <c r="B1377" s="3" t="s">
        <v>829</v>
      </c>
      <c r="C1377" s="2">
        <v>22.077</v>
      </c>
      <c r="D1377" s="2">
        <f t="shared" si="2"/>
        <v>171827.229</v>
      </c>
      <c r="E1377" s="5">
        <f t="shared" si="1"/>
        <v>0.0001284919655</v>
      </c>
    </row>
    <row r="1378" ht="15.75" customHeight="1">
      <c r="B1378" s="3" t="s">
        <v>830</v>
      </c>
      <c r="C1378" s="2">
        <v>1098.605</v>
      </c>
      <c r="D1378" s="2">
        <f t="shared" si="2"/>
        <v>172925.834</v>
      </c>
      <c r="E1378" s="5">
        <f t="shared" si="1"/>
        <v>0.006373307951</v>
      </c>
    </row>
    <row r="1379" ht="15.75" customHeight="1">
      <c r="B1379" s="3" t="s">
        <v>831</v>
      </c>
      <c r="C1379" s="2">
        <v>-240.441</v>
      </c>
      <c r="D1379" s="2">
        <f t="shared" si="2"/>
        <v>172685.393</v>
      </c>
      <c r="E1379" s="5">
        <f t="shared" si="1"/>
        <v>-0.001391395996</v>
      </c>
    </row>
    <row r="1380" ht="15.75" customHeight="1">
      <c r="B1380" s="3" t="s">
        <v>832</v>
      </c>
      <c r="C1380" s="2">
        <v>-438.825</v>
      </c>
      <c r="D1380" s="2">
        <f t="shared" si="2"/>
        <v>172246.568</v>
      </c>
      <c r="E1380" s="5">
        <f t="shared" si="1"/>
        <v>-0.002544416212</v>
      </c>
    </row>
    <row r="1381" ht="15.75" customHeight="1">
      <c r="B1381" s="3" t="s">
        <v>833</v>
      </c>
      <c r="C1381" s="2">
        <v>-130.64</v>
      </c>
      <c r="D1381" s="2">
        <f t="shared" si="2"/>
        <v>172115.928</v>
      </c>
      <c r="E1381" s="5">
        <f t="shared" si="1"/>
        <v>-0.0007587353895</v>
      </c>
    </row>
    <row r="1382" ht="15.75" customHeight="1">
      <c r="B1382" s="3" t="s">
        <v>834</v>
      </c>
      <c r="C1382" s="2">
        <v>0.0</v>
      </c>
      <c r="D1382" s="2">
        <f t="shared" si="2"/>
        <v>172115.928</v>
      </c>
      <c r="E1382" s="5">
        <f t="shared" si="1"/>
        <v>0</v>
      </c>
    </row>
    <row r="1383" ht="15.75" customHeight="1">
      <c r="B1383" s="3" t="s">
        <v>835</v>
      </c>
      <c r="C1383" s="2">
        <v>986.596</v>
      </c>
      <c r="D1383" s="2">
        <f t="shared" si="2"/>
        <v>173102.524</v>
      </c>
      <c r="E1383" s="5">
        <f t="shared" si="1"/>
        <v>0.005715793465</v>
      </c>
    </row>
    <row r="1384" ht="15.75" customHeight="1">
      <c r="B1384" s="3" t="s">
        <v>836</v>
      </c>
      <c r="C1384" s="2">
        <v>-942.415</v>
      </c>
      <c r="D1384" s="2">
        <f t="shared" si="2"/>
        <v>172160.109</v>
      </c>
      <c r="E1384" s="5">
        <f t="shared" si="1"/>
        <v>-0.005459133138</v>
      </c>
    </row>
    <row r="1385" ht="15.75" customHeight="1">
      <c r="B1385" s="3" t="s">
        <v>837</v>
      </c>
      <c r="C1385" s="2">
        <v>176.138</v>
      </c>
      <c r="D1385" s="2">
        <f t="shared" si="2"/>
        <v>172336.247</v>
      </c>
      <c r="E1385" s="5">
        <f t="shared" si="1"/>
        <v>0.001022582749</v>
      </c>
    </row>
    <row r="1386" ht="15.75" customHeight="1">
      <c r="B1386" s="3">
        <v>44992.0</v>
      </c>
      <c r="C1386" s="2">
        <v>1471.013</v>
      </c>
      <c r="D1386" s="2">
        <f t="shared" si="2"/>
        <v>173807.26</v>
      </c>
      <c r="E1386" s="5">
        <f t="shared" si="1"/>
        <v>0.008499491257</v>
      </c>
    </row>
    <row r="1387" ht="15.75" customHeight="1">
      <c r="B1387" s="3">
        <v>45053.0</v>
      </c>
      <c r="C1387" s="2">
        <v>-89.261</v>
      </c>
      <c r="D1387" s="2">
        <f t="shared" si="2"/>
        <v>173717.999</v>
      </c>
      <c r="E1387" s="5">
        <f t="shared" si="1"/>
        <v>-0.0005136950461</v>
      </c>
    </row>
    <row r="1388" ht="15.75" customHeight="1">
      <c r="B1388" s="3">
        <v>45084.0</v>
      </c>
      <c r="C1388" s="2">
        <v>1247.348</v>
      </c>
      <c r="D1388" s="2">
        <f t="shared" si="2"/>
        <v>174965.347</v>
      </c>
      <c r="E1388" s="5">
        <f t="shared" si="1"/>
        <v>0.007154648108</v>
      </c>
    </row>
    <row r="1389" ht="15.75" customHeight="1">
      <c r="B1389" s="3">
        <v>45114.0</v>
      </c>
      <c r="C1389" s="2">
        <v>419.886</v>
      </c>
      <c r="D1389" s="2">
        <f t="shared" si="2"/>
        <v>175385.233</v>
      </c>
      <c r="E1389" s="5">
        <f t="shared" si="1"/>
        <v>0.002396948799</v>
      </c>
    </row>
    <row r="1390" ht="15.75" customHeight="1">
      <c r="B1390" s="3">
        <v>45206.0</v>
      </c>
      <c r="C1390" s="2">
        <v>0.0</v>
      </c>
      <c r="D1390" s="2">
        <f t="shared" si="2"/>
        <v>175385.233</v>
      </c>
      <c r="E1390" s="5">
        <f t="shared" si="1"/>
        <v>0</v>
      </c>
    </row>
    <row r="1391" ht="15.75" customHeight="1">
      <c r="B1391" s="3">
        <v>45237.0</v>
      </c>
      <c r="C1391" s="2">
        <v>-154.648</v>
      </c>
      <c r="D1391" s="2">
        <f t="shared" si="2"/>
        <v>175230.585</v>
      </c>
      <c r="E1391" s="5">
        <f t="shared" si="1"/>
        <v>-0.0008821507878</v>
      </c>
    </row>
    <row r="1392" ht="15.75" customHeight="1">
      <c r="B1392" s="3">
        <v>45267.0</v>
      </c>
      <c r="C1392" s="2">
        <v>378.112</v>
      </c>
      <c r="D1392" s="2">
        <f t="shared" si="2"/>
        <v>175608.697</v>
      </c>
      <c r="E1392" s="5">
        <f t="shared" si="1"/>
        <v>0.002155472125</v>
      </c>
    </row>
    <row r="1393" ht="15.75" customHeight="1">
      <c r="B1393" s="3" t="s">
        <v>838</v>
      </c>
      <c r="C1393" s="2">
        <v>268.887</v>
      </c>
      <c r="D1393" s="2">
        <f t="shared" si="2"/>
        <v>175877.584</v>
      </c>
      <c r="E1393" s="5">
        <f t="shared" si="1"/>
        <v>0.00153000027</v>
      </c>
    </row>
    <row r="1394" ht="15.75" customHeight="1">
      <c r="B1394" s="3" t="s">
        <v>839</v>
      </c>
      <c r="C1394" s="2">
        <v>700.582</v>
      </c>
      <c r="D1394" s="2">
        <f t="shared" si="2"/>
        <v>176578.166</v>
      </c>
      <c r="E1394" s="5">
        <f t="shared" si="1"/>
        <v>0.003975437613</v>
      </c>
    </row>
    <row r="1395" ht="15.75" customHeight="1">
      <c r="B1395" s="3" t="s">
        <v>840</v>
      </c>
      <c r="C1395" s="2">
        <v>67.731</v>
      </c>
      <c r="D1395" s="2">
        <f t="shared" si="2"/>
        <v>176645.897</v>
      </c>
      <c r="E1395" s="5">
        <f t="shared" si="1"/>
        <v>0.0003835016236</v>
      </c>
    </row>
    <row r="1396" ht="15.75" customHeight="1">
      <c r="B1396" s="3" t="s">
        <v>841</v>
      </c>
      <c r="C1396" s="2">
        <v>725.247</v>
      </c>
      <c r="D1396" s="2">
        <f t="shared" si="2"/>
        <v>177371.144</v>
      </c>
      <c r="E1396" s="5">
        <f t="shared" si="1"/>
        <v>0.004097249175</v>
      </c>
    </row>
    <row r="1397" ht="15.75" customHeight="1">
      <c r="B1397" s="3" t="s">
        <v>842</v>
      </c>
      <c r="C1397" s="2">
        <v>1072.788</v>
      </c>
      <c r="D1397" s="2">
        <f t="shared" si="2"/>
        <v>178443.932</v>
      </c>
      <c r="E1397" s="5">
        <f t="shared" si="1"/>
        <v>0.006030049444</v>
      </c>
    </row>
    <row r="1398" ht="15.75" customHeight="1">
      <c r="B1398" s="3" t="s">
        <v>843</v>
      </c>
      <c r="C1398" s="2">
        <v>274.554</v>
      </c>
      <c r="D1398" s="2">
        <f t="shared" si="2"/>
        <v>178718.486</v>
      </c>
      <c r="E1398" s="5">
        <f t="shared" si="1"/>
        <v>0.001537418498</v>
      </c>
    </row>
    <row r="1399" ht="15.75" customHeight="1">
      <c r="B1399" s="3" t="s">
        <v>844</v>
      </c>
      <c r="C1399" s="2">
        <v>2522.705</v>
      </c>
      <c r="D1399" s="2">
        <f t="shared" si="2"/>
        <v>181241.191</v>
      </c>
      <c r="E1399" s="5">
        <f t="shared" si="1"/>
        <v>0.01401682724</v>
      </c>
    </row>
    <row r="1400" ht="15.75" customHeight="1">
      <c r="B1400" s="3" t="s">
        <v>845</v>
      </c>
      <c r="C1400" s="2">
        <v>204.61</v>
      </c>
      <c r="D1400" s="2">
        <f t="shared" si="2"/>
        <v>181445.801</v>
      </c>
      <c r="E1400" s="5">
        <f t="shared" si="1"/>
        <v>0.001128300856</v>
      </c>
    </row>
    <row r="1401" ht="15.75" customHeight="1">
      <c r="B1401" s="3" t="s">
        <v>846</v>
      </c>
      <c r="C1401" s="2">
        <v>68.479</v>
      </c>
      <c r="D1401" s="2">
        <f t="shared" si="2"/>
        <v>181514.28</v>
      </c>
      <c r="E1401" s="5">
        <f t="shared" si="1"/>
        <v>0.0003773362659</v>
      </c>
    </row>
    <row r="1402" ht="15.75" customHeight="1">
      <c r="B1402" s="3" t="s">
        <v>847</v>
      </c>
      <c r="C1402" s="2">
        <v>640.95</v>
      </c>
      <c r="D1402" s="2">
        <f t="shared" si="2"/>
        <v>182155.23</v>
      </c>
      <c r="E1402" s="5">
        <f t="shared" si="1"/>
        <v>0.003524907346</v>
      </c>
    </row>
    <row r="1403" ht="15.75" customHeight="1">
      <c r="B1403" s="3" t="s">
        <v>848</v>
      </c>
      <c r="C1403" s="2">
        <v>846.85</v>
      </c>
      <c r="D1403" s="2">
        <f t="shared" si="2"/>
        <v>183002.08</v>
      </c>
      <c r="E1403" s="5">
        <f t="shared" si="1"/>
        <v>0.004638283255</v>
      </c>
    </row>
    <row r="1404" ht="15.75" customHeight="1">
      <c r="B1404" s="3" t="s">
        <v>849</v>
      </c>
      <c r="C1404" s="2">
        <v>90.969</v>
      </c>
      <c r="D1404" s="2">
        <f t="shared" si="2"/>
        <v>183093.049</v>
      </c>
      <c r="E1404" s="5">
        <f t="shared" si="1"/>
        <v>0.000496969201</v>
      </c>
    </row>
    <row r="1405" ht="15.75" customHeight="1">
      <c r="B1405" s="3" t="s">
        <v>850</v>
      </c>
      <c r="C1405" s="2">
        <v>252.66</v>
      </c>
      <c r="D1405" s="2">
        <f t="shared" si="2"/>
        <v>183345.709</v>
      </c>
      <c r="E1405" s="5">
        <f t="shared" si="1"/>
        <v>0.001379002818</v>
      </c>
    </row>
    <row r="1406" ht="15.75" customHeight="1">
      <c r="B1406" s="3">
        <v>44934.0</v>
      </c>
      <c r="C1406" s="2">
        <v>368.056</v>
      </c>
      <c r="D1406" s="2">
        <f t="shared" si="2"/>
        <v>183713.765</v>
      </c>
      <c r="E1406" s="5">
        <f t="shared" si="1"/>
        <v>0.002005430452</v>
      </c>
    </row>
    <row r="1407" ht="15.75" customHeight="1">
      <c r="B1407" s="3">
        <v>44965.0</v>
      </c>
      <c r="C1407" s="2">
        <v>229.427</v>
      </c>
      <c r="D1407" s="2">
        <f t="shared" si="2"/>
        <v>183943.192</v>
      </c>
      <c r="E1407" s="5">
        <f t="shared" si="1"/>
        <v>0.001248049441</v>
      </c>
    </row>
    <row r="1408" ht="15.75" customHeight="1">
      <c r="B1408" s="3">
        <v>44993.0</v>
      </c>
      <c r="C1408" s="2">
        <v>181.003</v>
      </c>
      <c r="D1408" s="2">
        <f t="shared" si="2"/>
        <v>184124.195</v>
      </c>
      <c r="E1408" s="5">
        <f t="shared" si="1"/>
        <v>0.0009835319346</v>
      </c>
    </row>
    <row r="1409" ht="15.75" customHeight="1">
      <c r="B1409" s="3">
        <v>45024.0</v>
      </c>
      <c r="C1409" s="2">
        <v>90.275</v>
      </c>
      <c r="D1409" s="2">
        <f t="shared" si="2"/>
        <v>184214.47</v>
      </c>
      <c r="E1409" s="5">
        <f t="shared" si="1"/>
        <v>0.00049017391</v>
      </c>
    </row>
    <row r="1410" ht="15.75" customHeight="1">
      <c r="B1410" s="3">
        <v>45115.0</v>
      </c>
      <c r="C1410" s="2">
        <v>89.803</v>
      </c>
      <c r="D1410" s="2">
        <f t="shared" si="2"/>
        <v>184304.273</v>
      </c>
      <c r="E1410" s="5">
        <f t="shared" si="1"/>
        <v>0.0004873727781</v>
      </c>
    </row>
    <row r="1411" ht="15.75" customHeight="1">
      <c r="B1411" s="3">
        <v>45146.0</v>
      </c>
      <c r="C1411" s="2">
        <v>-22.654</v>
      </c>
      <c r="D1411" s="2">
        <f t="shared" si="2"/>
        <v>184281.619</v>
      </c>
      <c r="E1411" s="5">
        <f t="shared" si="1"/>
        <v>-0.0001229238586</v>
      </c>
    </row>
    <row r="1412" ht="15.75" customHeight="1">
      <c r="B1412" s="3">
        <v>45177.0</v>
      </c>
      <c r="C1412" s="2">
        <v>-22.559</v>
      </c>
      <c r="D1412" s="2">
        <f t="shared" si="2"/>
        <v>184259.06</v>
      </c>
      <c r="E1412" s="5">
        <f t="shared" si="1"/>
        <v>-0.0001224233921</v>
      </c>
    </row>
    <row r="1413" ht="15.75" customHeight="1">
      <c r="B1413" s="3">
        <v>45207.0</v>
      </c>
      <c r="C1413" s="2">
        <v>-672.051</v>
      </c>
      <c r="D1413" s="2">
        <f t="shared" si="2"/>
        <v>183587.009</v>
      </c>
      <c r="E1413" s="5">
        <f t="shared" si="1"/>
        <v>-0.003653983578</v>
      </c>
    </row>
    <row r="1414" ht="15.75" customHeight="1">
      <c r="B1414" s="3">
        <v>45238.0</v>
      </c>
      <c r="C1414" s="2">
        <v>1254.967</v>
      </c>
      <c r="D1414" s="2">
        <f t="shared" si="2"/>
        <v>184841.976</v>
      </c>
      <c r="E1414" s="5">
        <f t="shared" si="1"/>
        <v>0.006812557669</v>
      </c>
    </row>
    <row r="1415" ht="15.75" customHeight="1">
      <c r="B1415" s="3" t="s">
        <v>851</v>
      </c>
      <c r="C1415" s="2">
        <v>671.679</v>
      </c>
      <c r="D1415" s="2">
        <f t="shared" si="2"/>
        <v>185513.655</v>
      </c>
      <c r="E1415" s="5">
        <f t="shared" si="1"/>
        <v>0.003627214926</v>
      </c>
    </row>
    <row r="1416" ht="15.75" customHeight="1">
      <c r="B1416" s="3" t="s">
        <v>852</v>
      </c>
      <c r="C1416" s="2">
        <v>292.752</v>
      </c>
      <c r="D1416" s="2">
        <f t="shared" si="2"/>
        <v>185806.407</v>
      </c>
      <c r="E1416" s="5">
        <f t="shared" si="1"/>
        <v>0.001576817902</v>
      </c>
    </row>
    <row r="1417" ht="15.75" customHeight="1">
      <c r="B1417" s="3" t="s">
        <v>853</v>
      </c>
      <c r="C1417" s="2">
        <v>556.567</v>
      </c>
      <c r="D1417" s="2">
        <f t="shared" si="2"/>
        <v>186362.974</v>
      </c>
      <c r="E1417" s="5">
        <f t="shared" si="1"/>
        <v>0.002990936081</v>
      </c>
    </row>
    <row r="1418" ht="15.75" customHeight="1">
      <c r="B1418" s="3" t="s">
        <v>854</v>
      </c>
      <c r="C1418" s="2">
        <v>0.0</v>
      </c>
      <c r="D1418" s="2">
        <f t="shared" si="2"/>
        <v>186362.974</v>
      </c>
      <c r="E1418" s="5">
        <f t="shared" si="1"/>
        <v>0</v>
      </c>
    </row>
    <row r="1419" ht="15.75" customHeight="1">
      <c r="B1419" s="3" t="s">
        <v>855</v>
      </c>
      <c r="C1419" s="2">
        <v>21.932</v>
      </c>
      <c r="D1419" s="2">
        <f t="shared" si="2"/>
        <v>186384.906</v>
      </c>
      <c r="E1419" s="5">
        <f t="shared" si="1"/>
        <v>0.0001176773964</v>
      </c>
    </row>
    <row r="1420" ht="15.75" customHeight="1">
      <c r="B1420" s="3" t="s">
        <v>856</v>
      </c>
      <c r="C1420" s="2">
        <v>131.58</v>
      </c>
      <c r="D1420" s="2">
        <f t="shared" si="2"/>
        <v>186516.486</v>
      </c>
      <c r="E1420" s="5">
        <f t="shared" si="1"/>
        <v>0.0007057093821</v>
      </c>
    </row>
    <row r="1421" ht="15.75" customHeight="1">
      <c r="B1421" s="3" t="s">
        <v>857</v>
      </c>
      <c r="C1421" s="2">
        <v>-44.162</v>
      </c>
      <c r="D1421" s="2">
        <f t="shared" si="2"/>
        <v>186472.324</v>
      </c>
      <c r="E1421" s="5">
        <f t="shared" si="1"/>
        <v>-0.0002368006708</v>
      </c>
    </row>
    <row r="1422" ht="15.75" customHeight="1">
      <c r="B1422" s="3" t="s">
        <v>858</v>
      </c>
      <c r="C1422" s="2">
        <v>-462.423</v>
      </c>
      <c r="D1422" s="2">
        <f t="shared" si="2"/>
        <v>186009.901</v>
      </c>
      <c r="E1422" s="5">
        <f t="shared" si="1"/>
        <v>-0.00248292781</v>
      </c>
    </row>
    <row r="1423" ht="15.75" customHeight="1">
      <c r="B1423" s="3" t="s">
        <v>859</v>
      </c>
      <c r="C1423" s="2">
        <v>489.802</v>
      </c>
      <c r="D1423" s="2">
        <f t="shared" si="2"/>
        <v>186499.703</v>
      </c>
      <c r="E1423" s="5">
        <f t="shared" si="1"/>
        <v>0.00262974311</v>
      </c>
    </row>
    <row r="1424" ht="15.75" customHeight="1">
      <c r="B1424" s="3" t="s">
        <v>860</v>
      </c>
      <c r="C1424" s="2">
        <v>65.901</v>
      </c>
      <c r="D1424" s="2">
        <f t="shared" si="2"/>
        <v>186565.604</v>
      </c>
      <c r="E1424" s="5">
        <f t="shared" si="1"/>
        <v>0.0003532947152</v>
      </c>
    </row>
    <row r="1425" ht="15.75" customHeight="1">
      <c r="B1425" s="3" t="s">
        <v>861</v>
      </c>
      <c r="C1425" s="2">
        <v>44.234</v>
      </c>
      <c r="D1425" s="2">
        <f t="shared" si="2"/>
        <v>186609.838</v>
      </c>
      <c r="E1425" s="5">
        <f t="shared" si="1"/>
        <v>0.0002370681199</v>
      </c>
    </row>
    <row r="1426" ht="15.75" customHeight="1">
      <c r="B1426" s="3" t="s">
        <v>862</v>
      </c>
      <c r="C1426" s="2">
        <v>333.839</v>
      </c>
      <c r="D1426" s="2">
        <f t="shared" si="2"/>
        <v>186943.677</v>
      </c>
      <c r="E1426" s="5">
        <f t="shared" si="1"/>
        <v>0.001787369549</v>
      </c>
    </row>
    <row r="1427" ht="15.75" customHeight="1">
      <c r="B1427" s="3" t="s">
        <v>863</v>
      </c>
      <c r="C1427" s="2">
        <v>519.329</v>
      </c>
      <c r="D1427" s="2">
        <f t="shared" si="2"/>
        <v>187463.006</v>
      </c>
      <c r="E1427" s="5">
        <f t="shared" si="1"/>
        <v>0.002774145637</v>
      </c>
    </row>
    <row r="1428" ht="15.75" customHeight="1">
      <c r="B1428" s="3" t="s">
        <v>864</v>
      </c>
      <c r="C1428" s="2">
        <v>-294.707</v>
      </c>
      <c r="D1428" s="2">
        <f t="shared" si="2"/>
        <v>187168.299</v>
      </c>
      <c r="E1428" s="5">
        <f t="shared" si="1"/>
        <v>-0.001573317856</v>
      </c>
    </row>
    <row r="1429" ht="15.75" customHeight="1">
      <c r="B1429" s="3">
        <v>44935.0</v>
      </c>
      <c r="C1429" s="2">
        <v>-1222.497</v>
      </c>
      <c r="D1429" s="2">
        <f t="shared" si="2"/>
        <v>185945.802</v>
      </c>
      <c r="E1429" s="5">
        <f t="shared" si="1"/>
        <v>-0.0065529626</v>
      </c>
    </row>
    <row r="1430" ht="15.75" customHeight="1">
      <c r="B1430" s="3">
        <v>45055.0</v>
      </c>
      <c r="C1430" s="2">
        <v>-294.848</v>
      </c>
      <c r="D1430" s="2">
        <f t="shared" si="2"/>
        <v>185650.954</v>
      </c>
      <c r="E1430" s="5">
        <f t="shared" si="1"/>
        <v>-0.001586924843</v>
      </c>
    </row>
    <row r="1431" ht="15.75" customHeight="1">
      <c r="B1431" s="3">
        <v>45086.0</v>
      </c>
      <c r="C1431" s="2">
        <v>519.488</v>
      </c>
      <c r="D1431" s="2">
        <f t="shared" si="2"/>
        <v>186170.442</v>
      </c>
      <c r="E1431" s="5">
        <f t="shared" si="1"/>
        <v>0.002794289643</v>
      </c>
    </row>
    <row r="1432" ht="15.75" customHeight="1">
      <c r="B1432" s="3">
        <v>45116.0</v>
      </c>
      <c r="C1432" s="2">
        <v>-1300.917</v>
      </c>
      <c r="D1432" s="2">
        <f t="shared" si="2"/>
        <v>184869.525</v>
      </c>
      <c r="E1432" s="5">
        <f t="shared" si="1"/>
        <v>-0.007012302967</v>
      </c>
    </row>
    <row r="1433" ht="15.75" customHeight="1">
      <c r="B1433" s="3">
        <v>45147.0</v>
      </c>
      <c r="C1433" s="2">
        <v>424.851</v>
      </c>
      <c r="D1433" s="2">
        <f t="shared" si="2"/>
        <v>185294.376</v>
      </c>
      <c r="E1433" s="5">
        <f t="shared" si="1"/>
        <v>0.00229547606</v>
      </c>
    </row>
    <row r="1434" ht="15.75" customHeight="1">
      <c r="B1434" s="3">
        <v>45239.0</v>
      </c>
      <c r="C1434" s="2">
        <v>895.764</v>
      </c>
      <c r="D1434" s="2">
        <f t="shared" si="2"/>
        <v>186190.14</v>
      </c>
      <c r="E1434" s="5">
        <f t="shared" si="1"/>
        <v>0.00482262758</v>
      </c>
    </row>
    <row r="1435" ht="15.75" customHeight="1">
      <c r="B1435" s="3">
        <v>45269.0</v>
      </c>
      <c r="C1435" s="2">
        <v>2006.469</v>
      </c>
      <c r="D1435" s="2">
        <f t="shared" si="2"/>
        <v>188196.609</v>
      </c>
      <c r="E1435" s="5">
        <f t="shared" si="1"/>
        <v>0.0107187993</v>
      </c>
    </row>
    <row r="1436" ht="15.75" customHeight="1">
      <c r="B1436" s="3" t="s">
        <v>865</v>
      </c>
      <c r="C1436" s="2">
        <v>1927.866</v>
      </c>
      <c r="D1436" s="2">
        <f t="shared" si="2"/>
        <v>190124.475</v>
      </c>
      <c r="E1436" s="5">
        <f t="shared" si="1"/>
        <v>0.01019178031</v>
      </c>
    </row>
    <row r="1437" ht="15.75" customHeight="1">
      <c r="B1437" s="3" t="s">
        <v>866</v>
      </c>
      <c r="C1437" s="2">
        <v>67.335</v>
      </c>
      <c r="D1437" s="2">
        <f t="shared" si="2"/>
        <v>190191.81</v>
      </c>
      <c r="E1437" s="5">
        <f t="shared" si="1"/>
        <v>0.0003541000129</v>
      </c>
    </row>
    <row r="1438" ht="15.75" customHeight="1">
      <c r="B1438" s="3" t="s">
        <v>867</v>
      </c>
      <c r="C1438" s="2">
        <v>701.856</v>
      </c>
      <c r="D1438" s="2">
        <f t="shared" si="2"/>
        <v>190893.666</v>
      </c>
      <c r="E1438" s="5">
        <f t="shared" si="1"/>
        <v>0.003683461259</v>
      </c>
    </row>
    <row r="1439" ht="15.75" customHeight="1">
      <c r="B1439" s="3" t="s">
        <v>868</v>
      </c>
      <c r="C1439" s="2">
        <v>268.393</v>
      </c>
      <c r="D1439" s="2">
        <f t="shared" si="2"/>
        <v>191162.059</v>
      </c>
      <c r="E1439" s="5">
        <f t="shared" si="1"/>
        <v>0.001404994228</v>
      </c>
    </row>
    <row r="1440" ht="15.75" customHeight="1">
      <c r="B1440" s="3" t="s">
        <v>869</v>
      </c>
      <c r="C1440" s="2">
        <v>-402.886</v>
      </c>
      <c r="D1440" s="2">
        <f t="shared" si="2"/>
        <v>190759.173</v>
      </c>
      <c r="E1440" s="5">
        <f t="shared" si="1"/>
        <v>-0.002109786604</v>
      </c>
    </row>
    <row r="1441" ht="15.75" customHeight="1">
      <c r="B1441" s="3" t="s">
        <v>870</v>
      </c>
      <c r="C1441" s="2">
        <v>-268.012</v>
      </c>
      <c r="D1441" s="2">
        <f t="shared" si="2"/>
        <v>190491.161</v>
      </c>
      <c r="E1441" s="5">
        <f t="shared" si="1"/>
        <v>-0.00140596359</v>
      </c>
    </row>
    <row r="1442" ht="15.75" customHeight="1">
      <c r="B1442" s="3" t="s">
        <v>871</v>
      </c>
      <c r="C1442" s="2">
        <v>-420.394</v>
      </c>
      <c r="D1442" s="2">
        <f t="shared" si="2"/>
        <v>190070.767</v>
      </c>
      <c r="E1442" s="5">
        <f t="shared" si="1"/>
        <v>-0.00220933383</v>
      </c>
    </row>
    <row r="1443" ht="15.75" customHeight="1">
      <c r="B1443" s="3" t="s">
        <v>872</v>
      </c>
      <c r="C1443" s="2">
        <v>-435.276</v>
      </c>
      <c r="D1443" s="2">
        <f t="shared" si="2"/>
        <v>189635.491</v>
      </c>
      <c r="E1443" s="5">
        <f t="shared" si="1"/>
        <v>-0.002292699588</v>
      </c>
    </row>
    <row r="1444" ht="15.75" customHeight="1">
      <c r="B1444" s="3" t="s">
        <v>873</v>
      </c>
      <c r="C1444" s="2">
        <v>-3604.547</v>
      </c>
      <c r="D1444" s="2">
        <f t="shared" si="2"/>
        <v>186030.944</v>
      </c>
      <c r="E1444" s="5">
        <f t="shared" si="1"/>
        <v>-0.01919073565</v>
      </c>
    </row>
    <row r="1445" ht="15.75" customHeight="1">
      <c r="B1445" s="3" t="s">
        <v>874</v>
      </c>
      <c r="C1445" s="2">
        <v>-1417.114</v>
      </c>
      <c r="D1445" s="2">
        <f t="shared" si="2"/>
        <v>184613.83</v>
      </c>
      <c r="E1445" s="5">
        <f t="shared" si="1"/>
        <v>-0.007646787462</v>
      </c>
    </row>
    <row r="1446" ht="15.75" customHeight="1">
      <c r="B1446" s="3" t="s">
        <v>875</v>
      </c>
      <c r="C1446" s="2">
        <v>1154.659</v>
      </c>
      <c r="D1446" s="2">
        <f t="shared" si="2"/>
        <v>185768.489</v>
      </c>
      <c r="E1446" s="5">
        <f t="shared" si="1"/>
        <v>0.006234977651</v>
      </c>
    </row>
    <row r="1447" ht="15.75" customHeight="1">
      <c r="B1447" s="3" t="s">
        <v>876</v>
      </c>
      <c r="C1447" s="2">
        <v>5325.579</v>
      </c>
      <c r="D1447" s="2">
        <f t="shared" si="2"/>
        <v>191094.068</v>
      </c>
      <c r="E1447" s="5">
        <f t="shared" si="1"/>
        <v>0.02826459377</v>
      </c>
    </row>
    <row r="1448" ht="15.75" customHeight="1">
      <c r="B1448" s="3" t="s">
        <v>877</v>
      </c>
      <c r="C1448" s="2">
        <v>129.1</v>
      </c>
      <c r="D1448" s="2">
        <f t="shared" si="2"/>
        <v>191223.168</v>
      </c>
      <c r="E1448" s="5">
        <f t="shared" si="1"/>
        <v>0.0006753553999</v>
      </c>
    </row>
    <row r="1449" ht="15.75" customHeight="1">
      <c r="B1449" s="3">
        <v>44967.0</v>
      </c>
      <c r="C1449" s="2">
        <v>751.07</v>
      </c>
      <c r="D1449" s="2">
        <f t="shared" si="2"/>
        <v>191974.238</v>
      </c>
      <c r="E1449" s="5">
        <f t="shared" si="1"/>
        <v>0.003920021117</v>
      </c>
    </row>
    <row r="1450" ht="15.75" customHeight="1">
      <c r="B1450" s="3">
        <v>44995.0</v>
      </c>
      <c r="C1450" s="2">
        <v>236.07</v>
      </c>
      <c r="D1450" s="2">
        <f t="shared" si="2"/>
        <v>192210.308</v>
      </c>
      <c r="E1450" s="5">
        <f t="shared" si="1"/>
        <v>0.00122894079</v>
      </c>
    </row>
    <row r="1451" ht="15.75" customHeight="1">
      <c r="B1451" s="3">
        <v>45026.0</v>
      </c>
      <c r="C1451" s="2">
        <v>1333.56</v>
      </c>
      <c r="D1451" s="2">
        <f t="shared" si="2"/>
        <v>193543.868</v>
      </c>
      <c r="E1451" s="5">
        <f t="shared" si="1"/>
        <v>0.006914068054</v>
      </c>
    </row>
    <row r="1452" ht="15.75" customHeight="1">
      <c r="B1452" s="3">
        <v>45056.0</v>
      </c>
      <c r="C1452" s="2">
        <v>64.018</v>
      </c>
      <c r="D1452" s="2">
        <f t="shared" si="2"/>
        <v>193607.886</v>
      </c>
      <c r="E1452" s="5">
        <f t="shared" si="1"/>
        <v>0.0003307126982</v>
      </c>
    </row>
    <row r="1453" ht="15.75" customHeight="1">
      <c r="B1453" s="3">
        <v>45087.0</v>
      </c>
      <c r="C1453" s="2">
        <v>639.46</v>
      </c>
      <c r="D1453" s="2">
        <f t="shared" si="2"/>
        <v>194247.346</v>
      </c>
      <c r="E1453" s="5">
        <f t="shared" si="1"/>
        <v>0.003297418865</v>
      </c>
    </row>
    <row r="1454" ht="15.75" customHeight="1">
      <c r="B1454" s="3">
        <v>45179.0</v>
      </c>
      <c r="C1454" s="2">
        <v>-172.565</v>
      </c>
      <c r="D1454" s="2">
        <f t="shared" si="2"/>
        <v>194074.781</v>
      </c>
      <c r="E1454" s="5">
        <f t="shared" si="1"/>
        <v>-0.0008887724874</v>
      </c>
    </row>
    <row r="1455" ht="15.75" customHeight="1">
      <c r="B1455" s="3">
        <v>45209.0</v>
      </c>
      <c r="C1455" s="2">
        <v>217.066</v>
      </c>
      <c r="D1455" s="2">
        <f t="shared" si="2"/>
        <v>194291.847</v>
      </c>
      <c r="E1455" s="5">
        <f t="shared" si="1"/>
        <v>0.001117840756</v>
      </c>
    </row>
    <row r="1456" ht="15.75" customHeight="1">
      <c r="B1456" s="3">
        <v>45240.0</v>
      </c>
      <c r="C1456" s="2">
        <v>1811.068</v>
      </c>
      <c r="D1456" s="2">
        <f t="shared" si="2"/>
        <v>196102.915</v>
      </c>
      <c r="E1456" s="5">
        <f t="shared" si="1"/>
        <v>0.009278203339</v>
      </c>
    </row>
    <row r="1457" ht="15.75" customHeight="1">
      <c r="B1457" s="3">
        <v>45270.0</v>
      </c>
      <c r="C1457" s="2">
        <v>-65.744</v>
      </c>
      <c r="D1457" s="2">
        <f t="shared" si="2"/>
        <v>196037.171</v>
      </c>
      <c r="E1457" s="5">
        <f t="shared" si="1"/>
        <v>-0.0003353087479</v>
      </c>
    </row>
    <row r="1458" ht="15.75" customHeight="1">
      <c r="B1458" s="3" t="s">
        <v>878</v>
      </c>
      <c r="C1458" s="2">
        <v>174.242</v>
      </c>
      <c r="D1458" s="2">
        <f t="shared" si="2"/>
        <v>196211.413</v>
      </c>
      <c r="E1458" s="5">
        <f t="shared" si="1"/>
        <v>0.0008884264651</v>
      </c>
    </row>
    <row r="1459" ht="15.75" customHeight="1">
      <c r="B1459" s="3" t="s">
        <v>879</v>
      </c>
      <c r="C1459" s="2">
        <v>325.068</v>
      </c>
      <c r="D1459" s="2">
        <f t="shared" si="2"/>
        <v>196536.481</v>
      </c>
      <c r="E1459" s="5">
        <f t="shared" si="1"/>
        <v>0.001655352348</v>
      </c>
    </row>
    <row r="1460" ht="15.75" customHeight="1">
      <c r="B1460" s="3" t="s">
        <v>880</v>
      </c>
      <c r="C1460" s="2">
        <v>-240.915</v>
      </c>
      <c r="D1460" s="2">
        <f t="shared" si="2"/>
        <v>196295.566</v>
      </c>
      <c r="E1460" s="5">
        <f t="shared" si="1"/>
        <v>-0.00122655487</v>
      </c>
    </row>
    <row r="1461" ht="15.75" customHeight="1">
      <c r="B1461" s="3" t="s">
        <v>881</v>
      </c>
      <c r="C1461" s="2">
        <v>0.0</v>
      </c>
      <c r="D1461" s="2">
        <f t="shared" si="2"/>
        <v>196295.566</v>
      </c>
      <c r="E1461" s="5">
        <f t="shared" si="1"/>
        <v>0</v>
      </c>
    </row>
    <row r="1462" ht="15.75" customHeight="1">
      <c r="B1462" s="3" t="s">
        <v>882</v>
      </c>
      <c r="C1462" s="2">
        <v>626.568</v>
      </c>
      <c r="D1462" s="2">
        <f t="shared" si="2"/>
        <v>196922.134</v>
      </c>
      <c r="E1462" s="5">
        <f t="shared" si="1"/>
        <v>0.003186878568</v>
      </c>
    </row>
    <row r="1463" ht="15.75" customHeight="1">
      <c r="B1463" s="3" t="s">
        <v>883</v>
      </c>
      <c r="C1463" s="2">
        <v>1478.276</v>
      </c>
      <c r="D1463" s="2">
        <f t="shared" si="2"/>
        <v>198400.41</v>
      </c>
      <c r="E1463" s="5">
        <f t="shared" si="1"/>
        <v>0.007478869662</v>
      </c>
    </row>
    <row r="1464" ht="15.75" customHeight="1">
      <c r="B1464" s="3" t="s">
        <v>884</v>
      </c>
      <c r="C1464" s="2">
        <v>317.33</v>
      </c>
      <c r="D1464" s="2">
        <f t="shared" si="2"/>
        <v>198717.74</v>
      </c>
      <c r="E1464" s="5">
        <f t="shared" si="1"/>
        <v>0.001598164514</v>
      </c>
    </row>
    <row r="1465" ht="15.75" customHeight="1">
      <c r="B1465" s="3" t="s">
        <v>885</v>
      </c>
      <c r="C1465" s="2">
        <v>337.914</v>
      </c>
      <c r="D1465" s="2">
        <f t="shared" si="2"/>
        <v>199055.654</v>
      </c>
      <c r="E1465" s="5">
        <f t="shared" si="1"/>
        <v>0.001699028072</v>
      </c>
    </row>
    <row r="1466" ht="15.75" customHeight="1">
      <c r="B1466" s="3" t="s">
        <v>886</v>
      </c>
      <c r="C1466" s="2">
        <v>170.188</v>
      </c>
      <c r="D1466" s="2">
        <f t="shared" si="2"/>
        <v>199225.842</v>
      </c>
      <c r="E1466" s="5">
        <f t="shared" si="1"/>
        <v>0.0008546116858</v>
      </c>
    </row>
    <row r="1467" ht="15.75" customHeight="1">
      <c r="B1467" s="3" t="s">
        <v>887</v>
      </c>
      <c r="C1467" s="2">
        <v>167.749</v>
      </c>
      <c r="D1467" s="2">
        <f t="shared" si="2"/>
        <v>199393.591</v>
      </c>
      <c r="E1467" s="5">
        <f t="shared" si="1"/>
        <v>0.0008416499348</v>
      </c>
    </row>
    <row r="1468" ht="15.75" customHeight="1">
      <c r="B1468" s="3" t="s">
        <v>888</v>
      </c>
      <c r="C1468" s="2">
        <v>352.253</v>
      </c>
      <c r="D1468" s="2">
        <f t="shared" si="2"/>
        <v>199745.844</v>
      </c>
      <c r="E1468" s="5">
        <f t="shared" si="1"/>
        <v>0.001765062836</v>
      </c>
    </row>
    <row r="1469" ht="15.75" customHeight="1">
      <c r="B1469" s="3" t="s">
        <v>889</v>
      </c>
      <c r="C1469" s="2">
        <v>41.243</v>
      </c>
      <c r="D1469" s="2">
        <f t="shared" si="2"/>
        <v>199787.087</v>
      </c>
      <c r="E1469" s="5">
        <f t="shared" si="1"/>
        <v>0.0002064560738</v>
      </c>
    </row>
    <row r="1470" ht="15.75" customHeight="1">
      <c r="B1470" s="3" t="s">
        <v>890</v>
      </c>
      <c r="C1470" s="2">
        <v>83.484</v>
      </c>
      <c r="D1470" s="2">
        <f t="shared" si="2"/>
        <v>199870.571</v>
      </c>
      <c r="E1470" s="5">
        <f t="shared" si="1"/>
        <v>0.0004177775631</v>
      </c>
    </row>
    <row r="1471" ht="15.75" customHeight="1">
      <c r="B1471" s="3">
        <v>44937.0</v>
      </c>
      <c r="C1471" s="2">
        <v>-105.038</v>
      </c>
      <c r="D1471" s="2">
        <f t="shared" si="2"/>
        <v>199765.533</v>
      </c>
      <c r="E1471" s="5">
        <f t="shared" si="1"/>
        <v>-0.0005256682335</v>
      </c>
    </row>
    <row r="1472" ht="15.75" customHeight="1">
      <c r="B1472" s="3">
        <v>44968.0</v>
      </c>
      <c r="C1472" s="2">
        <v>191.056</v>
      </c>
      <c r="D1472" s="2">
        <f t="shared" si="2"/>
        <v>199956.589</v>
      </c>
      <c r="E1472" s="5">
        <f t="shared" si="1"/>
        <v>0.0009559441624</v>
      </c>
    </row>
    <row r="1473" ht="15.75" customHeight="1">
      <c r="B1473" s="3">
        <v>44996.0</v>
      </c>
      <c r="C1473" s="2">
        <v>216.302</v>
      </c>
      <c r="D1473" s="2">
        <f t="shared" si="2"/>
        <v>200172.891</v>
      </c>
      <c r="E1473" s="5">
        <f t="shared" si="1"/>
        <v>0.001081160134</v>
      </c>
    </row>
    <row r="1474" ht="15.75" customHeight="1">
      <c r="B1474" s="3">
        <v>45088.0</v>
      </c>
      <c r="C1474" s="2">
        <v>305.681</v>
      </c>
      <c r="D1474" s="2">
        <f t="shared" si="2"/>
        <v>200478.572</v>
      </c>
      <c r="E1474" s="5">
        <f t="shared" si="1"/>
        <v>0.001525920095</v>
      </c>
    </row>
    <row r="1475" ht="15.75" customHeight="1">
      <c r="B1475" s="3">
        <v>45118.0</v>
      </c>
      <c r="C1475" s="2">
        <v>109.367</v>
      </c>
      <c r="D1475" s="2">
        <f t="shared" si="2"/>
        <v>200587.939</v>
      </c>
      <c r="E1475" s="5">
        <f t="shared" si="1"/>
        <v>0.0005453808768</v>
      </c>
    </row>
    <row r="1476" ht="15.75" customHeight="1">
      <c r="B1476" s="3">
        <v>45149.0</v>
      </c>
      <c r="C1476" s="2">
        <v>241.294</v>
      </c>
      <c r="D1476" s="2">
        <f t="shared" si="2"/>
        <v>200829.233</v>
      </c>
      <c r="E1476" s="5">
        <f t="shared" si="1"/>
        <v>0.001202210797</v>
      </c>
    </row>
    <row r="1477" ht="15.75" customHeight="1">
      <c r="B1477" s="3">
        <v>45180.0</v>
      </c>
      <c r="C1477" s="2">
        <v>21.959</v>
      </c>
      <c r="D1477" s="2">
        <f t="shared" si="2"/>
        <v>200851.192</v>
      </c>
      <c r="E1477" s="5">
        <f t="shared" si="1"/>
        <v>0.0001093356741</v>
      </c>
    </row>
    <row r="1478" ht="15.75" customHeight="1">
      <c r="B1478" s="3">
        <v>45210.0</v>
      </c>
      <c r="C1478" s="2">
        <v>1132.853</v>
      </c>
      <c r="D1478" s="2">
        <f t="shared" si="2"/>
        <v>201984.045</v>
      </c>
      <c r="E1478" s="5">
        <f t="shared" si="1"/>
        <v>0.005624413568</v>
      </c>
    </row>
    <row r="1479" ht="15.75" customHeight="1">
      <c r="B1479" s="3" t="s">
        <v>891</v>
      </c>
      <c r="C1479" s="2">
        <v>22.129</v>
      </c>
      <c r="D1479" s="2">
        <f t="shared" si="2"/>
        <v>202006.174</v>
      </c>
      <c r="E1479" s="5">
        <f t="shared" si="1"/>
        <v>0.0001095521574</v>
      </c>
    </row>
    <row r="1480" ht="15.75" customHeight="1">
      <c r="B1480" s="3" t="s">
        <v>892</v>
      </c>
      <c r="C1480" s="2">
        <v>110.56</v>
      </c>
      <c r="D1480" s="2">
        <f t="shared" si="2"/>
        <v>202116.734</v>
      </c>
      <c r="E1480" s="5">
        <f t="shared" si="1"/>
        <v>0.000547160285</v>
      </c>
    </row>
    <row r="1481" ht="15.75" customHeight="1">
      <c r="B1481" s="3" t="s">
        <v>893</v>
      </c>
      <c r="C1481" s="2">
        <v>0.0</v>
      </c>
      <c r="D1481" s="2">
        <f t="shared" si="2"/>
        <v>202116.734</v>
      </c>
      <c r="E1481" s="5">
        <f t="shared" si="1"/>
        <v>0</v>
      </c>
    </row>
    <row r="1482" ht="15.75" customHeight="1">
      <c r="B1482" s="3" t="s">
        <v>894</v>
      </c>
      <c r="C1482" s="2">
        <v>293.521</v>
      </c>
      <c r="D1482" s="2">
        <f t="shared" si="2"/>
        <v>202410.255</v>
      </c>
      <c r="E1482" s="5">
        <f t="shared" si="1"/>
        <v>0.00145118155</v>
      </c>
    </row>
    <row r="1483" ht="15.75" customHeight="1">
      <c r="B1483" s="3" t="s">
        <v>895</v>
      </c>
      <c r="C1483" s="2">
        <v>474.826</v>
      </c>
      <c r="D1483" s="2">
        <f t="shared" si="2"/>
        <v>202885.081</v>
      </c>
      <c r="E1483" s="5">
        <f t="shared" si="1"/>
        <v>0.002343112171</v>
      </c>
    </row>
    <row r="1484" ht="15.75" customHeight="1">
      <c r="B1484" s="3" t="s">
        <v>896</v>
      </c>
      <c r="C1484" s="2">
        <v>90.561</v>
      </c>
      <c r="D1484" s="2">
        <f t="shared" si="2"/>
        <v>202975.642</v>
      </c>
      <c r="E1484" s="5">
        <f t="shared" si="1"/>
        <v>0.0004462663982</v>
      </c>
    </row>
    <row r="1485" ht="15.75" customHeight="1">
      <c r="B1485" s="3" t="s">
        <v>897</v>
      </c>
      <c r="C1485" s="2">
        <v>182.479</v>
      </c>
      <c r="D1485" s="2">
        <f t="shared" si="2"/>
        <v>203158.121</v>
      </c>
      <c r="E1485" s="5">
        <f t="shared" si="1"/>
        <v>0.0008986153278</v>
      </c>
    </row>
    <row r="1486" ht="15.75" customHeight="1">
      <c r="B1486" s="3" t="s">
        <v>898</v>
      </c>
      <c r="C1486" s="2">
        <v>341.464</v>
      </c>
      <c r="D1486" s="2">
        <f t="shared" si="2"/>
        <v>203499.585</v>
      </c>
      <c r="E1486" s="5">
        <f t="shared" si="1"/>
        <v>0.001679368546</v>
      </c>
    </row>
    <row r="1487" ht="15.75" customHeight="1">
      <c r="B1487" s="3" t="s">
        <v>899</v>
      </c>
      <c r="C1487" s="2">
        <v>297.152</v>
      </c>
      <c r="D1487" s="2">
        <f t="shared" si="2"/>
        <v>203796.737</v>
      </c>
      <c r="E1487" s="5">
        <f t="shared" si="1"/>
        <v>0.001459144297</v>
      </c>
    </row>
    <row r="1488" ht="15.75" customHeight="1">
      <c r="B1488" s="3" t="s">
        <v>900</v>
      </c>
      <c r="C1488" s="2">
        <v>0.0</v>
      </c>
      <c r="D1488" s="2">
        <f t="shared" si="2"/>
        <v>203796.737</v>
      </c>
      <c r="E1488" s="5">
        <f t="shared" si="1"/>
        <v>0</v>
      </c>
    </row>
    <row r="1489" ht="15.75" customHeight="1">
      <c r="B1489" s="3" t="s">
        <v>901</v>
      </c>
      <c r="C1489" s="2">
        <v>1369.656</v>
      </c>
      <c r="D1489" s="2">
        <f t="shared" si="2"/>
        <v>205166.393</v>
      </c>
      <c r="E1489" s="5">
        <f t="shared" si="1"/>
        <v>0.006698213215</v>
      </c>
    </row>
    <row r="1490" ht="15.75" customHeight="1">
      <c r="B1490" s="3" t="s">
        <v>902</v>
      </c>
      <c r="C1490" s="2">
        <v>205.65</v>
      </c>
      <c r="D1490" s="2">
        <f t="shared" si="2"/>
        <v>205372.043</v>
      </c>
      <c r="E1490" s="5">
        <f t="shared" si="1"/>
        <v>0.001001855121</v>
      </c>
    </row>
    <row r="1491" ht="15.75" customHeight="1">
      <c r="B1491" s="3" t="s">
        <v>903</v>
      </c>
      <c r="C1491" s="2">
        <v>342.485</v>
      </c>
      <c r="D1491" s="2">
        <f t="shared" si="2"/>
        <v>205714.528</v>
      </c>
      <c r="E1491" s="5">
        <f t="shared" si="1"/>
        <v>0.00166624309</v>
      </c>
    </row>
    <row r="1492" ht="15.75" customHeight="1">
      <c r="B1492" s="3">
        <v>44938.0</v>
      </c>
      <c r="C1492" s="2">
        <v>366.81</v>
      </c>
      <c r="D1492" s="2">
        <f t="shared" si="2"/>
        <v>206081.338</v>
      </c>
      <c r="E1492" s="5">
        <f t="shared" si="1"/>
        <v>0.001781514227</v>
      </c>
    </row>
    <row r="1493" ht="15.75" customHeight="1">
      <c r="B1493" s="3">
        <v>45028.0</v>
      </c>
      <c r="C1493" s="2">
        <v>-415.119</v>
      </c>
      <c r="D1493" s="2">
        <f t="shared" si="2"/>
        <v>205666.219</v>
      </c>
      <c r="E1493" s="5">
        <f t="shared" si="1"/>
        <v>-0.002016376945</v>
      </c>
    </row>
    <row r="1494" ht="15.75" customHeight="1">
      <c r="B1494" s="3">
        <v>45058.0</v>
      </c>
      <c r="C1494" s="2">
        <v>114.687</v>
      </c>
      <c r="D1494" s="2">
        <f t="shared" si="2"/>
        <v>205780.906</v>
      </c>
      <c r="E1494" s="5">
        <f t="shared" si="1"/>
        <v>0.0005574811246</v>
      </c>
    </row>
    <row r="1495" ht="15.75" customHeight="1">
      <c r="B1495" s="3">
        <v>45089.0</v>
      </c>
      <c r="C1495" s="2">
        <v>45.851</v>
      </c>
      <c r="D1495" s="2">
        <f t="shared" si="2"/>
        <v>205826.757</v>
      </c>
      <c r="E1495" s="5">
        <f t="shared" si="1"/>
        <v>0.0002227898278</v>
      </c>
    </row>
    <row r="1496" ht="15.75" customHeight="1">
      <c r="B1496" s="3">
        <v>45119.0</v>
      </c>
      <c r="C1496" s="2">
        <v>913.46</v>
      </c>
      <c r="D1496" s="2">
        <f t="shared" si="2"/>
        <v>206740.217</v>
      </c>
      <c r="E1496" s="5">
        <f t="shared" si="1"/>
        <v>0.004428185241</v>
      </c>
    </row>
    <row r="1497" ht="15.75" customHeight="1">
      <c r="B1497" s="3">
        <v>45150.0</v>
      </c>
      <c r="C1497" s="2">
        <v>1381.323</v>
      </c>
      <c r="D1497" s="2">
        <f t="shared" si="2"/>
        <v>208121.54</v>
      </c>
      <c r="E1497" s="5">
        <f t="shared" si="1"/>
        <v>0.006659221205</v>
      </c>
    </row>
    <row r="1498" ht="15.75" customHeight="1">
      <c r="B1498" s="3">
        <v>45242.0</v>
      </c>
      <c r="C1498" s="2">
        <v>1895.582</v>
      </c>
      <c r="D1498" s="2">
        <f t="shared" si="2"/>
        <v>210017.122</v>
      </c>
      <c r="E1498" s="5">
        <f t="shared" si="1"/>
        <v>0.009066824755</v>
      </c>
    </row>
    <row r="1499" ht="15.75" customHeight="1">
      <c r="B1499" s="3">
        <v>45272.0</v>
      </c>
      <c r="C1499" s="2">
        <v>1021.135</v>
      </c>
      <c r="D1499" s="2">
        <f t="shared" si="2"/>
        <v>211038.257</v>
      </c>
      <c r="E1499" s="5">
        <f t="shared" si="1"/>
        <v>0.00485036911</v>
      </c>
    </row>
    <row r="1500" ht="15.75" customHeight="1">
      <c r="B1500" s="3" t="s">
        <v>904</v>
      </c>
      <c r="C1500" s="2">
        <v>-2214.947</v>
      </c>
      <c r="D1500" s="2">
        <f t="shared" si="2"/>
        <v>208823.31</v>
      </c>
      <c r="E1500" s="5">
        <f t="shared" si="1"/>
        <v>-0.01055094213</v>
      </c>
    </row>
    <row r="1501" ht="15.75" customHeight="1">
      <c r="B1501" s="3" t="s">
        <v>905</v>
      </c>
      <c r="C1501" s="2">
        <v>1465.304</v>
      </c>
      <c r="D1501" s="2">
        <f t="shared" si="2"/>
        <v>210288.614</v>
      </c>
      <c r="E1501" s="5">
        <f t="shared" si="1"/>
        <v>0.006992451832</v>
      </c>
    </row>
    <row r="1502" ht="15.75" customHeight="1">
      <c r="B1502" s="3" t="s">
        <v>906</v>
      </c>
      <c r="C1502" s="2">
        <v>900.675</v>
      </c>
      <c r="D1502" s="2">
        <f t="shared" si="2"/>
        <v>211189.289</v>
      </c>
      <c r="E1502" s="5">
        <f t="shared" si="1"/>
        <v>0.004273896043</v>
      </c>
    </row>
    <row r="1503" ht="15.75" customHeight="1">
      <c r="B1503" s="3" t="s">
        <v>907</v>
      </c>
      <c r="C1503" s="2">
        <v>-8935.42</v>
      </c>
      <c r="D1503" s="2">
        <f t="shared" si="2"/>
        <v>202253.869</v>
      </c>
      <c r="E1503" s="5">
        <f t="shared" si="1"/>
        <v>-0.04323115004</v>
      </c>
    </row>
    <row r="1504" ht="15.75" customHeight="1">
      <c r="B1504" s="3" t="s">
        <v>908</v>
      </c>
      <c r="C1504" s="2">
        <v>-3499.918</v>
      </c>
      <c r="D1504" s="2">
        <f t="shared" si="2"/>
        <v>198753.951</v>
      </c>
      <c r="E1504" s="5">
        <f t="shared" si="1"/>
        <v>-0.01745605296</v>
      </c>
    </row>
    <row r="1505" ht="15.75" customHeight="1">
      <c r="B1505" s="3" t="s">
        <v>909</v>
      </c>
      <c r="C1505" s="2">
        <v>239.506</v>
      </c>
      <c r="D1505" s="2">
        <f t="shared" si="2"/>
        <v>198993.457</v>
      </c>
      <c r="E1505" s="5">
        <f t="shared" si="1"/>
        <v>0.001204312205</v>
      </c>
    </row>
    <row r="1506" ht="15.75" customHeight="1">
      <c r="B1506" s="3" t="s">
        <v>910</v>
      </c>
      <c r="C1506" s="2">
        <v>188.043</v>
      </c>
      <c r="D1506" s="2">
        <f t="shared" si="2"/>
        <v>199181.5</v>
      </c>
      <c r="E1506" s="5">
        <f t="shared" si="1"/>
        <v>0.0009445245648</v>
      </c>
    </row>
    <row r="1507" ht="15.75" customHeight="1">
      <c r="B1507" s="3" t="s">
        <v>911</v>
      </c>
      <c r="C1507" s="2">
        <v>2208.518</v>
      </c>
      <c r="D1507" s="2">
        <f t="shared" si="2"/>
        <v>201390.018</v>
      </c>
      <c r="E1507" s="5">
        <f t="shared" si="1"/>
        <v>0.01102694665</v>
      </c>
    </row>
    <row r="1508" ht="15.75" customHeight="1">
      <c r="B1508" s="3" t="s">
        <v>912</v>
      </c>
      <c r="C1508" s="2">
        <v>8634.665</v>
      </c>
      <c r="D1508" s="2">
        <f t="shared" si="2"/>
        <v>210024.683</v>
      </c>
      <c r="E1508" s="5">
        <f t="shared" si="1"/>
        <v>0.04198164591</v>
      </c>
    </row>
    <row r="1509" ht="15.75" customHeight="1">
      <c r="B1509" s="3" t="s">
        <v>913</v>
      </c>
      <c r="C1509" s="2">
        <v>-23.888</v>
      </c>
      <c r="D1509" s="2">
        <f t="shared" si="2"/>
        <v>210000.795</v>
      </c>
      <c r="E1509" s="5">
        <f t="shared" si="1"/>
        <v>-0.0001137454811</v>
      </c>
    </row>
    <row r="1510" ht="15.75" customHeight="1">
      <c r="B1510" s="3" t="s">
        <v>914</v>
      </c>
      <c r="C1510" s="2">
        <v>980.877</v>
      </c>
      <c r="D1510" s="2">
        <f t="shared" si="2"/>
        <v>210981.672</v>
      </c>
      <c r="E1510" s="5">
        <f t="shared" si="1"/>
        <v>0.004659950719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14"/>
    <col customWidth="1" min="3" max="3" width="16.14"/>
    <col customWidth="1" min="4" max="26" width="10.71"/>
  </cols>
  <sheetData>
    <row r="2">
      <c r="B2" s="1" t="s">
        <v>0</v>
      </c>
      <c r="C2" s="2">
        <v>61574.97</v>
      </c>
      <c r="D2" s="2">
        <v>61574.97</v>
      </c>
    </row>
    <row r="3">
      <c r="B3" s="3">
        <v>43132.0</v>
      </c>
      <c r="C3" s="6">
        <v>-36.667</v>
      </c>
      <c r="D3" s="6">
        <f>C2+C3</f>
        <v>61538.303</v>
      </c>
      <c r="E3" s="5">
        <f t="shared" ref="E3:E1511" si="1">LN(D3/D2)</f>
        <v>-0.0005956628427</v>
      </c>
    </row>
    <row r="4">
      <c r="B4" s="3">
        <v>43160.0</v>
      </c>
      <c r="C4" s="2">
        <v>111.359</v>
      </c>
      <c r="D4" s="6">
        <f t="shared" ref="D4:D1511" si="2">D3+C4</f>
        <v>61649.662</v>
      </c>
      <c r="E4" s="5">
        <f t="shared" si="1"/>
        <v>0.001807953079</v>
      </c>
    </row>
    <row r="5">
      <c r="B5" s="3">
        <v>43191.0</v>
      </c>
      <c r="C5" s="2">
        <v>180.218</v>
      </c>
      <c r="D5" s="6">
        <f t="shared" si="2"/>
        <v>61829.88</v>
      </c>
      <c r="E5" s="5">
        <f t="shared" si="1"/>
        <v>0.002918995731</v>
      </c>
    </row>
    <row r="6">
      <c r="B6" s="3">
        <v>43221.0</v>
      </c>
      <c r="C6" s="2">
        <v>108.197</v>
      </c>
      <c r="D6" s="6">
        <f t="shared" si="2"/>
        <v>61938.077</v>
      </c>
      <c r="E6" s="5">
        <f t="shared" si="1"/>
        <v>0.001748385126</v>
      </c>
    </row>
    <row r="7">
      <c r="B7" s="3">
        <v>43313.0</v>
      </c>
      <c r="C7" s="2">
        <v>183.714</v>
      </c>
      <c r="D7" s="6">
        <f t="shared" si="2"/>
        <v>62121.791</v>
      </c>
      <c r="E7" s="5">
        <f t="shared" si="1"/>
        <v>0.00296170127</v>
      </c>
    </row>
    <row r="8">
      <c r="B8" s="3">
        <v>43344.0</v>
      </c>
      <c r="C8" s="2">
        <v>39.067</v>
      </c>
      <c r="D8" s="6">
        <f t="shared" si="2"/>
        <v>62160.858</v>
      </c>
      <c r="E8" s="5">
        <f t="shared" si="1"/>
        <v>0.0006286798938</v>
      </c>
    </row>
    <row r="9">
      <c r="B9" s="3">
        <v>43374.0</v>
      </c>
      <c r="C9" s="2">
        <v>202.8</v>
      </c>
      <c r="D9" s="6">
        <f t="shared" si="2"/>
        <v>62363.658</v>
      </c>
      <c r="E9" s="5">
        <f t="shared" si="1"/>
        <v>0.003257192813</v>
      </c>
    </row>
    <row r="10">
      <c r="B10" s="3">
        <v>43405.0</v>
      </c>
      <c r="C10" s="2">
        <v>101.693</v>
      </c>
      <c r="D10" s="6">
        <f t="shared" si="2"/>
        <v>62465.351</v>
      </c>
      <c r="E10" s="5">
        <f t="shared" si="1"/>
        <v>0.001629317148</v>
      </c>
    </row>
    <row r="11">
      <c r="B11" s="3">
        <v>43435.0</v>
      </c>
      <c r="C11" s="2">
        <v>63.492</v>
      </c>
      <c r="D11" s="6">
        <f t="shared" si="2"/>
        <v>62528.843</v>
      </c>
      <c r="E11" s="5">
        <f t="shared" si="1"/>
        <v>0.001015919275</v>
      </c>
    </row>
    <row r="12">
      <c r="B12" s="3" t="s">
        <v>1</v>
      </c>
      <c r="C12" s="2">
        <v>12.996</v>
      </c>
      <c r="D12" s="6">
        <f t="shared" si="2"/>
        <v>62541.839</v>
      </c>
      <c r="E12" s="5">
        <f t="shared" si="1"/>
        <v>0.0002078184885</v>
      </c>
    </row>
    <row r="13">
      <c r="B13" s="3" t="s">
        <v>2</v>
      </c>
      <c r="C13" s="2">
        <v>77.019</v>
      </c>
      <c r="D13" s="6">
        <f t="shared" si="2"/>
        <v>62618.858</v>
      </c>
      <c r="E13" s="5">
        <f t="shared" si="1"/>
        <v>0.001230721969</v>
      </c>
    </row>
    <row r="14">
      <c r="B14" s="3" t="s">
        <v>3</v>
      </c>
      <c r="C14" s="2">
        <v>-44.342</v>
      </c>
      <c r="D14" s="6">
        <f t="shared" si="2"/>
        <v>62574.516</v>
      </c>
      <c r="E14" s="5">
        <f t="shared" si="1"/>
        <v>-0.0007083761774</v>
      </c>
    </row>
    <row r="15">
      <c r="B15" s="3" t="s">
        <v>4</v>
      </c>
      <c r="C15" s="2">
        <v>26.854</v>
      </c>
      <c r="D15" s="6">
        <f t="shared" si="2"/>
        <v>62601.37</v>
      </c>
      <c r="E15" s="5">
        <f t="shared" si="1"/>
        <v>0.000429060281</v>
      </c>
    </row>
    <row r="16">
      <c r="B16" s="3" t="s">
        <v>5</v>
      </c>
      <c r="C16" s="2">
        <v>413.336</v>
      </c>
      <c r="D16" s="6">
        <f t="shared" si="2"/>
        <v>63014.706</v>
      </c>
      <c r="E16" s="5">
        <f t="shared" si="1"/>
        <v>0.006580964872</v>
      </c>
    </row>
    <row r="17">
      <c r="B17" s="3" t="s">
        <v>6</v>
      </c>
      <c r="C17" s="2">
        <v>130.898</v>
      </c>
      <c r="D17" s="6">
        <f t="shared" si="2"/>
        <v>63145.604</v>
      </c>
      <c r="E17" s="5">
        <f t="shared" si="1"/>
        <v>0.002075106616</v>
      </c>
    </row>
    <row r="18">
      <c r="B18" s="3" t="s">
        <v>7</v>
      </c>
      <c r="C18" s="2">
        <v>130.737</v>
      </c>
      <c r="D18" s="6">
        <f t="shared" si="2"/>
        <v>63276.341</v>
      </c>
      <c r="E18" s="5">
        <f t="shared" si="1"/>
        <v>0.002068265072</v>
      </c>
    </row>
    <row r="19">
      <c r="B19" s="3" t="s">
        <v>8</v>
      </c>
      <c r="C19" s="2">
        <v>97.683</v>
      </c>
      <c r="D19" s="6">
        <f t="shared" si="2"/>
        <v>63374.024</v>
      </c>
      <c r="E19" s="5">
        <f t="shared" si="1"/>
        <v>0.001542561987</v>
      </c>
    </row>
    <row r="20">
      <c r="B20" s="3" t="s">
        <v>9</v>
      </c>
      <c r="C20" s="2">
        <v>-97.159</v>
      </c>
      <c r="D20" s="6">
        <f t="shared" si="2"/>
        <v>63276.865</v>
      </c>
      <c r="E20" s="5">
        <f t="shared" si="1"/>
        <v>-0.001534280885</v>
      </c>
    </row>
    <row r="21" ht="15.75" customHeight="1">
      <c r="B21" s="3" t="s">
        <v>10</v>
      </c>
      <c r="C21" s="2">
        <v>20.273</v>
      </c>
      <c r="D21" s="6">
        <f t="shared" si="2"/>
        <v>63297.138</v>
      </c>
      <c r="E21" s="5">
        <f t="shared" si="1"/>
        <v>0.000320334345</v>
      </c>
    </row>
    <row r="22" ht="15.75" customHeight="1">
      <c r="B22" s="3" t="s">
        <v>11</v>
      </c>
      <c r="C22" s="2">
        <v>366.511</v>
      </c>
      <c r="D22" s="6">
        <f t="shared" si="2"/>
        <v>63663.649</v>
      </c>
      <c r="E22" s="5">
        <f t="shared" si="1"/>
        <v>0.005773625492</v>
      </c>
    </row>
    <row r="23" ht="15.75" customHeight="1">
      <c r="B23" s="3" t="s">
        <v>12</v>
      </c>
      <c r="C23" s="2">
        <v>388.711</v>
      </c>
      <c r="D23" s="6">
        <f t="shared" si="2"/>
        <v>64052.36</v>
      </c>
      <c r="E23" s="5">
        <f t="shared" si="1"/>
        <v>0.006087133528</v>
      </c>
    </row>
    <row r="24" ht="15.75" customHeight="1">
      <c r="B24" s="3">
        <v>43102.0</v>
      </c>
      <c r="C24" s="2">
        <v>-94.487</v>
      </c>
      <c r="D24" s="6">
        <f t="shared" si="2"/>
        <v>63957.873</v>
      </c>
      <c r="E24" s="5">
        <f t="shared" si="1"/>
        <v>-0.001476241625</v>
      </c>
    </row>
    <row r="25" ht="15.75" customHeight="1">
      <c r="B25" s="3">
        <v>43133.0</v>
      </c>
      <c r="C25" s="2">
        <v>187.813</v>
      </c>
      <c r="D25" s="6">
        <f t="shared" si="2"/>
        <v>64145.686</v>
      </c>
      <c r="E25" s="5">
        <f t="shared" si="1"/>
        <v>0.002932207911</v>
      </c>
    </row>
    <row r="26" ht="15.75" customHeight="1">
      <c r="B26" s="3">
        <v>43222.0</v>
      </c>
      <c r="C26" s="2">
        <v>-113.257</v>
      </c>
      <c r="D26" s="6">
        <f t="shared" si="2"/>
        <v>64032.429</v>
      </c>
      <c r="E26" s="5">
        <f t="shared" si="1"/>
        <v>-0.00176718201</v>
      </c>
    </row>
    <row r="27" ht="15.75" customHeight="1">
      <c r="B27" s="3">
        <v>43253.0</v>
      </c>
      <c r="C27" s="2">
        <v>-498.003</v>
      </c>
      <c r="D27" s="6">
        <f t="shared" si="2"/>
        <v>63534.426</v>
      </c>
      <c r="E27" s="5">
        <f t="shared" si="1"/>
        <v>-0.007807757429</v>
      </c>
    </row>
    <row r="28" ht="15.75" customHeight="1">
      <c r="B28" s="3">
        <v>43283.0</v>
      </c>
      <c r="C28" s="2">
        <v>153.982</v>
      </c>
      <c r="D28" s="6">
        <f t="shared" si="2"/>
        <v>63688.408</v>
      </c>
      <c r="E28" s="5">
        <f t="shared" si="1"/>
        <v>0.002420667271</v>
      </c>
    </row>
    <row r="29" ht="15.75" customHeight="1">
      <c r="B29" s="3">
        <v>43314.0</v>
      </c>
      <c r="C29" s="2">
        <v>106.427</v>
      </c>
      <c r="D29" s="6">
        <f t="shared" si="2"/>
        <v>63794.835</v>
      </c>
      <c r="E29" s="5">
        <f t="shared" si="1"/>
        <v>0.001669662965</v>
      </c>
    </row>
    <row r="30" ht="15.75" customHeight="1">
      <c r="B30" s="3">
        <v>43345.0</v>
      </c>
      <c r="C30" s="2">
        <v>148.097</v>
      </c>
      <c r="D30" s="6">
        <f t="shared" si="2"/>
        <v>63942.932</v>
      </c>
      <c r="E30" s="5">
        <f t="shared" si="1"/>
        <v>0.002318767109</v>
      </c>
    </row>
    <row r="31" ht="15.75" customHeight="1">
      <c r="B31" s="3">
        <v>43436.0</v>
      </c>
      <c r="C31" s="2">
        <v>146.617</v>
      </c>
      <c r="D31" s="6">
        <f t="shared" si="2"/>
        <v>64089.549</v>
      </c>
      <c r="E31" s="5">
        <f t="shared" si="1"/>
        <v>0.002290310442</v>
      </c>
    </row>
    <row r="32" ht="15.75" customHeight="1">
      <c r="B32" s="3" t="s">
        <v>13</v>
      </c>
      <c r="C32" s="2">
        <v>135.114</v>
      </c>
      <c r="D32" s="6">
        <f t="shared" si="2"/>
        <v>64224.663</v>
      </c>
      <c r="E32" s="5">
        <f t="shared" si="1"/>
        <v>0.002105987292</v>
      </c>
    </row>
    <row r="33" ht="15.75" customHeight="1">
      <c r="B33" s="3" t="s">
        <v>14</v>
      </c>
      <c r="C33" s="2">
        <v>223.192</v>
      </c>
      <c r="D33" s="6">
        <f t="shared" si="2"/>
        <v>64447.855</v>
      </c>
      <c r="E33" s="5">
        <f t="shared" si="1"/>
        <v>0.003469151413</v>
      </c>
    </row>
    <row r="34" ht="15.75" customHeight="1">
      <c r="B34" s="3" t="s">
        <v>15</v>
      </c>
      <c r="C34" s="2">
        <v>198.539</v>
      </c>
      <c r="D34" s="6">
        <f t="shared" si="2"/>
        <v>64646.394</v>
      </c>
      <c r="E34" s="5">
        <f t="shared" si="1"/>
        <v>0.003075879182</v>
      </c>
    </row>
    <row r="35" ht="15.75" customHeight="1">
      <c r="B35" s="3" t="s">
        <v>16</v>
      </c>
      <c r="C35" s="2">
        <v>128.487</v>
      </c>
      <c r="D35" s="6">
        <f t="shared" si="2"/>
        <v>64774.881</v>
      </c>
      <c r="E35" s="5">
        <f t="shared" si="1"/>
        <v>0.001985562918</v>
      </c>
    </row>
    <row r="36" ht="15.75" customHeight="1">
      <c r="B36" s="3" t="s">
        <v>17</v>
      </c>
      <c r="C36" s="2">
        <v>37.855</v>
      </c>
      <c r="D36" s="6">
        <f t="shared" si="2"/>
        <v>64812.736</v>
      </c>
      <c r="E36" s="5">
        <f t="shared" si="1"/>
        <v>0.0005842379381</v>
      </c>
    </row>
    <row r="37" ht="15.75" customHeight="1">
      <c r="B37" s="3" t="s">
        <v>18</v>
      </c>
      <c r="C37" s="2">
        <v>362.395</v>
      </c>
      <c r="D37" s="6">
        <f t="shared" si="2"/>
        <v>65175.131</v>
      </c>
      <c r="E37" s="5">
        <f t="shared" si="1"/>
        <v>0.005575842535</v>
      </c>
    </row>
    <row r="38" ht="15.75" customHeight="1">
      <c r="B38" s="3" t="s">
        <v>19</v>
      </c>
      <c r="C38" s="2">
        <v>-24.632</v>
      </c>
      <c r="D38" s="6">
        <f t="shared" si="2"/>
        <v>65150.499</v>
      </c>
      <c r="E38" s="5">
        <f t="shared" si="1"/>
        <v>-0.0003780070013</v>
      </c>
    </row>
    <row r="39" ht="15.75" customHeight="1">
      <c r="B39" s="3" t="s">
        <v>20</v>
      </c>
      <c r="C39" s="2">
        <v>132.864</v>
      </c>
      <c r="D39" s="6">
        <f t="shared" si="2"/>
        <v>65283.363</v>
      </c>
      <c r="E39" s="5">
        <f t="shared" si="1"/>
        <v>0.002037263084</v>
      </c>
    </row>
    <row r="40" ht="15.75" customHeight="1">
      <c r="B40" s="3" t="s">
        <v>21</v>
      </c>
      <c r="C40" s="2">
        <v>152.054</v>
      </c>
      <c r="D40" s="6">
        <f t="shared" si="2"/>
        <v>65435.417</v>
      </c>
      <c r="E40" s="5">
        <f t="shared" si="1"/>
        <v>0.00232643035</v>
      </c>
    </row>
    <row r="41" ht="15.75" customHeight="1">
      <c r="B41" s="3" t="s">
        <v>22</v>
      </c>
      <c r="C41" s="2">
        <v>58.229</v>
      </c>
      <c r="D41" s="6">
        <f t="shared" si="2"/>
        <v>65493.646</v>
      </c>
      <c r="E41" s="5">
        <f t="shared" si="1"/>
        <v>0.0008894740786</v>
      </c>
    </row>
    <row r="42" ht="15.75" customHeight="1">
      <c r="B42" s="3" t="s">
        <v>23</v>
      </c>
      <c r="C42" s="2">
        <v>164.706</v>
      </c>
      <c r="D42" s="6">
        <f t="shared" si="2"/>
        <v>65658.352</v>
      </c>
      <c r="E42" s="5">
        <f t="shared" si="1"/>
        <v>0.002511682462</v>
      </c>
    </row>
    <row r="43" ht="15.75" customHeight="1">
      <c r="B43" s="3">
        <v>43103.0</v>
      </c>
      <c r="C43" s="2">
        <v>168.443</v>
      </c>
      <c r="D43" s="6">
        <f t="shared" si="2"/>
        <v>65826.795</v>
      </c>
      <c r="E43" s="5">
        <f t="shared" si="1"/>
        <v>0.002562161522</v>
      </c>
    </row>
    <row r="44" ht="15.75" customHeight="1">
      <c r="B44" s="3">
        <v>43134.0</v>
      </c>
      <c r="C44" s="2">
        <v>43.116</v>
      </c>
      <c r="D44" s="6">
        <f t="shared" si="2"/>
        <v>65869.911</v>
      </c>
      <c r="E44" s="5">
        <f t="shared" si="1"/>
        <v>0.0006547772203</v>
      </c>
    </row>
    <row r="45" ht="15.75" customHeight="1">
      <c r="B45" s="3">
        <v>43223.0</v>
      </c>
      <c r="C45" s="2">
        <v>49.682</v>
      </c>
      <c r="D45" s="6">
        <f t="shared" si="2"/>
        <v>65919.593</v>
      </c>
      <c r="E45" s="5">
        <f t="shared" si="1"/>
        <v>0.0007539599262</v>
      </c>
    </row>
    <row r="46" ht="15.75" customHeight="1">
      <c r="B46" s="3">
        <v>43254.0</v>
      </c>
      <c r="C46" s="2">
        <v>56.421</v>
      </c>
      <c r="D46" s="6">
        <f t="shared" si="2"/>
        <v>65976.014</v>
      </c>
      <c r="E46" s="5">
        <f t="shared" si="1"/>
        <v>0.0008555402977</v>
      </c>
    </row>
    <row r="47" ht="15.75" customHeight="1">
      <c r="B47" s="3">
        <v>43284.0</v>
      </c>
      <c r="C47" s="2">
        <v>108.673</v>
      </c>
      <c r="D47" s="6">
        <f t="shared" si="2"/>
        <v>66084.687</v>
      </c>
      <c r="E47" s="5">
        <f t="shared" si="1"/>
        <v>0.001645804145</v>
      </c>
    </row>
    <row r="48" ht="15.75" customHeight="1">
      <c r="B48" s="3">
        <v>43315.0</v>
      </c>
      <c r="C48" s="2">
        <v>232.321</v>
      </c>
      <c r="D48" s="6">
        <f t="shared" si="2"/>
        <v>66317.008</v>
      </c>
      <c r="E48" s="5">
        <f t="shared" si="1"/>
        <v>0.003509339339</v>
      </c>
    </row>
    <row r="49" ht="15.75" customHeight="1">
      <c r="B49" s="3">
        <v>43346.0</v>
      </c>
      <c r="C49" s="2">
        <v>7.122</v>
      </c>
      <c r="D49" s="6">
        <f t="shared" si="2"/>
        <v>66324.13</v>
      </c>
      <c r="E49" s="5">
        <f t="shared" si="1"/>
        <v>0.0001073874985</v>
      </c>
    </row>
    <row r="50" ht="15.75" customHeight="1">
      <c r="B50" s="3">
        <v>43437.0</v>
      </c>
      <c r="C50" s="2">
        <v>148.591</v>
      </c>
      <c r="D50" s="6">
        <f t="shared" si="2"/>
        <v>66472.721</v>
      </c>
      <c r="E50" s="5">
        <f t="shared" si="1"/>
        <v>0.002237870264</v>
      </c>
    </row>
    <row r="51" ht="15.75" customHeight="1">
      <c r="B51" s="3" t="s">
        <v>24</v>
      </c>
      <c r="C51" s="2">
        <v>327.476</v>
      </c>
      <c r="D51" s="6">
        <f t="shared" si="2"/>
        <v>66800.197</v>
      </c>
      <c r="E51" s="5">
        <f t="shared" si="1"/>
        <v>0.004914376664</v>
      </c>
    </row>
    <row r="52" ht="15.75" customHeight="1">
      <c r="B52" s="3" t="s">
        <v>25</v>
      </c>
      <c r="C52" s="2">
        <v>8.804</v>
      </c>
      <c r="D52" s="6">
        <f t="shared" si="2"/>
        <v>66809.001</v>
      </c>
      <c r="E52" s="5">
        <f t="shared" si="1"/>
        <v>0.0001317873342</v>
      </c>
    </row>
    <row r="53" ht="15.75" customHeight="1">
      <c r="B53" s="3" t="s">
        <v>26</v>
      </c>
      <c r="C53" s="2">
        <v>147.743</v>
      </c>
      <c r="D53" s="6">
        <f t="shared" si="2"/>
        <v>66956.744</v>
      </c>
      <c r="E53" s="5">
        <f t="shared" si="1"/>
        <v>0.002208981979</v>
      </c>
    </row>
    <row r="54" ht="15.75" customHeight="1">
      <c r="B54" s="3" t="s">
        <v>27</v>
      </c>
      <c r="C54" s="2">
        <v>19.004</v>
      </c>
      <c r="D54" s="6">
        <f t="shared" si="2"/>
        <v>66975.748</v>
      </c>
      <c r="E54" s="5">
        <f t="shared" si="1"/>
        <v>0.0002837847612</v>
      </c>
    </row>
    <row r="55" ht="15.75" customHeight="1">
      <c r="B55" s="3" t="s">
        <v>28</v>
      </c>
      <c r="C55" s="2">
        <v>-290.942</v>
      </c>
      <c r="D55" s="6">
        <f t="shared" si="2"/>
        <v>66684.806</v>
      </c>
      <c r="E55" s="5">
        <f t="shared" si="1"/>
        <v>-0.004353452845</v>
      </c>
    </row>
    <row r="56" ht="15.75" customHeight="1">
      <c r="B56" s="3" t="s">
        <v>29</v>
      </c>
      <c r="C56" s="2">
        <v>0.173</v>
      </c>
      <c r="D56" s="6">
        <f t="shared" si="2"/>
        <v>66684.979</v>
      </c>
      <c r="E56" s="5">
        <f t="shared" si="1"/>
        <v>0.000002594290753</v>
      </c>
    </row>
    <row r="57" ht="15.75" customHeight="1">
      <c r="B57" s="3" t="s">
        <v>30</v>
      </c>
      <c r="C57" s="2">
        <v>56.366</v>
      </c>
      <c r="D57" s="6">
        <f t="shared" si="2"/>
        <v>66741.345</v>
      </c>
      <c r="E57" s="5">
        <f t="shared" si="1"/>
        <v>0.0008449007911</v>
      </c>
    </row>
    <row r="58" ht="15.75" customHeight="1">
      <c r="B58" s="3" t="s">
        <v>31</v>
      </c>
      <c r="C58" s="2">
        <v>62.466</v>
      </c>
      <c r="D58" s="6">
        <f t="shared" si="2"/>
        <v>66803.811</v>
      </c>
      <c r="E58" s="5">
        <f t="shared" si="1"/>
        <v>0.0009355038614</v>
      </c>
    </row>
    <row r="59" ht="15.75" customHeight="1">
      <c r="B59" s="3" t="s">
        <v>32</v>
      </c>
      <c r="C59" s="2">
        <v>0.05</v>
      </c>
      <c r="D59" s="6">
        <f t="shared" si="2"/>
        <v>66803.861</v>
      </c>
      <c r="E59" s="5">
        <f t="shared" si="1"/>
        <v>0.0000007484600136</v>
      </c>
    </row>
    <row r="60" ht="15.75" customHeight="1">
      <c r="B60" s="3" t="s">
        <v>33</v>
      </c>
      <c r="C60" s="2">
        <v>267.941</v>
      </c>
      <c r="D60" s="6">
        <f t="shared" si="2"/>
        <v>67071.802</v>
      </c>
      <c r="E60" s="5">
        <f t="shared" si="1"/>
        <v>0.004002838929</v>
      </c>
    </row>
    <row r="61" ht="15.75" customHeight="1">
      <c r="B61" s="3" t="s">
        <v>34</v>
      </c>
      <c r="C61" s="2">
        <v>-1223.688</v>
      </c>
      <c r="D61" s="6">
        <f t="shared" si="2"/>
        <v>65848.114</v>
      </c>
      <c r="E61" s="5">
        <f t="shared" si="1"/>
        <v>-0.01841293027</v>
      </c>
    </row>
    <row r="62" ht="15.75" customHeight="1">
      <c r="B62" s="3" t="s">
        <v>35</v>
      </c>
      <c r="C62" s="2">
        <v>-466.655</v>
      </c>
      <c r="D62" s="6">
        <f t="shared" si="2"/>
        <v>65381.459</v>
      </c>
      <c r="E62" s="5">
        <f t="shared" si="1"/>
        <v>-0.007112070189</v>
      </c>
    </row>
    <row r="63" ht="15.75" customHeight="1">
      <c r="B63" s="3" t="s">
        <v>36</v>
      </c>
      <c r="C63" s="2">
        <v>156.869</v>
      </c>
      <c r="D63" s="6">
        <f t="shared" si="2"/>
        <v>65538.328</v>
      </c>
      <c r="E63" s="5">
        <f t="shared" si="1"/>
        <v>0.002396415067</v>
      </c>
    </row>
    <row r="64" ht="15.75" customHeight="1">
      <c r="B64" s="3">
        <v>43135.0</v>
      </c>
      <c r="C64" s="2">
        <v>30.411</v>
      </c>
      <c r="D64" s="6">
        <f t="shared" si="2"/>
        <v>65568.739</v>
      </c>
      <c r="E64" s="5">
        <f t="shared" si="1"/>
        <v>0.0004639109278</v>
      </c>
    </row>
    <row r="65" ht="15.75" customHeight="1">
      <c r="B65" s="3">
        <v>43163.0</v>
      </c>
      <c r="C65" s="2">
        <v>125.221</v>
      </c>
      <c r="D65" s="6">
        <f t="shared" si="2"/>
        <v>65693.96</v>
      </c>
      <c r="E65" s="5">
        <f t="shared" si="1"/>
        <v>0.001907945501</v>
      </c>
    </row>
    <row r="66" ht="15.75" customHeight="1">
      <c r="B66" s="3">
        <v>43194.0</v>
      </c>
      <c r="C66" s="2">
        <v>-82.704</v>
      </c>
      <c r="D66" s="6">
        <f t="shared" si="2"/>
        <v>65611.256</v>
      </c>
      <c r="E66" s="5">
        <f t="shared" si="1"/>
        <v>-0.001259721639</v>
      </c>
    </row>
    <row r="67" ht="15.75" customHeight="1">
      <c r="B67" s="3">
        <v>43224.0</v>
      </c>
      <c r="C67" s="2">
        <v>115.234</v>
      </c>
      <c r="D67" s="6">
        <f t="shared" si="2"/>
        <v>65726.49</v>
      </c>
      <c r="E67" s="5">
        <f t="shared" si="1"/>
        <v>0.001754773979</v>
      </c>
    </row>
    <row r="68" ht="15.75" customHeight="1">
      <c r="B68" s="3">
        <v>43255.0</v>
      </c>
      <c r="C68" s="2">
        <v>104.331</v>
      </c>
      <c r="D68" s="6">
        <f t="shared" si="2"/>
        <v>65830.821</v>
      </c>
      <c r="E68" s="5">
        <f t="shared" si="1"/>
        <v>0.001586092344</v>
      </c>
    </row>
    <row r="69" ht="15.75" customHeight="1">
      <c r="B69" s="3">
        <v>43347.0</v>
      </c>
      <c r="C69" s="2">
        <v>97.077</v>
      </c>
      <c r="D69" s="6">
        <f t="shared" si="2"/>
        <v>65927.898</v>
      </c>
      <c r="E69" s="5">
        <f t="shared" si="1"/>
        <v>0.001473557398</v>
      </c>
    </row>
    <row r="70" ht="15.75" customHeight="1">
      <c r="B70" s="3">
        <v>43377.0</v>
      </c>
      <c r="C70" s="2">
        <v>-221.281</v>
      </c>
      <c r="D70" s="6">
        <f t="shared" si="2"/>
        <v>65706.617</v>
      </c>
      <c r="E70" s="5">
        <f t="shared" si="1"/>
        <v>-0.003362054526</v>
      </c>
    </row>
    <row r="71" ht="15.75" customHeight="1">
      <c r="B71" s="3">
        <v>43408.0</v>
      </c>
      <c r="C71" s="2">
        <v>-59.725</v>
      </c>
      <c r="D71" s="6">
        <f t="shared" si="2"/>
        <v>65646.892</v>
      </c>
      <c r="E71" s="5">
        <f t="shared" si="1"/>
        <v>-0.0009093781288</v>
      </c>
    </row>
    <row r="72" ht="15.75" customHeight="1">
      <c r="B72" s="3">
        <v>43438.0</v>
      </c>
      <c r="C72" s="2">
        <v>-56.172</v>
      </c>
      <c r="D72" s="6">
        <f t="shared" si="2"/>
        <v>65590.72</v>
      </c>
      <c r="E72" s="5">
        <f t="shared" si="1"/>
        <v>-0.0008560351347</v>
      </c>
    </row>
    <row r="73" ht="15.75" customHeight="1">
      <c r="B73" s="3" t="s">
        <v>37</v>
      </c>
      <c r="C73" s="2">
        <v>0.065</v>
      </c>
      <c r="D73" s="6">
        <f t="shared" si="2"/>
        <v>65590.785</v>
      </c>
      <c r="E73" s="5">
        <f t="shared" si="1"/>
        <v>0.0000009909933568</v>
      </c>
    </row>
    <row r="74" ht="15.75" customHeight="1">
      <c r="B74" s="3" t="s">
        <v>38</v>
      </c>
      <c r="C74" s="2">
        <v>24.386</v>
      </c>
      <c r="D74" s="6">
        <f t="shared" si="2"/>
        <v>65615.171</v>
      </c>
      <c r="E74" s="5">
        <f t="shared" si="1"/>
        <v>0.0003717209344</v>
      </c>
    </row>
    <row r="75" ht="15.75" customHeight="1">
      <c r="B75" s="3" t="s">
        <v>39</v>
      </c>
      <c r="C75" s="2">
        <v>49.108</v>
      </c>
      <c r="D75" s="6">
        <f t="shared" si="2"/>
        <v>65664.279</v>
      </c>
      <c r="E75" s="5">
        <f t="shared" si="1"/>
        <v>0.0007481445465</v>
      </c>
    </row>
    <row r="76" ht="15.75" customHeight="1">
      <c r="B76" s="3" t="s">
        <v>40</v>
      </c>
      <c r="C76" s="2">
        <v>286.734</v>
      </c>
      <c r="D76" s="6">
        <f t="shared" si="2"/>
        <v>65951.013</v>
      </c>
      <c r="E76" s="5">
        <f t="shared" si="1"/>
        <v>0.004357160164</v>
      </c>
    </row>
    <row r="77" ht="15.75" customHeight="1">
      <c r="B77" s="3" t="s">
        <v>41</v>
      </c>
      <c r="C77" s="2">
        <v>-22.225</v>
      </c>
      <c r="D77" s="6">
        <f t="shared" si="2"/>
        <v>65928.788</v>
      </c>
      <c r="E77" s="5">
        <f t="shared" si="1"/>
        <v>-0.0003370493441</v>
      </c>
    </row>
    <row r="78" ht="15.75" customHeight="1">
      <c r="B78" s="3" t="s">
        <v>42</v>
      </c>
      <c r="C78" s="2">
        <v>105.19</v>
      </c>
      <c r="D78" s="6">
        <f t="shared" si="2"/>
        <v>66033.978</v>
      </c>
      <c r="E78" s="5">
        <f t="shared" si="1"/>
        <v>0.001594237912</v>
      </c>
    </row>
    <row r="79" ht="15.75" customHeight="1">
      <c r="B79" s="3" t="s">
        <v>43</v>
      </c>
      <c r="C79" s="2">
        <v>25.98</v>
      </c>
      <c r="D79" s="6">
        <f t="shared" si="2"/>
        <v>66059.958</v>
      </c>
      <c r="E79" s="5">
        <f t="shared" si="1"/>
        <v>0.000393356442</v>
      </c>
    </row>
    <row r="80" ht="15.75" customHeight="1">
      <c r="B80" s="3" t="s">
        <v>44</v>
      </c>
      <c r="C80" s="2">
        <v>12.788</v>
      </c>
      <c r="D80" s="6">
        <f t="shared" si="2"/>
        <v>66072.746</v>
      </c>
      <c r="E80" s="5">
        <f t="shared" si="1"/>
        <v>0.000193562981</v>
      </c>
    </row>
    <row r="81" ht="15.75" customHeight="1">
      <c r="B81" s="3" t="s">
        <v>45</v>
      </c>
      <c r="C81" s="2">
        <v>-47.563</v>
      </c>
      <c r="D81" s="6">
        <f t="shared" si="2"/>
        <v>66025.183</v>
      </c>
      <c r="E81" s="5">
        <f t="shared" si="1"/>
        <v>-0.0007201173011</v>
      </c>
    </row>
    <row r="82" ht="15.75" customHeight="1">
      <c r="B82" s="3" t="s">
        <v>46</v>
      </c>
      <c r="C82" s="2">
        <v>18.385</v>
      </c>
      <c r="D82" s="6">
        <f t="shared" si="2"/>
        <v>66043.568</v>
      </c>
      <c r="E82" s="5">
        <f t="shared" si="1"/>
        <v>0.0002784155976</v>
      </c>
    </row>
    <row r="83" ht="15.75" customHeight="1">
      <c r="B83" s="3" t="s">
        <v>47</v>
      </c>
      <c r="C83" s="2">
        <v>12.278</v>
      </c>
      <c r="D83" s="6">
        <f t="shared" si="2"/>
        <v>66055.846</v>
      </c>
      <c r="E83" s="5">
        <f t="shared" si="1"/>
        <v>0.0001858903028</v>
      </c>
    </row>
    <row r="84" ht="15.75" customHeight="1">
      <c r="B84" s="3" t="s">
        <v>48</v>
      </c>
      <c r="C84" s="2">
        <v>55.186</v>
      </c>
      <c r="D84" s="6">
        <f t="shared" si="2"/>
        <v>66111.032</v>
      </c>
      <c r="E84" s="5">
        <f t="shared" si="1"/>
        <v>0.0008350958128</v>
      </c>
    </row>
    <row r="85" ht="15.75" customHeight="1">
      <c r="B85" s="3">
        <v>43105.0</v>
      </c>
      <c r="C85" s="2">
        <v>42.502</v>
      </c>
      <c r="D85" s="6">
        <f t="shared" si="2"/>
        <v>66153.534</v>
      </c>
      <c r="E85" s="5">
        <f t="shared" si="1"/>
        <v>0.0006426816002</v>
      </c>
    </row>
    <row r="86" ht="15.75" customHeight="1">
      <c r="B86" s="3">
        <v>43136.0</v>
      </c>
      <c r="C86" s="2">
        <v>-91.309</v>
      </c>
      <c r="D86" s="6">
        <f t="shared" si="2"/>
        <v>66062.225</v>
      </c>
      <c r="E86" s="5">
        <f t="shared" si="1"/>
        <v>-0.001381212273</v>
      </c>
    </row>
    <row r="87" ht="15.75" customHeight="1">
      <c r="B87" s="3">
        <v>43164.0</v>
      </c>
      <c r="C87" s="2">
        <v>-48.043</v>
      </c>
      <c r="D87" s="6">
        <f t="shared" si="2"/>
        <v>66014.182</v>
      </c>
      <c r="E87" s="5">
        <f t="shared" si="1"/>
        <v>-0.0007275031659</v>
      </c>
    </row>
    <row r="88" ht="15.75" customHeight="1">
      <c r="B88" s="3">
        <v>43195.0</v>
      </c>
      <c r="C88" s="2">
        <v>-23.744</v>
      </c>
      <c r="D88" s="6">
        <f t="shared" si="2"/>
        <v>65990.438</v>
      </c>
      <c r="E88" s="5">
        <f t="shared" si="1"/>
        <v>-0.0003597449886</v>
      </c>
    </row>
    <row r="89" ht="15.75" customHeight="1">
      <c r="B89" s="3">
        <v>43286.0</v>
      </c>
      <c r="C89" s="2">
        <v>226.268</v>
      </c>
      <c r="D89" s="6">
        <f t="shared" si="2"/>
        <v>66216.706</v>
      </c>
      <c r="E89" s="5">
        <f t="shared" si="1"/>
        <v>0.003422934859</v>
      </c>
    </row>
    <row r="90" ht="15.75" customHeight="1">
      <c r="B90" s="3">
        <v>43317.0</v>
      </c>
      <c r="C90" s="2">
        <v>245.262</v>
      </c>
      <c r="D90" s="6">
        <f t="shared" si="2"/>
        <v>66461.968</v>
      </c>
      <c r="E90" s="5">
        <f t="shared" si="1"/>
        <v>0.003697086683</v>
      </c>
    </row>
    <row r="91" ht="15.75" customHeight="1">
      <c r="B91" s="3">
        <v>43348.0</v>
      </c>
      <c r="C91" s="2">
        <v>-12.075</v>
      </c>
      <c r="D91" s="6">
        <f t="shared" si="2"/>
        <v>66449.893</v>
      </c>
      <c r="E91" s="5">
        <f t="shared" si="1"/>
        <v>-0.0001816993599</v>
      </c>
    </row>
    <row r="92" ht="15.75" customHeight="1">
      <c r="B92" s="3">
        <v>43378.0</v>
      </c>
      <c r="C92" s="2">
        <v>0.208</v>
      </c>
      <c r="D92" s="6">
        <f t="shared" si="2"/>
        <v>66450.101</v>
      </c>
      <c r="E92" s="5">
        <f t="shared" si="1"/>
        <v>0.000003130173204</v>
      </c>
    </row>
    <row r="93" ht="15.75" customHeight="1">
      <c r="B93" s="3">
        <v>43409.0</v>
      </c>
      <c r="C93" s="2">
        <v>162.992</v>
      </c>
      <c r="D93" s="6">
        <f t="shared" si="2"/>
        <v>66613.093</v>
      </c>
      <c r="E93" s="5">
        <f t="shared" si="1"/>
        <v>0.002449844718</v>
      </c>
    </row>
    <row r="94" ht="15.75" customHeight="1">
      <c r="B94" s="3" t="s">
        <v>49</v>
      </c>
      <c r="C94" s="2">
        <v>43.875</v>
      </c>
      <c r="D94" s="6">
        <f t="shared" si="2"/>
        <v>66656.968</v>
      </c>
      <c r="E94" s="5">
        <f t="shared" si="1"/>
        <v>0.0006584374803</v>
      </c>
    </row>
    <row r="95" ht="15.75" customHeight="1">
      <c r="B95" s="3" t="s">
        <v>50</v>
      </c>
      <c r="C95" s="2">
        <v>-5.422</v>
      </c>
      <c r="D95" s="6">
        <f t="shared" si="2"/>
        <v>66651.546</v>
      </c>
      <c r="E95" s="5">
        <f t="shared" si="1"/>
        <v>-0.00008134514204</v>
      </c>
    </row>
    <row r="96" ht="15.75" customHeight="1">
      <c r="B96" s="3" t="s">
        <v>51</v>
      </c>
      <c r="C96" s="2">
        <v>106.237</v>
      </c>
      <c r="D96" s="6">
        <f t="shared" si="2"/>
        <v>66757.783</v>
      </c>
      <c r="E96" s="5">
        <f t="shared" si="1"/>
        <v>0.001592647579</v>
      </c>
    </row>
    <row r="97" ht="15.75" customHeight="1">
      <c r="B97" s="3" t="s">
        <v>52</v>
      </c>
      <c r="C97" s="2">
        <v>-74.945</v>
      </c>
      <c r="D97" s="6">
        <f t="shared" si="2"/>
        <v>66682.838</v>
      </c>
      <c r="E97" s="5">
        <f t="shared" si="1"/>
        <v>-0.00112327127</v>
      </c>
    </row>
    <row r="98" ht="15.75" customHeight="1">
      <c r="B98" s="3" t="s">
        <v>53</v>
      </c>
      <c r="C98" s="2">
        <v>0.262</v>
      </c>
      <c r="D98" s="6">
        <f t="shared" si="2"/>
        <v>66683.1</v>
      </c>
      <c r="E98" s="5">
        <f t="shared" si="1"/>
        <v>0.000003929039212</v>
      </c>
    </row>
    <row r="99" ht="15.75" customHeight="1">
      <c r="B99" s="3" t="s">
        <v>54</v>
      </c>
      <c r="C99" s="2">
        <v>6.241</v>
      </c>
      <c r="D99" s="6">
        <f t="shared" si="2"/>
        <v>66689.341</v>
      </c>
      <c r="E99" s="5">
        <f t="shared" si="1"/>
        <v>0.00009358755014</v>
      </c>
    </row>
    <row r="100" ht="15.75" customHeight="1">
      <c r="B100" s="3" t="s">
        <v>55</v>
      </c>
      <c r="C100" s="2">
        <v>18.834</v>
      </c>
      <c r="D100" s="6">
        <f t="shared" si="2"/>
        <v>66708.175</v>
      </c>
      <c r="E100" s="5">
        <f t="shared" si="1"/>
        <v>0.0002823740755</v>
      </c>
    </row>
    <row r="101" ht="15.75" customHeight="1">
      <c r="B101" s="3" t="s">
        <v>56</v>
      </c>
      <c r="C101" s="2">
        <v>37.548</v>
      </c>
      <c r="D101" s="6">
        <f t="shared" si="2"/>
        <v>66745.723</v>
      </c>
      <c r="E101" s="5">
        <f t="shared" si="1"/>
        <v>0.0005627111917</v>
      </c>
    </row>
    <row r="102" ht="15.75" customHeight="1">
      <c r="B102" s="3" t="s">
        <v>57</v>
      </c>
      <c r="C102" s="2">
        <v>63.473</v>
      </c>
      <c r="D102" s="6">
        <f t="shared" si="2"/>
        <v>66809.196</v>
      </c>
      <c r="E102" s="5">
        <f t="shared" si="1"/>
        <v>0.0009505154172</v>
      </c>
    </row>
    <row r="103" ht="15.75" customHeight="1">
      <c r="B103" s="3" t="s">
        <v>58</v>
      </c>
      <c r="C103" s="2">
        <v>200.747</v>
      </c>
      <c r="D103" s="6">
        <f t="shared" si="2"/>
        <v>67009.943</v>
      </c>
      <c r="E103" s="5">
        <f t="shared" si="1"/>
        <v>0.003000275627</v>
      </c>
    </row>
    <row r="104" ht="15.75" customHeight="1">
      <c r="B104" s="3" t="s">
        <v>59</v>
      </c>
      <c r="C104" s="2">
        <v>144.351</v>
      </c>
      <c r="D104" s="6">
        <f t="shared" si="2"/>
        <v>67154.294</v>
      </c>
      <c r="E104" s="5">
        <f t="shared" si="1"/>
        <v>0.002151855948</v>
      </c>
    </row>
    <row r="105" ht="15.75" customHeight="1">
      <c r="B105" s="3" t="s">
        <v>60</v>
      </c>
      <c r="C105" s="2">
        <v>142.166</v>
      </c>
      <c r="D105" s="6">
        <f t="shared" si="2"/>
        <v>67296.46</v>
      </c>
      <c r="E105" s="5">
        <f t="shared" si="1"/>
        <v>0.002114767657</v>
      </c>
    </row>
    <row r="106" ht="15.75" customHeight="1">
      <c r="B106" s="3" t="s">
        <v>61</v>
      </c>
      <c r="C106" s="2">
        <v>-237.811</v>
      </c>
      <c r="D106" s="6">
        <f t="shared" si="2"/>
        <v>67058.649</v>
      </c>
      <c r="E106" s="5">
        <f t="shared" si="1"/>
        <v>-0.003540040273</v>
      </c>
    </row>
    <row r="107" ht="15.75" customHeight="1">
      <c r="B107" s="3">
        <v>43106.0</v>
      </c>
      <c r="C107" s="2">
        <v>31.459</v>
      </c>
      <c r="D107" s="6">
        <f t="shared" si="2"/>
        <v>67090.108</v>
      </c>
      <c r="E107" s="5">
        <f t="shared" si="1"/>
        <v>0.0004690166541</v>
      </c>
    </row>
    <row r="108" ht="15.75" customHeight="1">
      <c r="B108" s="3">
        <v>43196.0</v>
      </c>
      <c r="C108" s="2">
        <v>0.799</v>
      </c>
      <c r="D108" s="6">
        <f t="shared" si="2"/>
        <v>67090.907</v>
      </c>
      <c r="E108" s="5">
        <f t="shared" si="1"/>
        <v>0.00001190928538</v>
      </c>
    </row>
    <row r="109" ht="15.75" customHeight="1">
      <c r="B109" s="3">
        <v>43226.0</v>
      </c>
      <c r="C109" s="2">
        <v>776.876</v>
      </c>
      <c r="D109" s="6">
        <f t="shared" si="2"/>
        <v>67867.783</v>
      </c>
      <c r="E109" s="5">
        <f t="shared" si="1"/>
        <v>0.01151292416</v>
      </c>
    </row>
    <row r="110" ht="15.75" customHeight="1">
      <c r="B110" s="3">
        <v>43257.0</v>
      </c>
      <c r="C110" s="2">
        <v>-6.319</v>
      </c>
      <c r="D110" s="6">
        <f t="shared" si="2"/>
        <v>67861.464</v>
      </c>
      <c r="E110" s="5">
        <f t="shared" si="1"/>
        <v>-0.00009311184058</v>
      </c>
    </row>
    <row r="111" ht="15.75" customHeight="1">
      <c r="B111" s="3">
        <v>43287.0</v>
      </c>
      <c r="C111" s="2">
        <v>-675.543</v>
      </c>
      <c r="D111" s="6">
        <f t="shared" si="2"/>
        <v>67185.921</v>
      </c>
      <c r="E111" s="5">
        <f t="shared" si="1"/>
        <v>-0.0100046163</v>
      </c>
    </row>
    <row r="112" ht="15.75" customHeight="1">
      <c r="B112" s="3">
        <v>43318.0</v>
      </c>
      <c r="C112" s="2">
        <v>26.203</v>
      </c>
      <c r="D112" s="6">
        <f t="shared" si="2"/>
        <v>67212.124</v>
      </c>
      <c r="E112" s="5">
        <f t="shared" si="1"/>
        <v>0.0003899312722</v>
      </c>
    </row>
    <row r="113" ht="15.75" customHeight="1">
      <c r="B113" s="3">
        <v>43410.0</v>
      </c>
      <c r="C113" s="2">
        <v>51.454</v>
      </c>
      <c r="D113" s="6">
        <f t="shared" si="2"/>
        <v>67263.578</v>
      </c>
      <c r="E113" s="5">
        <f t="shared" si="1"/>
        <v>0.0007652535253</v>
      </c>
    </row>
    <row r="114" ht="15.75" customHeight="1">
      <c r="B114" s="3">
        <v>43440.0</v>
      </c>
      <c r="C114" s="2">
        <v>-12.609</v>
      </c>
      <c r="D114" s="6">
        <f t="shared" si="2"/>
        <v>67250.969</v>
      </c>
      <c r="E114" s="5">
        <f t="shared" si="1"/>
        <v>-0.0001874741479</v>
      </c>
    </row>
    <row r="115" ht="15.75" customHeight="1">
      <c r="B115" s="3" t="s">
        <v>62</v>
      </c>
      <c r="C115" s="2">
        <v>-160.105</v>
      </c>
      <c r="D115" s="6">
        <f t="shared" si="2"/>
        <v>67090.864</v>
      </c>
      <c r="E115" s="5">
        <f t="shared" si="1"/>
        <v>-0.002383547585</v>
      </c>
    </row>
    <row r="116" ht="15.75" customHeight="1">
      <c r="B116" s="3" t="s">
        <v>63</v>
      </c>
      <c r="C116" s="2">
        <v>574.647</v>
      </c>
      <c r="D116" s="6">
        <f t="shared" si="2"/>
        <v>67665.511</v>
      </c>
      <c r="E116" s="5">
        <f t="shared" si="1"/>
        <v>0.008528731695</v>
      </c>
    </row>
    <row r="117" ht="15.75" customHeight="1">
      <c r="B117" s="3" t="s">
        <v>64</v>
      </c>
      <c r="C117" s="2">
        <v>-37.961</v>
      </c>
      <c r="D117" s="6">
        <f t="shared" si="2"/>
        <v>67627.55</v>
      </c>
      <c r="E117" s="5">
        <f t="shared" si="1"/>
        <v>-0.0005611670061</v>
      </c>
    </row>
    <row r="118" ht="15.75" customHeight="1">
      <c r="B118" s="3" t="s">
        <v>65</v>
      </c>
      <c r="C118" s="2">
        <v>-468.467</v>
      </c>
      <c r="D118" s="6">
        <f t="shared" si="2"/>
        <v>67159.083</v>
      </c>
      <c r="E118" s="5">
        <f t="shared" si="1"/>
        <v>-0.006951266249</v>
      </c>
    </row>
    <row r="119" ht="15.75" customHeight="1">
      <c r="B119" s="3" t="s">
        <v>66</v>
      </c>
      <c r="C119" s="2">
        <v>0.764</v>
      </c>
      <c r="D119" s="6">
        <f t="shared" si="2"/>
        <v>67159.847</v>
      </c>
      <c r="E119" s="5">
        <f t="shared" si="1"/>
        <v>0.00001137590956</v>
      </c>
    </row>
    <row r="120" ht="15.75" customHeight="1">
      <c r="B120" s="3" t="s">
        <v>67</v>
      </c>
      <c r="C120" s="2">
        <v>28.535</v>
      </c>
      <c r="D120" s="6">
        <f t="shared" si="2"/>
        <v>67188.382</v>
      </c>
      <c r="E120" s="5">
        <f t="shared" si="1"/>
        <v>0.0004247916127</v>
      </c>
    </row>
    <row r="121" ht="15.75" customHeight="1">
      <c r="B121" s="3" t="s">
        <v>68</v>
      </c>
      <c r="C121" s="2">
        <v>19.1</v>
      </c>
      <c r="D121" s="6">
        <f t="shared" si="2"/>
        <v>67207.482</v>
      </c>
      <c r="E121" s="5">
        <f t="shared" si="1"/>
        <v>0.0002842349394</v>
      </c>
    </row>
    <row r="122" ht="15.75" customHeight="1">
      <c r="B122" s="3" t="s">
        <v>69</v>
      </c>
      <c r="C122" s="2">
        <v>25.827</v>
      </c>
      <c r="D122" s="6">
        <f t="shared" si="2"/>
        <v>67233.309</v>
      </c>
      <c r="E122" s="5">
        <f t="shared" si="1"/>
        <v>0.0003842137513</v>
      </c>
    </row>
    <row r="123" ht="15.75" customHeight="1">
      <c r="B123" s="3" t="s">
        <v>70</v>
      </c>
      <c r="C123" s="2">
        <v>76.261</v>
      </c>
      <c r="D123" s="6">
        <f t="shared" si="2"/>
        <v>67309.57</v>
      </c>
      <c r="E123" s="5">
        <f t="shared" si="1"/>
        <v>0.001133631281</v>
      </c>
    </row>
    <row r="124" ht="15.75" customHeight="1">
      <c r="B124" s="3" t="s">
        <v>71</v>
      </c>
      <c r="C124" s="2">
        <v>-93.497</v>
      </c>
      <c r="D124" s="6">
        <f t="shared" si="2"/>
        <v>67216.073</v>
      </c>
      <c r="E124" s="5">
        <f t="shared" si="1"/>
        <v>-0.001390025172</v>
      </c>
    </row>
    <row r="125" ht="15.75" customHeight="1">
      <c r="B125" s="3" t="s">
        <v>72</v>
      </c>
      <c r="C125" s="2">
        <v>-37.305</v>
      </c>
      <c r="D125" s="6">
        <f t="shared" si="2"/>
        <v>67178.768</v>
      </c>
      <c r="E125" s="5">
        <f t="shared" si="1"/>
        <v>-0.0005551552527</v>
      </c>
    </row>
    <row r="126" ht="15.75" customHeight="1">
      <c r="B126" s="3" t="s">
        <v>73</v>
      </c>
      <c r="C126" s="2">
        <v>217.402</v>
      </c>
      <c r="D126" s="6">
        <f t="shared" si="2"/>
        <v>67396.17</v>
      </c>
      <c r="E126" s="5">
        <f t="shared" si="1"/>
        <v>0.003230946153</v>
      </c>
    </row>
    <row r="127" ht="15.75" customHeight="1">
      <c r="B127" s="3" t="s">
        <v>74</v>
      </c>
      <c r="C127" s="2">
        <v>-31.109</v>
      </c>
      <c r="D127" s="6">
        <f t="shared" si="2"/>
        <v>67365.061</v>
      </c>
      <c r="E127" s="5">
        <f t="shared" si="1"/>
        <v>-0.0004616906557</v>
      </c>
    </row>
    <row r="128" ht="15.75" customHeight="1">
      <c r="B128" s="3">
        <v>43138.0</v>
      </c>
      <c r="C128" s="2">
        <v>-193.029</v>
      </c>
      <c r="D128" s="6">
        <f t="shared" si="2"/>
        <v>67172.032</v>
      </c>
      <c r="E128" s="5">
        <f t="shared" si="1"/>
        <v>-0.002869530301</v>
      </c>
    </row>
    <row r="129" ht="15.75" customHeight="1">
      <c r="B129" s="3">
        <v>43166.0</v>
      </c>
      <c r="C129" s="2">
        <v>63.027</v>
      </c>
      <c r="D129" s="6">
        <f t="shared" si="2"/>
        <v>67235.059</v>
      </c>
      <c r="E129" s="5">
        <f t="shared" si="1"/>
        <v>0.000937852373</v>
      </c>
    </row>
    <row r="130" ht="15.75" customHeight="1">
      <c r="B130" s="3">
        <v>43227.0</v>
      </c>
      <c r="C130" s="2">
        <v>31.085</v>
      </c>
      <c r="D130" s="6">
        <f t="shared" si="2"/>
        <v>67266.144</v>
      </c>
      <c r="E130" s="5">
        <f t="shared" si="1"/>
        <v>0.0004622263572</v>
      </c>
    </row>
    <row r="131" ht="15.75" customHeight="1">
      <c r="B131" s="3">
        <v>43258.0</v>
      </c>
      <c r="C131" s="2">
        <v>7.015</v>
      </c>
      <c r="D131" s="6">
        <f t="shared" si="2"/>
        <v>67273.159</v>
      </c>
      <c r="E131" s="5">
        <f t="shared" si="1"/>
        <v>0.000104281795</v>
      </c>
    </row>
    <row r="132" ht="15.75" customHeight="1">
      <c r="B132" s="3">
        <v>43350.0</v>
      </c>
      <c r="C132" s="2">
        <v>0.806</v>
      </c>
      <c r="D132" s="6">
        <f t="shared" si="2"/>
        <v>67273.965</v>
      </c>
      <c r="E132" s="5">
        <f t="shared" si="1"/>
        <v>0.00001198093242</v>
      </c>
    </row>
    <row r="133" ht="15.75" customHeight="1">
      <c r="B133" s="3">
        <v>43380.0</v>
      </c>
      <c r="C133" s="2">
        <v>19.381</v>
      </c>
      <c r="D133" s="6">
        <f t="shared" si="2"/>
        <v>67293.346</v>
      </c>
      <c r="E133" s="5">
        <f t="shared" si="1"/>
        <v>0.0002880491553</v>
      </c>
    </row>
    <row r="134" ht="15.75" customHeight="1">
      <c r="B134" s="3">
        <v>43411.0</v>
      </c>
      <c r="C134" s="2">
        <v>13.84</v>
      </c>
      <c r="D134" s="6">
        <f t="shared" si="2"/>
        <v>67307.186</v>
      </c>
      <c r="E134" s="5">
        <f t="shared" si="1"/>
        <v>0.0002056455475</v>
      </c>
    </row>
    <row r="135" ht="15.75" customHeight="1">
      <c r="B135" s="3">
        <v>43441.0</v>
      </c>
      <c r="C135" s="2">
        <v>101.955</v>
      </c>
      <c r="D135" s="6">
        <f t="shared" si="2"/>
        <v>67409.141</v>
      </c>
      <c r="E135" s="5">
        <f t="shared" si="1"/>
        <v>0.001513625286</v>
      </c>
    </row>
    <row r="136" ht="15.75" customHeight="1">
      <c r="B136" s="3" t="s">
        <v>75</v>
      </c>
      <c r="C136" s="2">
        <v>-89.713</v>
      </c>
      <c r="D136" s="6">
        <f t="shared" si="2"/>
        <v>67319.428</v>
      </c>
      <c r="E136" s="5">
        <f t="shared" si="1"/>
        <v>-0.001331759313</v>
      </c>
    </row>
    <row r="137" ht="15.75" customHeight="1">
      <c r="B137" s="3" t="s">
        <v>76</v>
      </c>
      <c r="C137" s="2">
        <v>110.025</v>
      </c>
      <c r="D137" s="6">
        <f t="shared" si="2"/>
        <v>67429.453</v>
      </c>
      <c r="E137" s="5">
        <f t="shared" si="1"/>
        <v>0.001633038043</v>
      </c>
    </row>
    <row r="138" ht="15.75" customHeight="1">
      <c r="B138" s="3" t="s">
        <v>77</v>
      </c>
      <c r="C138" s="2">
        <v>20.741</v>
      </c>
      <c r="D138" s="6">
        <f t="shared" si="2"/>
        <v>67450.194</v>
      </c>
      <c r="E138" s="5">
        <f t="shared" si="1"/>
        <v>0.0003075482569</v>
      </c>
    </row>
    <row r="139" ht="15.75" customHeight="1">
      <c r="B139" s="3" t="s">
        <v>78</v>
      </c>
      <c r="C139" s="2">
        <v>58.227</v>
      </c>
      <c r="D139" s="6">
        <f t="shared" si="2"/>
        <v>67508.421</v>
      </c>
      <c r="E139" s="5">
        <f t="shared" si="1"/>
        <v>0.0008628867985</v>
      </c>
    </row>
    <row r="140" ht="15.75" customHeight="1">
      <c r="B140" s="3" t="s">
        <v>79</v>
      </c>
      <c r="C140" s="2">
        <v>-6.205</v>
      </c>
      <c r="D140" s="6">
        <f t="shared" si="2"/>
        <v>67502.216</v>
      </c>
      <c r="E140" s="5">
        <f t="shared" si="1"/>
        <v>-0.00009191868348</v>
      </c>
    </row>
    <row r="141" ht="15.75" customHeight="1">
      <c r="B141" s="3" t="s">
        <v>80</v>
      </c>
      <c r="C141" s="2">
        <v>33.222</v>
      </c>
      <c r="D141" s="6">
        <f t="shared" si="2"/>
        <v>67535.438</v>
      </c>
      <c r="E141" s="5">
        <f t="shared" si="1"/>
        <v>0.0004920405485</v>
      </c>
    </row>
    <row r="142" ht="15.75" customHeight="1">
      <c r="B142" s="3" t="s">
        <v>81</v>
      </c>
      <c r="C142" s="2">
        <v>-250.749</v>
      </c>
      <c r="D142" s="6">
        <f t="shared" si="2"/>
        <v>67284.689</v>
      </c>
      <c r="E142" s="5">
        <f t="shared" si="1"/>
        <v>-0.003719760465</v>
      </c>
    </row>
    <row r="143" ht="15.75" customHeight="1">
      <c r="B143" s="3" t="s">
        <v>82</v>
      </c>
      <c r="C143" s="2">
        <v>115.915</v>
      </c>
      <c r="D143" s="6">
        <f t="shared" si="2"/>
        <v>67400.604</v>
      </c>
      <c r="E143" s="5">
        <f t="shared" si="1"/>
        <v>0.001721272249</v>
      </c>
    </row>
    <row r="144" ht="15.75" customHeight="1">
      <c r="B144" s="3" t="s">
        <v>83</v>
      </c>
      <c r="C144" s="2">
        <v>472.251</v>
      </c>
      <c r="D144" s="6">
        <f t="shared" si="2"/>
        <v>67872.855</v>
      </c>
      <c r="E144" s="5">
        <f t="shared" si="1"/>
        <v>0.006982196242</v>
      </c>
    </row>
    <row r="145" ht="15.75" customHeight="1">
      <c r="B145" s="3" t="s">
        <v>84</v>
      </c>
      <c r="C145" s="2">
        <v>85.157</v>
      </c>
      <c r="D145" s="6">
        <f t="shared" si="2"/>
        <v>67958.012</v>
      </c>
      <c r="E145" s="5">
        <f t="shared" si="1"/>
        <v>0.00125386833</v>
      </c>
    </row>
    <row r="146" ht="15.75" customHeight="1">
      <c r="B146" s="3" t="s">
        <v>85</v>
      </c>
      <c r="C146" s="2">
        <v>33.297</v>
      </c>
      <c r="D146" s="6">
        <f t="shared" si="2"/>
        <v>67991.309</v>
      </c>
      <c r="E146" s="5">
        <f t="shared" si="1"/>
        <v>0.0004898443099</v>
      </c>
    </row>
    <row r="147" ht="15.75" customHeight="1">
      <c r="B147" s="3" t="s">
        <v>86</v>
      </c>
      <c r="C147" s="2">
        <v>13.483</v>
      </c>
      <c r="D147" s="6">
        <f t="shared" si="2"/>
        <v>68004.792</v>
      </c>
      <c r="E147" s="5">
        <f t="shared" si="1"/>
        <v>0.0001982850971</v>
      </c>
    </row>
    <row r="148" ht="15.75" customHeight="1">
      <c r="B148" s="3" t="s">
        <v>87</v>
      </c>
      <c r="C148" s="2">
        <v>0.089</v>
      </c>
      <c r="D148" s="6">
        <f t="shared" si="2"/>
        <v>68004.881</v>
      </c>
      <c r="E148" s="5">
        <f t="shared" si="1"/>
        <v>0.000001308730446</v>
      </c>
    </row>
    <row r="149" ht="15.75" customHeight="1">
      <c r="B149" s="3">
        <v>43108.0</v>
      </c>
      <c r="C149" s="2">
        <v>12.95</v>
      </c>
      <c r="D149" s="6">
        <f t="shared" si="2"/>
        <v>68017.831</v>
      </c>
      <c r="E149" s="5">
        <f t="shared" si="1"/>
        <v>0.0001904093787</v>
      </c>
    </row>
    <row r="150" ht="15.75" customHeight="1">
      <c r="B150" s="3">
        <v>43139.0</v>
      </c>
      <c r="C150" s="2">
        <v>0.388</v>
      </c>
      <c r="D150" s="6">
        <f t="shared" si="2"/>
        <v>68018.219</v>
      </c>
      <c r="E150" s="5">
        <f t="shared" si="1"/>
        <v>0.000005704370275</v>
      </c>
    </row>
    <row r="151" ht="15.75" customHeight="1">
      <c r="B151" s="3">
        <v>43167.0</v>
      </c>
      <c r="C151" s="2">
        <v>0.281</v>
      </c>
      <c r="D151" s="6">
        <f t="shared" si="2"/>
        <v>68018.5</v>
      </c>
      <c r="E151" s="5">
        <f t="shared" si="1"/>
        <v>0.000004131237537</v>
      </c>
    </row>
    <row r="152" ht="15.75" customHeight="1">
      <c r="B152" s="3">
        <v>43259.0</v>
      </c>
      <c r="C152" s="2">
        <v>13.731</v>
      </c>
      <c r="D152" s="6">
        <f t="shared" si="2"/>
        <v>68032.231</v>
      </c>
      <c r="E152" s="5">
        <f t="shared" si="1"/>
        <v>0.0002018511763</v>
      </c>
    </row>
    <row r="153" ht="15.75" customHeight="1">
      <c r="B153" s="3">
        <v>43289.0</v>
      </c>
      <c r="C153" s="2">
        <v>158.285</v>
      </c>
      <c r="D153" s="6">
        <f t="shared" si="2"/>
        <v>68190.516</v>
      </c>
      <c r="E153" s="5">
        <f t="shared" si="1"/>
        <v>0.002323915421</v>
      </c>
    </row>
    <row r="154" ht="15.75" customHeight="1">
      <c r="B154" s="3">
        <v>43320.0</v>
      </c>
      <c r="C154" s="2">
        <v>210.423</v>
      </c>
      <c r="D154" s="6">
        <f t="shared" si="2"/>
        <v>68400.939</v>
      </c>
      <c r="E154" s="5">
        <f t="shared" si="1"/>
        <v>0.003081059009</v>
      </c>
    </row>
    <row r="155" ht="15.75" customHeight="1">
      <c r="B155" s="3">
        <v>43351.0</v>
      </c>
      <c r="C155" s="2">
        <v>283.183</v>
      </c>
      <c r="D155" s="6">
        <f t="shared" si="2"/>
        <v>68684.122</v>
      </c>
      <c r="E155" s="5">
        <f t="shared" si="1"/>
        <v>0.004131499096</v>
      </c>
    </row>
    <row r="156" ht="15.75" customHeight="1">
      <c r="B156" s="3">
        <v>43381.0</v>
      </c>
      <c r="C156" s="2">
        <v>3.144</v>
      </c>
      <c r="D156" s="6">
        <f t="shared" si="2"/>
        <v>68687.266</v>
      </c>
      <c r="E156" s="5">
        <f t="shared" si="1"/>
        <v>0.00004577372401</v>
      </c>
    </row>
    <row r="157" ht="15.75" customHeight="1">
      <c r="B157" s="3" t="s">
        <v>88</v>
      </c>
      <c r="C157" s="2">
        <v>13.554</v>
      </c>
      <c r="D157" s="6">
        <f t="shared" si="2"/>
        <v>68700.82</v>
      </c>
      <c r="E157" s="5">
        <f t="shared" si="1"/>
        <v>0.0001973096858</v>
      </c>
    </row>
    <row r="158" ht="15.75" customHeight="1">
      <c r="B158" s="3" t="s">
        <v>89</v>
      </c>
      <c r="C158" s="2">
        <v>19.593</v>
      </c>
      <c r="D158" s="6">
        <f t="shared" si="2"/>
        <v>68720.413</v>
      </c>
      <c r="E158" s="5">
        <f t="shared" si="1"/>
        <v>0.0002851524427</v>
      </c>
    </row>
    <row r="159" ht="15.75" customHeight="1">
      <c r="B159" s="3" t="s">
        <v>90</v>
      </c>
      <c r="C159" s="2">
        <v>1036.655</v>
      </c>
      <c r="D159" s="6">
        <f t="shared" si="2"/>
        <v>69757.068</v>
      </c>
      <c r="E159" s="5">
        <f t="shared" si="1"/>
        <v>0.01497246135</v>
      </c>
    </row>
    <row r="160" ht="15.75" customHeight="1">
      <c r="B160" s="3" t="s">
        <v>91</v>
      </c>
      <c r="C160" s="2">
        <v>144.021</v>
      </c>
      <c r="D160" s="6">
        <f t="shared" si="2"/>
        <v>69901.089</v>
      </c>
      <c r="E160" s="5">
        <f t="shared" si="1"/>
        <v>0.002062479617</v>
      </c>
    </row>
    <row r="161" ht="15.75" customHeight="1">
      <c r="B161" s="3" t="s">
        <v>92</v>
      </c>
      <c r="C161" s="2">
        <v>85.054</v>
      </c>
      <c r="D161" s="6">
        <f t="shared" si="2"/>
        <v>69986.143</v>
      </c>
      <c r="E161" s="5">
        <f t="shared" si="1"/>
        <v>0.001216036793</v>
      </c>
    </row>
    <row r="162" ht="15.75" customHeight="1">
      <c r="B162" s="3" t="s">
        <v>93</v>
      </c>
      <c r="C162" s="2">
        <v>39.776</v>
      </c>
      <c r="D162" s="6">
        <f t="shared" si="2"/>
        <v>70025.919</v>
      </c>
      <c r="E162" s="5">
        <f t="shared" si="1"/>
        <v>0.000568179634</v>
      </c>
    </row>
    <row r="163" ht="15.75" customHeight="1">
      <c r="B163" s="3" t="s">
        <v>94</v>
      </c>
      <c r="C163" s="2">
        <v>92.332</v>
      </c>
      <c r="D163" s="6">
        <f t="shared" si="2"/>
        <v>70118.251</v>
      </c>
      <c r="E163" s="5">
        <f t="shared" si="1"/>
        <v>0.001317671843</v>
      </c>
    </row>
    <row r="164" ht="15.75" customHeight="1">
      <c r="B164" s="3" t="s">
        <v>95</v>
      </c>
      <c r="C164" s="2">
        <v>19.829</v>
      </c>
      <c r="D164" s="6">
        <f t="shared" si="2"/>
        <v>70138.08</v>
      </c>
      <c r="E164" s="5">
        <f t="shared" si="1"/>
        <v>0.0002827537266</v>
      </c>
    </row>
    <row r="165" ht="15.75" customHeight="1">
      <c r="B165" s="3" t="s">
        <v>96</v>
      </c>
      <c r="C165" s="2">
        <v>-11.816</v>
      </c>
      <c r="D165" s="6">
        <f t="shared" si="2"/>
        <v>70126.264</v>
      </c>
      <c r="E165" s="5">
        <f t="shared" si="1"/>
        <v>-0.0001684818777</v>
      </c>
    </row>
    <row r="166" ht="15.75" customHeight="1">
      <c r="B166" s="3" t="s">
        <v>97</v>
      </c>
      <c r="C166" s="2">
        <v>-45.19</v>
      </c>
      <c r="D166" s="6">
        <f t="shared" si="2"/>
        <v>70081.074</v>
      </c>
      <c r="E166" s="5">
        <f t="shared" si="1"/>
        <v>-0.0006446167827</v>
      </c>
    </row>
    <row r="167" ht="15.75" customHeight="1">
      <c r="B167" s="3" t="s">
        <v>98</v>
      </c>
      <c r="C167" s="2">
        <v>40.284</v>
      </c>
      <c r="D167" s="6">
        <f t="shared" si="2"/>
        <v>70121.358</v>
      </c>
      <c r="E167" s="5">
        <f t="shared" si="1"/>
        <v>0.0005746548121</v>
      </c>
    </row>
    <row r="168" ht="15.75" customHeight="1">
      <c r="B168" s="3" t="s">
        <v>99</v>
      </c>
      <c r="C168" s="2">
        <v>-85.985</v>
      </c>
      <c r="D168" s="6">
        <f t="shared" si="2"/>
        <v>70035.373</v>
      </c>
      <c r="E168" s="5">
        <f t="shared" si="1"/>
        <v>-0.00122698368</v>
      </c>
    </row>
    <row r="169" ht="15.75" customHeight="1">
      <c r="B169" s="3" t="s">
        <v>100</v>
      </c>
      <c r="C169" s="2">
        <v>-99.191</v>
      </c>
      <c r="D169" s="6">
        <f t="shared" si="2"/>
        <v>69936.182</v>
      </c>
      <c r="E169" s="5">
        <f t="shared" si="1"/>
        <v>-0.001417302488</v>
      </c>
    </row>
    <row r="170" ht="15.75" customHeight="1">
      <c r="B170" s="3" t="s">
        <v>101</v>
      </c>
      <c r="C170" s="2">
        <v>0.671</v>
      </c>
      <c r="D170" s="6">
        <f t="shared" si="2"/>
        <v>69936.853</v>
      </c>
      <c r="E170" s="5">
        <f t="shared" si="1"/>
        <v>0.000009594415393</v>
      </c>
    </row>
    <row r="171" ht="15.75" customHeight="1">
      <c r="B171" s="3" t="s">
        <v>102</v>
      </c>
      <c r="C171" s="2">
        <v>0.492</v>
      </c>
      <c r="D171" s="6">
        <f t="shared" si="2"/>
        <v>69937.345</v>
      </c>
      <c r="E171" s="5">
        <f t="shared" si="1"/>
        <v>0.000007034892883</v>
      </c>
    </row>
    <row r="172" ht="15.75" customHeight="1">
      <c r="B172" s="3">
        <v>43199.0</v>
      </c>
      <c r="C172" s="2">
        <v>108.317</v>
      </c>
      <c r="D172" s="6">
        <f t="shared" si="2"/>
        <v>70045.662</v>
      </c>
      <c r="E172" s="5">
        <f t="shared" si="1"/>
        <v>0.001547573865</v>
      </c>
    </row>
    <row r="173" ht="15.75" customHeight="1">
      <c r="B173" s="3">
        <v>43229.0</v>
      </c>
      <c r="C173" s="2">
        <v>3828.472</v>
      </c>
      <c r="D173" s="6">
        <f t="shared" si="2"/>
        <v>73874.134</v>
      </c>
      <c r="E173" s="5">
        <f t="shared" si="1"/>
        <v>0.05321540948</v>
      </c>
    </row>
    <row r="174" ht="15.75" customHeight="1">
      <c r="B174" s="3">
        <v>43260.0</v>
      </c>
      <c r="C174" s="2">
        <v>-39.126</v>
      </c>
      <c r="D174" s="6">
        <f t="shared" si="2"/>
        <v>73835.008</v>
      </c>
      <c r="E174" s="5">
        <f t="shared" si="1"/>
        <v>-0.0005297708779</v>
      </c>
    </row>
    <row r="175" ht="15.75" customHeight="1">
      <c r="B175" s="3">
        <v>43290.0</v>
      </c>
      <c r="C175" s="2">
        <v>-223.733</v>
      </c>
      <c r="D175" s="6">
        <f t="shared" si="2"/>
        <v>73611.275</v>
      </c>
      <c r="E175" s="5">
        <f t="shared" si="1"/>
        <v>-0.003034775339</v>
      </c>
    </row>
    <row r="176" ht="15.75" customHeight="1">
      <c r="B176" s="3">
        <v>43382.0</v>
      </c>
      <c r="C176" s="2">
        <v>-24.483</v>
      </c>
      <c r="D176" s="6">
        <f t="shared" si="2"/>
        <v>73586.792</v>
      </c>
      <c r="E176" s="5">
        <f t="shared" si="1"/>
        <v>-0.0003326538279</v>
      </c>
    </row>
    <row r="177" ht="15.75" customHeight="1">
      <c r="B177" s="3">
        <v>43413.0</v>
      </c>
      <c r="C177" s="2">
        <v>0.232</v>
      </c>
      <c r="D177" s="6">
        <f t="shared" si="2"/>
        <v>73587.024</v>
      </c>
      <c r="E177" s="5">
        <f t="shared" si="1"/>
        <v>0.000003152734723</v>
      </c>
    </row>
    <row r="178" ht="15.75" customHeight="1">
      <c r="B178" s="3">
        <v>43443.0</v>
      </c>
      <c r="C178" s="2">
        <v>40.147</v>
      </c>
      <c r="D178" s="6">
        <f t="shared" si="2"/>
        <v>73627.171</v>
      </c>
      <c r="E178" s="5">
        <f t="shared" si="1"/>
        <v>0.00054542296</v>
      </c>
    </row>
    <row r="179" ht="15.75" customHeight="1">
      <c r="B179" s="3" t="s">
        <v>103</v>
      </c>
      <c r="C179" s="2">
        <v>332.08</v>
      </c>
      <c r="D179" s="6">
        <f t="shared" si="2"/>
        <v>73959.251</v>
      </c>
      <c r="E179" s="5">
        <f t="shared" si="1"/>
        <v>0.004500150568</v>
      </c>
    </row>
    <row r="180" ht="15.75" customHeight="1">
      <c r="B180" s="3" t="s">
        <v>104</v>
      </c>
      <c r="C180" s="2">
        <v>14.889</v>
      </c>
      <c r="D180" s="6">
        <f t="shared" si="2"/>
        <v>73974.14</v>
      </c>
      <c r="E180" s="5">
        <f t="shared" si="1"/>
        <v>0.0002012932976</v>
      </c>
    </row>
    <row r="181" ht="15.75" customHeight="1">
      <c r="B181" s="3" t="s">
        <v>105</v>
      </c>
      <c r="C181" s="2">
        <v>173.971</v>
      </c>
      <c r="D181" s="6">
        <f t="shared" si="2"/>
        <v>74148.111</v>
      </c>
      <c r="E181" s="5">
        <f t="shared" si="1"/>
        <v>0.002349020202</v>
      </c>
    </row>
    <row r="182" ht="15.75" customHeight="1">
      <c r="B182" s="3" t="s">
        <v>106</v>
      </c>
      <c r="C182" s="2">
        <v>1920.901</v>
      </c>
      <c r="D182" s="6">
        <f t="shared" si="2"/>
        <v>76069.012</v>
      </c>
      <c r="E182" s="5">
        <f t="shared" si="1"/>
        <v>0.02557638802</v>
      </c>
    </row>
    <row r="183" ht="15.75" customHeight="1">
      <c r="B183" s="3" t="s">
        <v>107</v>
      </c>
      <c r="C183" s="2">
        <v>97.221</v>
      </c>
      <c r="D183" s="6">
        <f t="shared" si="2"/>
        <v>76166.233</v>
      </c>
      <c r="E183" s="5">
        <f t="shared" si="1"/>
        <v>0.001277247108</v>
      </c>
    </row>
    <row r="184" ht="15.75" customHeight="1">
      <c r="B184" s="3" t="s">
        <v>108</v>
      </c>
      <c r="C184" s="2">
        <v>147.219</v>
      </c>
      <c r="D184" s="6">
        <f t="shared" si="2"/>
        <v>76313.452</v>
      </c>
      <c r="E184" s="5">
        <f t="shared" si="1"/>
        <v>0.001930998818</v>
      </c>
    </row>
    <row r="185" ht="15.75" customHeight="1">
      <c r="B185" s="3" t="s">
        <v>109</v>
      </c>
      <c r="C185" s="2">
        <v>161.863</v>
      </c>
      <c r="D185" s="6">
        <f t="shared" si="2"/>
        <v>76475.315</v>
      </c>
      <c r="E185" s="5">
        <f t="shared" si="1"/>
        <v>0.002118782208</v>
      </c>
    </row>
    <row r="186" ht="15.75" customHeight="1">
      <c r="B186" s="3" t="s">
        <v>110</v>
      </c>
      <c r="C186" s="2">
        <v>-1737.888</v>
      </c>
      <c r="D186" s="6">
        <f t="shared" si="2"/>
        <v>74737.427</v>
      </c>
      <c r="E186" s="5">
        <f t="shared" si="1"/>
        <v>-0.02298701157</v>
      </c>
    </row>
    <row r="187" ht="15.75" customHeight="1">
      <c r="B187" s="3" t="s">
        <v>111</v>
      </c>
      <c r="C187" s="2">
        <v>-153.622</v>
      </c>
      <c r="D187" s="6">
        <f t="shared" si="2"/>
        <v>74583.805</v>
      </c>
      <c r="E187" s="5">
        <f t="shared" si="1"/>
        <v>-0.002057604965</v>
      </c>
    </row>
    <row r="188" ht="15.75" customHeight="1">
      <c r="B188" s="3" t="s">
        <v>112</v>
      </c>
      <c r="C188" s="2">
        <v>33.541</v>
      </c>
      <c r="D188" s="6">
        <f t="shared" si="2"/>
        <v>74617.346</v>
      </c>
      <c r="E188" s="5">
        <f t="shared" si="1"/>
        <v>0.0004496077991</v>
      </c>
    </row>
    <row r="189" ht="15.75" customHeight="1">
      <c r="B189" s="3" t="s">
        <v>113</v>
      </c>
      <c r="C189" s="2">
        <v>-206.336</v>
      </c>
      <c r="D189" s="6">
        <f t="shared" si="2"/>
        <v>74411.01</v>
      </c>
      <c r="E189" s="5">
        <f t="shared" si="1"/>
        <v>-0.002769085527</v>
      </c>
    </row>
    <row r="190" ht="15.75" customHeight="1">
      <c r="B190" s="3" t="s">
        <v>114</v>
      </c>
      <c r="C190" s="2">
        <v>-53.406</v>
      </c>
      <c r="D190" s="6">
        <f t="shared" si="2"/>
        <v>74357.604</v>
      </c>
      <c r="E190" s="5">
        <f t="shared" si="1"/>
        <v>-0.0007179740519</v>
      </c>
    </row>
    <row r="191" ht="15.75" customHeight="1">
      <c r="B191" s="3">
        <v>43110.0</v>
      </c>
      <c r="C191" s="2">
        <v>122.206</v>
      </c>
      <c r="D191" s="6">
        <f t="shared" si="2"/>
        <v>74479.81</v>
      </c>
      <c r="E191" s="5">
        <f t="shared" si="1"/>
        <v>0.001642141236</v>
      </c>
    </row>
    <row r="192" ht="15.75" customHeight="1">
      <c r="B192" s="3">
        <v>43141.0</v>
      </c>
      <c r="C192" s="2">
        <v>41.068</v>
      </c>
      <c r="D192" s="6">
        <f t="shared" si="2"/>
        <v>74520.878</v>
      </c>
      <c r="E192" s="5">
        <f t="shared" si="1"/>
        <v>0.0005512457908</v>
      </c>
    </row>
    <row r="193" ht="15.75" customHeight="1">
      <c r="B193" s="3">
        <v>43169.0</v>
      </c>
      <c r="C193" s="2">
        <v>53.693</v>
      </c>
      <c r="D193" s="6">
        <f t="shared" si="2"/>
        <v>74574.571</v>
      </c>
      <c r="E193" s="5">
        <f t="shared" si="1"/>
        <v>0.0007202500503</v>
      </c>
    </row>
    <row r="194" ht="15.75" customHeight="1">
      <c r="B194" s="3">
        <v>43200.0</v>
      </c>
      <c r="C194" s="2">
        <v>80.798</v>
      </c>
      <c r="D194" s="6">
        <f t="shared" si="2"/>
        <v>74655.369</v>
      </c>
      <c r="E194" s="5">
        <f t="shared" si="1"/>
        <v>0.001082865917</v>
      </c>
    </row>
    <row r="195" ht="15.75" customHeight="1">
      <c r="B195" s="3">
        <v>43230.0</v>
      </c>
      <c r="C195" s="2">
        <v>545.346</v>
      </c>
      <c r="D195" s="6">
        <f t="shared" si="2"/>
        <v>75200.715</v>
      </c>
      <c r="E195" s="5">
        <f t="shared" si="1"/>
        <v>0.007278295186</v>
      </c>
    </row>
    <row r="196" ht="15.75" customHeight="1">
      <c r="B196" s="3">
        <v>43322.0</v>
      </c>
      <c r="C196" s="2">
        <v>146.281</v>
      </c>
      <c r="D196" s="6">
        <f t="shared" si="2"/>
        <v>75346.996</v>
      </c>
      <c r="E196" s="5">
        <f t="shared" si="1"/>
        <v>0.001943318102</v>
      </c>
    </row>
    <row r="197" ht="15.75" customHeight="1">
      <c r="B197" s="3">
        <v>43353.0</v>
      </c>
      <c r="C197" s="2">
        <v>238.815</v>
      </c>
      <c r="D197" s="6">
        <f t="shared" si="2"/>
        <v>75585.811</v>
      </c>
      <c r="E197" s="5">
        <f t="shared" si="1"/>
        <v>0.003164523393</v>
      </c>
    </row>
    <row r="198" ht="15.75" customHeight="1">
      <c r="B198" s="3">
        <v>43383.0</v>
      </c>
      <c r="C198" s="2">
        <v>7.621</v>
      </c>
      <c r="D198" s="6">
        <f t="shared" si="2"/>
        <v>75593.432</v>
      </c>
      <c r="E198" s="5">
        <f t="shared" si="1"/>
        <v>0.0001008207192</v>
      </c>
    </row>
    <row r="199" ht="15.75" customHeight="1">
      <c r="B199" s="3">
        <v>43414.0</v>
      </c>
      <c r="C199" s="2">
        <v>249.227</v>
      </c>
      <c r="D199" s="6">
        <f t="shared" si="2"/>
        <v>75842.659</v>
      </c>
      <c r="E199" s="5">
        <f t="shared" si="1"/>
        <v>0.003291516882</v>
      </c>
    </row>
    <row r="200" ht="15.75" customHeight="1">
      <c r="B200" s="3">
        <v>43444.0</v>
      </c>
      <c r="C200" s="2">
        <v>-199.845</v>
      </c>
      <c r="D200" s="6">
        <f t="shared" si="2"/>
        <v>75642.814</v>
      </c>
      <c r="E200" s="5">
        <f t="shared" si="1"/>
        <v>-0.00263847235</v>
      </c>
    </row>
    <row r="201" ht="15.75" customHeight="1">
      <c r="B201" s="3" t="s">
        <v>115</v>
      </c>
      <c r="C201" s="2">
        <v>209.343</v>
      </c>
      <c r="D201" s="6">
        <f t="shared" si="2"/>
        <v>75852.157</v>
      </c>
      <c r="E201" s="5">
        <f t="shared" si="1"/>
        <v>0.00276369746</v>
      </c>
    </row>
    <row r="202" ht="15.75" customHeight="1">
      <c r="B202" s="3" t="s">
        <v>116</v>
      </c>
      <c r="C202" s="2">
        <v>-124.385</v>
      </c>
      <c r="D202" s="6">
        <f t="shared" si="2"/>
        <v>75727.772</v>
      </c>
      <c r="E202" s="5">
        <f t="shared" si="1"/>
        <v>-0.001641180712</v>
      </c>
    </row>
    <row r="203" ht="15.75" customHeight="1">
      <c r="B203" s="3" t="s">
        <v>117</v>
      </c>
      <c r="C203" s="2">
        <v>200.371</v>
      </c>
      <c r="D203" s="6">
        <f t="shared" si="2"/>
        <v>75928.143</v>
      </c>
      <c r="E203" s="5">
        <f t="shared" si="1"/>
        <v>0.002642443806</v>
      </c>
    </row>
    <row r="204" ht="15.75" customHeight="1">
      <c r="B204" s="3" t="s">
        <v>118</v>
      </c>
      <c r="C204" s="2">
        <v>154.596</v>
      </c>
      <c r="D204" s="6">
        <f t="shared" si="2"/>
        <v>76082.739</v>
      </c>
      <c r="E204" s="5">
        <f t="shared" si="1"/>
        <v>0.002034012977</v>
      </c>
    </row>
    <row r="205" ht="15.75" customHeight="1">
      <c r="B205" s="3" t="s">
        <v>119</v>
      </c>
      <c r="C205" s="2">
        <v>-12.341</v>
      </c>
      <c r="D205" s="6">
        <f t="shared" si="2"/>
        <v>76070.398</v>
      </c>
      <c r="E205" s="5">
        <f t="shared" si="1"/>
        <v>-0.0001622181477</v>
      </c>
    </row>
    <row r="206" ht="15.75" customHeight="1">
      <c r="B206" s="3" t="s">
        <v>120</v>
      </c>
      <c r="C206" s="2">
        <v>-69.814</v>
      </c>
      <c r="D206" s="6">
        <f t="shared" si="2"/>
        <v>76000.584</v>
      </c>
      <c r="E206" s="5">
        <f t="shared" si="1"/>
        <v>-0.0009181765513</v>
      </c>
    </row>
    <row r="207" ht="15.75" customHeight="1">
      <c r="B207" s="3" t="s">
        <v>121</v>
      </c>
      <c r="C207" s="2">
        <v>96.287</v>
      </c>
      <c r="D207" s="6">
        <f t="shared" si="2"/>
        <v>76096.871</v>
      </c>
      <c r="E207" s="5">
        <f t="shared" si="1"/>
        <v>0.001266122604</v>
      </c>
    </row>
    <row r="208" ht="15.75" customHeight="1">
      <c r="B208" s="3" t="s">
        <v>122</v>
      </c>
      <c r="C208" s="2">
        <v>88.032</v>
      </c>
      <c r="D208" s="6">
        <f t="shared" si="2"/>
        <v>76184.903</v>
      </c>
      <c r="E208" s="5">
        <f t="shared" si="1"/>
        <v>0.001156172633</v>
      </c>
    </row>
    <row r="209" ht="15.75" customHeight="1">
      <c r="B209" s="3" t="s">
        <v>123</v>
      </c>
      <c r="C209" s="2">
        <v>-127.538</v>
      </c>
      <c r="D209" s="6">
        <f t="shared" si="2"/>
        <v>76057.365</v>
      </c>
      <c r="E209" s="5">
        <f t="shared" si="1"/>
        <v>-0.001675461506</v>
      </c>
    </row>
    <row r="210" ht="15.75" customHeight="1">
      <c r="B210" s="3" t="s">
        <v>124</v>
      </c>
      <c r="C210" s="2">
        <v>12.926</v>
      </c>
      <c r="D210" s="6">
        <f t="shared" si="2"/>
        <v>76070.291</v>
      </c>
      <c r="E210" s="5">
        <f t="shared" si="1"/>
        <v>0.0001699362282</v>
      </c>
    </row>
    <row r="211" ht="15.75" customHeight="1">
      <c r="B211" s="3" t="s">
        <v>125</v>
      </c>
      <c r="C211" s="2">
        <v>196.479</v>
      </c>
      <c r="D211" s="6">
        <f t="shared" si="2"/>
        <v>76266.77</v>
      </c>
      <c r="E211" s="5">
        <f t="shared" si="1"/>
        <v>0.002579531306</v>
      </c>
    </row>
    <row r="212" ht="15.75" customHeight="1">
      <c r="B212" s="3" t="s">
        <v>126</v>
      </c>
      <c r="C212" s="2">
        <v>159.063</v>
      </c>
      <c r="D212" s="6">
        <f t="shared" si="2"/>
        <v>76425.833</v>
      </c>
      <c r="E212" s="5">
        <f t="shared" si="1"/>
        <v>0.002083441561</v>
      </c>
    </row>
    <row r="213" ht="15.75" customHeight="1">
      <c r="B213" s="3" t="s">
        <v>127</v>
      </c>
      <c r="C213" s="2">
        <v>99.429</v>
      </c>
      <c r="D213" s="6">
        <f t="shared" si="2"/>
        <v>76525.262</v>
      </c>
      <c r="E213" s="5">
        <f t="shared" si="1"/>
        <v>0.001300141251</v>
      </c>
    </row>
    <row r="214" ht="15.75" customHeight="1">
      <c r="B214" s="3">
        <v>43111.0</v>
      </c>
      <c r="C214" s="2">
        <v>25.676</v>
      </c>
      <c r="D214" s="6">
        <f t="shared" si="2"/>
        <v>76550.938</v>
      </c>
      <c r="E214" s="5">
        <f t="shared" si="1"/>
        <v>0.0003354669144</v>
      </c>
    </row>
    <row r="215" ht="15.75" customHeight="1">
      <c r="B215" s="3">
        <v>43142.0</v>
      </c>
      <c r="C215" s="2">
        <v>435.757</v>
      </c>
      <c r="D215" s="6">
        <f t="shared" si="2"/>
        <v>76986.695</v>
      </c>
      <c r="E215" s="5">
        <f t="shared" si="1"/>
        <v>0.005676239258</v>
      </c>
    </row>
    <row r="216" ht="15.75" customHeight="1">
      <c r="B216" s="3">
        <v>43231.0</v>
      </c>
      <c r="C216" s="2">
        <v>106.301</v>
      </c>
      <c r="D216" s="6">
        <f t="shared" si="2"/>
        <v>77092.996</v>
      </c>
      <c r="E216" s="5">
        <f t="shared" si="1"/>
        <v>0.001379818666</v>
      </c>
    </row>
    <row r="217" ht="15.75" customHeight="1">
      <c r="B217" s="3">
        <v>43262.0</v>
      </c>
      <c r="C217" s="2">
        <v>-106.589</v>
      </c>
      <c r="D217" s="6">
        <f t="shared" si="2"/>
        <v>76986.407</v>
      </c>
      <c r="E217" s="5">
        <f t="shared" si="1"/>
        <v>-0.001383559579</v>
      </c>
    </row>
    <row r="218" ht="15.75" customHeight="1">
      <c r="B218" s="3">
        <v>43292.0</v>
      </c>
      <c r="C218" s="2">
        <v>19.361</v>
      </c>
      <c r="D218" s="6">
        <f t="shared" si="2"/>
        <v>77005.768</v>
      </c>
      <c r="E218" s="5">
        <f t="shared" si="1"/>
        <v>0.0002514543366</v>
      </c>
    </row>
    <row r="219" ht="15.75" customHeight="1">
      <c r="B219" s="3">
        <v>43323.0</v>
      </c>
      <c r="C219" s="2">
        <v>123.093</v>
      </c>
      <c r="D219" s="6">
        <f t="shared" si="2"/>
        <v>77128.861</v>
      </c>
      <c r="E219" s="5">
        <f t="shared" si="1"/>
        <v>0.001597214422</v>
      </c>
    </row>
    <row r="220" ht="15.75" customHeight="1">
      <c r="B220" s="3">
        <v>43354.0</v>
      </c>
      <c r="C220" s="2">
        <v>-102.635</v>
      </c>
      <c r="D220" s="6">
        <f t="shared" si="2"/>
        <v>77026.226</v>
      </c>
      <c r="E220" s="5">
        <f t="shared" si="1"/>
        <v>-0.001331581295</v>
      </c>
    </row>
    <row r="221" ht="15.75" customHeight="1">
      <c r="B221" s="3">
        <v>43445.0</v>
      </c>
      <c r="C221" s="2">
        <v>136.38</v>
      </c>
      <c r="D221" s="6">
        <f t="shared" si="2"/>
        <v>77162.606</v>
      </c>
      <c r="E221" s="5">
        <f t="shared" si="1"/>
        <v>0.001769000177</v>
      </c>
    </row>
    <row r="222" ht="15.75" customHeight="1">
      <c r="B222" s="3" t="s">
        <v>128</v>
      </c>
      <c r="C222" s="2">
        <v>32.232</v>
      </c>
      <c r="D222" s="6">
        <f t="shared" si="2"/>
        <v>77194.838</v>
      </c>
      <c r="E222" s="5">
        <f t="shared" si="1"/>
        <v>0.0004176280668</v>
      </c>
    </row>
    <row r="223" ht="15.75" customHeight="1">
      <c r="B223" s="3" t="s">
        <v>129</v>
      </c>
      <c r="C223" s="2">
        <v>3.209</v>
      </c>
      <c r="D223" s="6">
        <f t="shared" si="2"/>
        <v>77198.047</v>
      </c>
      <c r="E223" s="5">
        <f t="shared" si="1"/>
        <v>0.0000415692731</v>
      </c>
    </row>
    <row r="224" ht="15.75" customHeight="1">
      <c r="B224" s="3" t="s">
        <v>130</v>
      </c>
      <c r="C224" s="2">
        <v>-55.739</v>
      </c>
      <c r="D224" s="6">
        <f t="shared" si="2"/>
        <v>77142.308</v>
      </c>
      <c r="E224" s="5">
        <f t="shared" si="1"/>
        <v>-0.0007222868241</v>
      </c>
    </row>
    <row r="225" ht="15.75" customHeight="1">
      <c r="B225" s="3" t="s">
        <v>131</v>
      </c>
      <c r="C225" s="2">
        <v>0.753</v>
      </c>
      <c r="D225" s="6">
        <f t="shared" si="2"/>
        <v>77143.061</v>
      </c>
      <c r="E225" s="5">
        <f t="shared" si="1"/>
        <v>0.000009761132956</v>
      </c>
    </row>
    <row r="226" ht="15.75" customHeight="1">
      <c r="B226" s="3" t="s">
        <v>132</v>
      </c>
      <c r="C226" s="2">
        <v>14.622</v>
      </c>
      <c r="D226" s="6">
        <f t="shared" si="2"/>
        <v>77157.683</v>
      </c>
      <c r="E226" s="5">
        <f t="shared" si="1"/>
        <v>0.0001895259824</v>
      </c>
    </row>
    <row r="227" ht="15.75" customHeight="1">
      <c r="B227" s="3" t="s">
        <v>133</v>
      </c>
      <c r="C227" s="2">
        <v>136.444</v>
      </c>
      <c r="D227" s="6">
        <f t="shared" si="2"/>
        <v>77294.127</v>
      </c>
      <c r="E227" s="5">
        <f t="shared" si="1"/>
        <v>0.001766816918</v>
      </c>
    </row>
    <row r="228" ht="15.75" customHeight="1">
      <c r="B228" s="3" t="s">
        <v>134</v>
      </c>
      <c r="C228" s="2">
        <v>84.98</v>
      </c>
      <c r="D228" s="6">
        <f t="shared" si="2"/>
        <v>77379.107</v>
      </c>
      <c r="E228" s="5">
        <f t="shared" si="1"/>
        <v>0.001098832763</v>
      </c>
    </row>
    <row r="229" ht="15.75" customHeight="1">
      <c r="B229" s="3" t="s">
        <v>135</v>
      </c>
      <c r="C229" s="2">
        <v>-85.242</v>
      </c>
      <c r="D229" s="6">
        <f t="shared" si="2"/>
        <v>77293.865</v>
      </c>
      <c r="E229" s="5">
        <f t="shared" si="1"/>
        <v>-0.001102222418</v>
      </c>
    </row>
    <row r="230" ht="15.75" customHeight="1">
      <c r="B230" s="3" t="s">
        <v>136</v>
      </c>
      <c r="C230" s="2">
        <v>-60.485</v>
      </c>
      <c r="D230" s="6">
        <f t="shared" si="2"/>
        <v>77233.38</v>
      </c>
      <c r="E230" s="5">
        <f t="shared" si="1"/>
        <v>-0.000782839338</v>
      </c>
    </row>
    <row r="231" ht="15.75" customHeight="1">
      <c r="B231" s="3" t="s">
        <v>137</v>
      </c>
      <c r="C231" s="2">
        <v>-11.88</v>
      </c>
      <c r="D231" s="6">
        <f t="shared" si="2"/>
        <v>77221.5</v>
      </c>
      <c r="E231" s="5">
        <f t="shared" si="1"/>
        <v>-0.0001538313328</v>
      </c>
    </row>
    <row r="232" ht="15.75" customHeight="1">
      <c r="B232" s="3" t="s">
        <v>138</v>
      </c>
      <c r="C232" s="2">
        <v>41.84</v>
      </c>
      <c r="D232" s="6">
        <f t="shared" si="2"/>
        <v>77263.34</v>
      </c>
      <c r="E232" s="5">
        <f t="shared" si="1"/>
        <v>0.0005416712866</v>
      </c>
    </row>
    <row r="233" ht="15.75" customHeight="1">
      <c r="B233" s="3" t="s">
        <v>139</v>
      </c>
      <c r="C233" s="2">
        <v>107.887</v>
      </c>
      <c r="D233" s="6">
        <f t="shared" si="2"/>
        <v>77371.227</v>
      </c>
      <c r="E233" s="5">
        <f t="shared" si="1"/>
        <v>0.001395380342</v>
      </c>
    </row>
    <row r="234" ht="15.75" customHeight="1">
      <c r="B234" s="3" t="s">
        <v>140</v>
      </c>
      <c r="C234" s="2">
        <v>182.733</v>
      </c>
      <c r="D234" s="6">
        <f t="shared" si="2"/>
        <v>77553.96</v>
      </c>
      <c r="E234" s="5">
        <f t="shared" si="1"/>
        <v>0.002358984853</v>
      </c>
    </row>
    <row r="235" ht="15.75" customHeight="1">
      <c r="B235" s="3">
        <v>43171.0</v>
      </c>
      <c r="C235" s="2">
        <v>231.806</v>
      </c>
      <c r="D235" s="6">
        <f t="shared" si="2"/>
        <v>77785.766</v>
      </c>
      <c r="E235" s="5">
        <f t="shared" si="1"/>
        <v>0.002984505999</v>
      </c>
    </row>
    <row r="236" ht="15.75" customHeight="1">
      <c r="B236" s="3">
        <v>43202.0</v>
      </c>
      <c r="C236" s="2">
        <v>64.202</v>
      </c>
      <c r="D236" s="6">
        <f t="shared" si="2"/>
        <v>77849.968</v>
      </c>
      <c r="E236" s="5">
        <f t="shared" si="1"/>
        <v>0.0008250290854</v>
      </c>
    </row>
    <row r="237" ht="15.75" customHeight="1">
      <c r="B237" s="3">
        <v>43263.0</v>
      </c>
      <c r="C237" s="2">
        <v>212.004</v>
      </c>
      <c r="D237" s="6">
        <f t="shared" si="2"/>
        <v>78061.972</v>
      </c>
      <c r="E237" s="5">
        <f t="shared" si="1"/>
        <v>0.002719536819</v>
      </c>
    </row>
    <row r="238" ht="15.75" customHeight="1">
      <c r="B238" s="3">
        <v>43293.0</v>
      </c>
      <c r="C238" s="2">
        <v>105.537</v>
      </c>
      <c r="D238" s="6">
        <f t="shared" si="2"/>
        <v>78167.509</v>
      </c>
      <c r="E238" s="5">
        <f t="shared" si="1"/>
        <v>0.001351051228</v>
      </c>
    </row>
    <row r="239" ht="15.75" customHeight="1">
      <c r="B239" s="3">
        <v>43385.0</v>
      </c>
      <c r="C239" s="2">
        <v>-174.507</v>
      </c>
      <c r="D239" s="6">
        <f t="shared" si="2"/>
        <v>77993.002</v>
      </c>
      <c r="E239" s="5">
        <f t="shared" si="1"/>
        <v>-0.002234970564</v>
      </c>
    </row>
    <row r="240" ht="15.75" customHeight="1">
      <c r="B240" s="3">
        <v>43416.0</v>
      </c>
      <c r="C240" s="2">
        <v>68.054</v>
      </c>
      <c r="D240" s="6">
        <f t="shared" si="2"/>
        <v>78061.056</v>
      </c>
      <c r="E240" s="5">
        <f t="shared" si="1"/>
        <v>0.0008721850003</v>
      </c>
    </row>
    <row r="241" ht="15.75" customHeight="1">
      <c r="B241" s="3">
        <v>43446.0</v>
      </c>
      <c r="C241" s="2">
        <v>79.345</v>
      </c>
      <c r="D241" s="6">
        <f t="shared" si="2"/>
        <v>78140.401</v>
      </c>
      <c r="E241" s="5">
        <f t="shared" si="1"/>
        <v>0.001015931712</v>
      </c>
    </row>
    <row r="242" ht="15.75" customHeight="1">
      <c r="B242" s="3" t="s">
        <v>141</v>
      </c>
      <c r="C242" s="2">
        <v>0.635</v>
      </c>
      <c r="D242" s="6">
        <f t="shared" si="2"/>
        <v>78141.036</v>
      </c>
      <c r="E242" s="5">
        <f t="shared" si="1"/>
        <v>0.000008126365001</v>
      </c>
    </row>
    <row r="243" ht="15.75" customHeight="1">
      <c r="B243" s="3" t="s">
        <v>142</v>
      </c>
      <c r="C243" s="2">
        <v>-41.348</v>
      </c>
      <c r="D243" s="6">
        <f t="shared" si="2"/>
        <v>78099.688</v>
      </c>
      <c r="E243" s="5">
        <f t="shared" si="1"/>
        <v>-0.0005292858342</v>
      </c>
    </row>
    <row r="244" ht="15.75" customHeight="1">
      <c r="B244" s="3" t="s">
        <v>143</v>
      </c>
      <c r="C244" s="2">
        <v>101.715</v>
      </c>
      <c r="D244" s="6">
        <f t="shared" si="2"/>
        <v>78201.403</v>
      </c>
      <c r="E244" s="5">
        <f t="shared" si="1"/>
        <v>0.001301526607</v>
      </c>
    </row>
    <row r="245" ht="15.75" customHeight="1">
      <c r="B245" s="3" t="s">
        <v>144</v>
      </c>
      <c r="C245" s="2">
        <v>203.971</v>
      </c>
      <c r="D245" s="6">
        <f t="shared" si="2"/>
        <v>78405.374</v>
      </c>
      <c r="E245" s="5">
        <f t="shared" si="1"/>
        <v>0.002604882359</v>
      </c>
    </row>
    <row r="246" ht="15.75" customHeight="1">
      <c r="B246" s="3" t="s">
        <v>145</v>
      </c>
      <c r="C246" s="2">
        <v>0.0</v>
      </c>
      <c r="D246" s="6">
        <f t="shared" si="2"/>
        <v>78405.374</v>
      </c>
      <c r="E246" s="5">
        <f t="shared" si="1"/>
        <v>0</v>
      </c>
    </row>
    <row r="247" ht="15.75" customHeight="1">
      <c r="B247" s="3" t="s">
        <v>146</v>
      </c>
      <c r="C247" s="2">
        <v>139.93</v>
      </c>
      <c r="D247" s="6">
        <f t="shared" si="2"/>
        <v>78545.304</v>
      </c>
      <c r="E247" s="5">
        <f t="shared" si="1"/>
        <v>0.001783108412</v>
      </c>
    </row>
    <row r="248" ht="15.75" customHeight="1">
      <c r="B248" s="3" t="s">
        <v>147</v>
      </c>
      <c r="C248" s="2">
        <v>142.184</v>
      </c>
      <c r="D248" s="6">
        <f t="shared" si="2"/>
        <v>78687.488</v>
      </c>
      <c r="E248" s="5">
        <f t="shared" si="1"/>
        <v>0.001808579965</v>
      </c>
    </row>
    <row r="249" ht="15.75" customHeight="1">
      <c r="B249" s="3" t="s">
        <v>148</v>
      </c>
      <c r="C249" s="2">
        <v>218.568</v>
      </c>
      <c r="D249" s="6">
        <f t="shared" si="2"/>
        <v>78906.056</v>
      </c>
      <c r="E249" s="5">
        <f t="shared" si="1"/>
        <v>0.00277382099</v>
      </c>
    </row>
    <row r="250" ht="15.75" customHeight="1">
      <c r="B250" s="3" t="s">
        <v>149</v>
      </c>
      <c r="C250" s="2">
        <v>-155.206</v>
      </c>
      <c r="D250" s="6">
        <f t="shared" si="2"/>
        <v>78750.85</v>
      </c>
      <c r="E250" s="5">
        <f t="shared" si="1"/>
        <v>-0.001968908995</v>
      </c>
    </row>
    <row r="251" ht="15.75" customHeight="1">
      <c r="B251" s="3" t="s">
        <v>150</v>
      </c>
      <c r="C251" s="2">
        <v>-3620.886</v>
      </c>
      <c r="D251" s="6">
        <f t="shared" si="2"/>
        <v>75129.964</v>
      </c>
      <c r="E251" s="5">
        <f t="shared" si="1"/>
        <v>-0.04706960409</v>
      </c>
    </row>
    <row r="252" ht="15.75" customHeight="1">
      <c r="B252" s="3" t="s">
        <v>151</v>
      </c>
      <c r="C252" s="2">
        <v>35.327</v>
      </c>
      <c r="D252" s="6">
        <f t="shared" si="2"/>
        <v>75165.291</v>
      </c>
      <c r="E252" s="5">
        <f t="shared" si="1"/>
        <v>0.0004701013435</v>
      </c>
    </row>
    <row r="253" ht="15.75" customHeight="1">
      <c r="B253" s="3" t="s">
        <v>152</v>
      </c>
      <c r="C253" s="2">
        <v>347.811</v>
      </c>
      <c r="D253" s="6">
        <f t="shared" si="2"/>
        <v>75513.102</v>
      </c>
      <c r="E253" s="5">
        <f t="shared" si="1"/>
        <v>0.004616609068</v>
      </c>
    </row>
    <row r="254" ht="15.75" customHeight="1">
      <c r="B254" s="3">
        <v>43497.0</v>
      </c>
      <c r="C254" s="2">
        <v>120.582</v>
      </c>
      <c r="D254" s="6">
        <f t="shared" si="2"/>
        <v>75633.684</v>
      </c>
      <c r="E254" s="5">
        <f t="shared" si="1"/>
        <v>0.001595561888</v>
      </c>
    </row>
    <row r="255" ht="15.75" customHeight="1">
      <c r="B255" s="3">
        <v>43525.0</v>
      </c>
      <c r="C255" s="2">
        <v>34.654</v>
      </c>
      <c r="D255" s="6">
        <f t="shared" si="2"/>
        <v>75668.338</v>
      </c>
      <c r="E255" s="5">
        <f t="shared" si="1"/>
        <v>0.0004580771644</v>
      </c>
    </row>
    <row r="256" ht="15.75" customHeight="1">
      <c r="B256" s="3">
        <v>43556.0</v>
      </c>
      <c r="C256" s="2">
        <v>0.076</v>
      </c>
      <c r="D256" s="6">
        <f t="shared" si="2"/>
        <v>75668.414</v>
      </c>
      <c r="E256" s="5">
        <f t="shared" si="1"/>
        <v>0.000001004382597</v>
      </c>
    </row>
    <row r="257" ht="15.75" customHeight="1">
      <c r="B257" s="3">
        <v>43647.0</v>
      </c>
      <c r="C257" s="2">
        <v>0.769</v>
      </c>
      <c r="D257" s="6">
        <f t="shared" si="2"/>
        <v>75669.183</v>
      </c>
      <c r="E257" s="5">
        <f t="shared" si="1"/>
        <v>0.00001016270927</v>
      </c>
    </row>
    <row r="258" ht="15.75" customHeight="1">
      <c r="B258" s="3">
        <v>43678.0</v>
      </c>
      <c r="C258" s="2">
        <v>1.7</v>
      </c>
      <c r="D258" s="6">
        <f t="shared" si="2"/>
        <v>75670.883</v>
      </c>
      <c r="E258" s="5">
        <f t="shared" si="1"/>
        <v>0.00002246596087</v>
      </c>
    </row>
    <row r="259" ht="15.75" customHeight="1">
      <c r="B259" s="3">
        <v>43709.0</v>
      </c>
      <c r="C259" s="2">
        <v>-17.641</v>
      </c>
      <c r="D259" s="6">
        <f t="shared" si="2"/>
        <v>75653.242</v>
      </c>
      <c r="E259" s="5">
        <f t="shared" si="1"/>
        <v>-0.0002331551572</v>
      </c>
    </row>
    <row r="260" ht="15.75" customHeight="1">
      <c r="B260" s="3">
        <v>43739.0</v>
      </c>
      <c r="C260" s="2">
        <v>36.502</v>
      </c>
      <c r="D260" s="6">
        <f t="shared" si="2"/>
        <v>75689.744</v>
      </c>
      <c r="E260" s="5">
        <f t="shared" si="1"/>
        <v>0.0004823745279</v>
      </c>
    </row>
    <row r="261" ht="15.75" customHeight="1">
      <c r="B261" s="3">
        <v>43770.0</v>
      </c>
      <c r="C261" s="2">
        <v>47.631</v>
      </c>
      <c r="D261" s="6">
        <f t="shared" si="2"/>
        <v>75737.375</v>
      </c>
      <c r="E261" s="5">
        <f t="shared" si="1"/>
        <v>0.000629094734</v>
      </c>
    </row>
    <row r="262" ht="15.75" customHeight="1">
      <c r="B262" s="3" t="s">
        <v>153</v>
      </c>
      <c r="C262" s="2">
        <v>-23.797</v>
      </c>
      <c r="D262" s="6">
        <f t="shared" si="2"/>
        <v>75713.578</v>
      </c>
      <c r="E262" s="5">
        <f t="shared" si="1"/>
        <v>-0.000314253555</v>
      </c>
    </row>
    <row r="263" ht="15.75" customHeight="1">
      <c r="B263" s="3" t="s">
        <v>154</v>
      </c>
      <c r="C263" s="2">
        <v>-10.378</v>
      </c>
      <c r="D263" s="6">
        <f t="shared" si="2"/>
        <v>75703.2</v>
      </c>
      <c r="E263" s="5">
        <f t="shared" si="1"/>
        <v>-0.0001370786006</v>
      </c>
    </row>
    <row r="264" ht="15.75" customHeight="1">
      <c r="B264" s="3" t="s">
        <v>155</v>
      </c>
      <c r="C264" s="2">
        <v>330.004</v>
      </c>
      <c r="D264" s="6">
        <f t="shared" si="2"/>
        <v>76033.204</v>
      </c>
      <c r="E264" s="5">
        <f t="shared" si="1"/>
        <v>0.004349707936</v>
      </c>
    </row>
    <row r="265" ht="15.75" customHeight="1">
      <c r="B265" s="3" t="s">
        <v>156</v>
      </c>
      <c r="C265" s="2">
        <v>300.078</v>
      </c>
      <c r="D265" s="6">
        <f t="shared" si="2"/>
        <v>76333.282</v>
      </c>
      <c r="E265" s="5">
        <f t="shared" si="1"/>
        <v>0.003938902784</v>
      </c>
    </row>
    <row r="266" ht="15.75" customHeight="1">
      <c r="B266" s="3" t="s">
        <v>157</v>
      </c>
      <c r="C266" s="2">
        <v>18.425</v>
      </c>
      <c r="D266" s="6">
        <f t="shared" si="2"/>
        <v>76351.707</v>
      </c>
      <c r="E266" s="5">
        <f t="shared" si="1"/>
        <v>0.0002413465817</v>
      </c>
    </row>
    <row r="267" ht="15.75" customHeight="1">
      <c r="B267" s="3" t="s">
        <v>158</v>
      </c>
      <c r="C267" s="2">
        <v>0.028</v>
      </c>
      <c r="D267" s="6">
        <f t="shared" si="2"/>
        <v>76351.735</v>
      </c>
      <c r="E267" s="5">
        <f t="shared" si="1"/>
        <v>0.0000003667238884</v>
      </c>
    </row>
    <row r="268" ht="15.75" customHeight="1">
      <c r="B268" s="3" t="s">
        <v>159</v>
      </c>
      <c r="C268" s="2">
        <v>0.033</v>
      </c>
      <c r="D268" s="6">
        <f t="shared" si="2"/>
        <v>76351.768</v>
      </c>
      <c r="E268" s="5">
        <f t="shared" si="1"/>
        <v>0.0000004322101242</v>
      </c>
    </row>
    <row r="269" ht="15.75" customHeight="1">
      <c r="B269" s="3" t="s">
        <v>160</v>
      </c>
      <c r="C269" s="2">
        <v>92.255</v>
      </c>
      <c r="D269" s="6">
        <f t="shared" si="2"/>
        <v>76444.023</v>
      </c>
      <c r="E269" s="5">
        <f t="shared" si="1"/>
        <v>0.001207559588</v>
      </c>
    </row>
    <row r="270" ht="15.75" customHeight="1">
      <c r="B270" s="3" t="s">
        <v>161</v>
      </c>
      <c r="C270" s="2">
        <v>-36.348</v>
      </c>
      <c r="D270" s="6">
        <f t="shared" si="2"/>
        <v>76407.675</v>
      </c>
      <c r="E270" s="5">
        <f t="shared" si="1"/>
        <v>-0.0004755982585</v>
      </c>
    </row>
    <row r="271" ht="15.75" customHeight="1">
      <c r="B271" s="3" t="s">
        <v>162</v>
      </c>
      <c r="C271" s="2">
        <v>13.258</v>
      </c>
      <c r="D271" s="6">
        <f t="shared" si="2"/>
        <v>76420.933</v>
      </c>
      <c r="E271" s="5">
        <f t="shared" si="1"/>
        <v>0.000173501548</v>
      </c>
    </row>
    <row r="272" ht="15.75" customHeight="1">
      <c r="B272" s="3" t="s">
        <v>163</v>
      </c>
      <c r="C272" s="2">
        <v>42.772</v>
      </c>
      <c r="D272" s="6">
        <f t="shared" si="2"/>
        <v>76463.705</v>
      </c>
      <c r="E272" s="5">
        <f t="shared" si="1"/>
        <v>0.0005595330136</v>
      </c>
    </row>
    <row r="273" ht="15.75" customHeight="1">
      <c r="B273" s="3" t="s">
        <v>164</v>
      </c>
      <c r="C273" s="2">
        <v>85.312</v>
      </c>
      <c r="D273" s="6">
        <f t="shared" si="2"/>
        <v>76549.017</v>
      </c>
      <c r="E273" s="5">
        <f t="shared" si="1"/>
        <v>0.001115096937</v>
      </c>
    </row>
    <row r="274" ht="15.75" customHeight="1">
      <c r="B274" s="3" t="s">
        <v>165</v>
      </c>
      <c r="C274" s="2">
        <v>553.456</v>
      </c>
      <c r="D274" s="6">
        <f t="shared" si="2"/>
        <v>77102.473</v>
      </c>
      <c r="E274" s="5">
        <f t="shared" si="1"/>
        <v>0.007204074541</v>
      </c>
    </row>
    <row r="275" ht="15.75" customHeight="1">
      <c r="B275" s="3">
        <v>43467.0</v>
      </c>
      <c r="C275" s="2">
        <v>409.64</v>
      </c>
      <c r="D275" s="6">
        <f t="shared" si="2"/>
        <v>77512.113</v>
      </c>
      <c r="E275" s="5">
        <f t="shared" si="1"/>
        <v>0.005298865639</v>
      </c>
    </row>
    <row r="276" ht="15.75" customHeight="1">
      <c r="B276" s="3">
        <v>43557.0</v>
      </c>
      <c r="C276" s="2">
        <v>-92.896</v>
      </c>
      <c r="D276" s="6">
        <f t="shared" si="2"/>
        <v>77419.217</v>
      </c>
      <c r="E276" s="5">
        <f t="shared" si="1"/>
        <v>-0.001199189488</v>
      </c>
    </row>
    <row r="277" ht="15.75" customHeight="1">
      <c r="B277" s="3">
        <v>43587.0</v>
      </c>
      <c r="C277" s="2">
        <v>13.078</v>
      </c>
      <c r="D277" s="6">
        <f t="shared" si="2"/>
        <v>77432.295</v>
      </c>
      <c r="E277" s="5">
        <f t="shared" si="1"/>
        <v>0.0001689102013</v>
      </c>
    </row>
    <row r="278" ht="15.75" customHeight="1">
      <c r="B278" s="3">
        <v>43618.0</v>
      </c>
      <c r="C278" s="2">
        <v>-62.653</v>
      </c>
      <c r="D278" s="6">
        <f t="shared" si="2"/>
        <v>77369.642</v>
      </c>
      <c r="E278" s="5">
        <f t="shared" si="1"/>
        <v>-0.0008094601997</v>
      </c>
    </row>
    <row r="279" ht="15.75" customHeight="1">
      <c r="B279" s="3">
        <v>43648.0</v>
      </c>
      <c r="C279" s="2">
        <v>-118.857</v>
      </c>
      <c r="D279" s="6">
        <f t="shared" si="2"/>
        <v>77250.785</v>
      </c>
      <c r="E279" s="5">
        <f t="shared" si="1"/>
        <v>-0.001537403896</v>
      </c>
    </row>
    <row r="280" ht="15.75" customHeight="1">
      <c r="B280" s="3">
        <v>43679.0</v>
      </c>
      <c r="C280" s="2">
        <v>0.015</v>
      </c>
      <c r="D280" s="6">
        <f t="shared" si="2"/>
        <v>77250.8</v>
      </c>
      <c r="E280" s="5">
        <f t="shared" si="1"/>
        <v>0.0000001941727652</v>
      </c>
    </row>
    <row r="281" ht="15.75" customHeight="1">
      <c r="B281" s="3">
        <v>43771.0</v>
      </c>
      <c r="C281" s="2">
        <v>-130.216</v>
      </c>
      <c r="D281" s="6">
        <f t="shared" si="2"/>
        <v>77120.584</v>
      </c>
      <c r="E281" s="5">
        <f t="shared" si="1"/>
        <v>-0.001687048824</v>
      </c>
    </row>
    <row r="282" ht="15.75" customHeight="1">
      <c r="B282" s="3">
        <v>43801.0</v>
      </c>
      <c r="C282" s="2">
        <v>-105.369</v>
      </c>
      <c r="D282" s="6">
        <f t="shared" si="2"/>
        <v>77015.215</v>
      </c>
      <c r="E282" s="5">
        <f t="shared" si="1"/>
        <v>-0.001367223151</v>
      </c>
    </row>
    <row r="283" ht="15.75" customHeight="1">
      <c r="B283" s="3" t="s">
        <v>166</v>
      </c>
      <c r="C283" s="2">
        <v>454.298</v>
      </c>
      <c r="D283" s="6">
        <f t="shared" si="2"/>
        <v>77469.513</v>
      </c>
      <c r="E283" s="5">
        <f t="shared" si="1"/>
        <v>0.005881478583</v>
      </c>
    </row>
    <row r="284" ht="15.75" customHeight="1">
      <c r="B284" s="3" t="s">
        <v>167</v>
      </c>
      <c r="C284" s="2">
        <v>63.617</v>
      </c>
      <c r="D284" s="6">
        <f t="shared" si="2"/>
        <v>77533.13</v>
      </c>
      <c r="E284" s="5">
        <f t="shared" si="1"/>
        <v>0.0008208505654</v>
      </c>
    </row>
    <row r="285" ht="15.75" customHeight="1">
      <c r="B285" s="3" t="s">
        <v>168</v>
      </c>
      <c r="C285" s="2">
        <v>-25.055</v>
      </c>
      <c r="D285" s="6">
        <f t="shared" si="2"/>
        <v>77508.075</v>
      </c>
      <c r="E285" s="5">
        <f t="shared" si="1"/>
        <v>-0.0003232044052</v>
      </c>
    </row>
    <row r="286" ht="15.75" customHeight="1">
      <c r="B286" s="3" t="s">
        <v>169</v>
      </c>
      <c r="C286" s="2">
        <v>6.711</v>
      </c>
      <c r="D286" s="6">
        <f t="shared" si="2"/>
        <v>77514.786</v>
      </c>
      <c r="E286" s="5">
        <f t="shared" si="1"/>
        <v>0.00008658077861</v>
      </c>
    </row>
    <row r="287" ht="15.75" customHeight="1">
      <c r="B287" s="3" t="s">
        <v>170</v>
      </c>
      <c r="C287" s="2">
        <v>104.16</v>
      </c>
      <c r="D287" s="6">
        <f t="shared" si="2"/>
        <v>77618.946</v>
      </c>
      <c r="E287" s="5">
        <f t="shared" si="1"/>
        <v>0.001342841616</v>
      </c>
    </row>
    <row r="288" ht="15.75" customHeight="1">
      <c r="B288" s="3" t="s">
        <v>171</v>
      </c>
      <c r="C288" s="2">
        <v>25.954</v>
      </c>
      <c r="D288" s="6">
        <f t="shared" si="2"/>
        <v>77644.9</v>
      </c>
      <c r="E288" s="5">
        <f t="shared" si="1"/>
        <v>0.0003343212333</v>
      </c>
    </row>
    <row r="289" ht="15.75" customHeight="1">
      <c r="B289" s="3" t="s">
        <v>172</v>
      </c>
      <c r="C289" s="2">
        <v>12.75</v>
      </c>
      <c r="D289" s="6">
        <f t="shared" si="2"/>
        <v>77657.65</v>
      </c>
      <c r="E289" s="5">
        <f t="shared" si="1"/>
        <v>0.0001641956301</v>
      </c>
    </row>
    <row r="290" ht="15.75" customHeight="1">
      <c r="B290" s="3" t="s">
        <v>173</v>
      </c>
      <c r="C290" s="2">
        <v>1.014</v>
      </c>
      <c r="D290" s="6">
        <f t="shared" si="2"/>
        <v>77658.664</v>
      </c>
      <c r="E290" s="5">
        <f t="shared" si="1"/>
        <v>0.00001305722463</v>
      </c>
    </row>
    <row r="291" ht="15.75" customHeight="1">
      <c r="B291" s="3" t="s">
        <v>174</v>
      </c>
      <c r="C291" s="2">
        <v>-89.947</v>
      </c>
      <c r="D291" s="6">
        <f t="shared" si="2"/>
        <v>77568.717</v>
      </c>
      <c r="E291" s="5">
        <f t="shared" si="1"/>
        <v>-0.001158906496</v>
      </c>
    </row>
    <row r="292" ht="15.75" customHeight="1">
      <c r="B292" s="3" t="s">
        <v>175</v>
      </c>
      <c r="C292" s="2">
        <v>-70.617</v>
      </c>
      <c r="D292" s="6">
        <f t="shared" si="2"/>
        <v>77498.1</v>
      </c>
      <c r="E292" s="5">
        <f t="shared" si="1"/>
        <v>-0.0009107945368</v>
      </c>
    </row>
    <row r="293" ht="15.75" customHeight="1">
      <c r="B293" s="3" t="s">
        <v>176</v>
      </c>
      <c r="C293" s="2">
        <v>-186.019</v>
      </c>
      <c r="D293" s="6">
        <f t="shared" si="2"/>
        <v>77312.081</v>
      </c>
      <c r="E293" s="5">
        <f t="shared" si="1"/>
        <v>-0.002403189355</v>
      </c>
    </row>
    <row r="294" ht="15.75" customHeight="1">
      <c r="B294" s="3">
        <v>43468.0</v>
      </c>
      <c r="C294" s="2">
        <v>1.035</v>
      </c>
      <c r="D294" s="6">
        <f t="shared" si="2"/>
        <v>77313.116</v>
      </c>
      <c r="E294" s="5">
        <f t="shared" si="1"/>
        <v>0.00001338721011</v>
      </c>
    </row>
    <row r="295" ht="15.75" customHeight="1">
      <c r="B295" s="3">
        <v>43558.0</v>
      </c>
      <c r="C295" s="2">
        <v>33.122</v>
      </c>
      <c r="D295" s="6">
        <f t="shared" si="2"/>
        <v>77346.238</v>
      </c>
      <c r="E295" s="5">
        <f t="shared" si="1"/>
        <v>0.0004283219818</v>
      </c>
    </row>
    <row r="296" ht="15.75" customHeight="1">
      <c r="B296" s="3">
        <v>43588.0</v>
      </c>
      <c r="C296" s="2">
        <v>-113.62</v>
      </c>
      <c r="D296" s="6">
        <f t="shared" si="2"/>
        <v>77232.618</v>
      </c>
      <c r="E296" s="5">
        <f t="shared" si="1"/>
        <v>-0.001470059016</v>
      </c>
    </row>
    <row r="297" ht="15.75" customHeight="1">
      <c r="B297" s="3">
        <v>43619.0</v>
      </c>
      <c r="C297" s="2">
        <v>14.881</v>
      </c>
      <c r="D297" s="6">
        <f t="shared" si="2"/>
        <v>77247.499</v>
      </c>
      <c r="E297" s="5">
        <f t="shared" si="1"/>
        <v>0.0001926590986</v>
      </c>
    </row>
    <row r="298" ht="15.75" customHeight="1">
      <c r="B298" s="3">
        <v>43649.0</v>
      </c>
      <c r="C298" s="2">
        <v>-120.511</v>
      </c>
      <c r="D298" s="6">
        <f t="shared" si="2"/>
        <v>77126.988</v>
      </c>
      <c r="E298" s="5">
        <f t="shared" si="1"/>
        <v>-0.001561281619</v>
      </c>
    </row>
    <row r="299" ht="15.75" customHeight="1">
      <c r="B299" s="3">
        <v>43680.0</v>
      </c>
      <c r="C299" s="2">
        <v>-903.667</v>
      </c>
      <c r="D299" s="6">
        <f t="shared" si="2"/>
        <v>76223.321</v>
      </c>
      <c r="E299" s="5">
        <f t="shared" si="1"/>
        <v>-0.01178579249</v>
      </c>
    </row>
    <row r="300" ht="15.75" customHeight="1">
      <c r="B300" s="3">
        <v>43772.0</v>
      </c>
      <c r="C300" s="2">
        <v>-165.021</v>
      </c>
      <c r="D300" s="6">
        <f t="shared" si="2"/>
        <v>76058.3</v>
      </c>
      <c r="E300" s="5">
        <f t="shared" si="1"/>
        <v>-0.002167314263</v>
      </c>
    </row>
    <row r="301" ht="15.75" customHeight="1">
      <c r="B301" s="3">
        <v>43802.0</v>
      </c>
      <c r="C301" s="2">
        <v>38.627</v>
      </c>
      <c r="D301" s="6">
        <f t="shared" si="2"/>
        <v>76096.927</v>
      </c>
      <c r="E301" s="5">
        <f t="shared" si="1"/>
        <v>0.0005077315001</v>
      </c>
    </row>
    <row r="302" ht="15.75" customHeight="1">
      <c r="B302" s="3" t="s">
        <v>177</v>
      </c>
      <c r="C302" s="2">
        <v>2921.91</v>
      </c>
      <c r="D302" s="6">
        <f t="shared" si="2"/>
        <v>79018.837</v>
      </c>
      <c r="E302" s="5">
        <f t="shared" si="1"/>
        <v>0.03767838411</v>
      </c>
    </row>
    <row r="303" ht="15.75" customHeight="1">
      <c r="B303" s="3" t="s">
        <v>178</v>
      </c>
      <c r="C303" s="2">
        <v>60.478</v>
      </c>
      <c r="D303" s="6">
        <f t="shared" si="2"/>
        <v>79079.315</v>
      </c>
      <c r="E303" s="5">
        <f t="shared" si="1"/>
        <v>0.0007650690686</v>
      </c>
    </row>
    <row r="304" ht="15.75" customHeight="1">
      <c r="B304" s="3" t="s">
        <v>179</v>
      </c>
      <c r="C304" s="2">
        <v>1428.511</v>
      </c>
      <c r="D304" s="6">
        <f t="shared" si="2"/>
        <v>80507.826</v>
      </c>
      <c r="E304" s="5">
        <f t="shared" si="1"/>
        <v>0.01790306094</v>
      </c>
    </row>
    <row r="305" ht="15.75" customHeight="1">
      <c r="B305" s="3" t="s">
        <v>180</v>
      </c>
      <c r="C305" s="2">
        <v>223.872</v>
      </c>
      <c r="D305" s="6">
        <f t="shared" si="2"/>
        <v>80731.698</v>
      </c>
      <c r="E305" s="5">
        <f t="shared" si="1"/>
        <v>0.002776889168</v>
      </c>
    </row>
    <row r="306" ht="15.75" customHeight="1">
      <c r="B306" s="3" t="s">
        <v>181</v>
      </c>
      <c r="C306" s="2">
        <v>104.881</v>
      </c>
      <c r="D306" s="6">
        <f t="shared" si="2"/>
        <v>80836.579</v>
      </c>
      <c r="E306" s="5">
        <f t="shared" si="1"/>
        <v>0.001298287222</v>
      </c>
    </row>
    <row r="307" ht="15.75" customHeight="1">
      <c r="B307" s="3" t="s">
        <v>182</v>
      </c>
      <c r="C307" s="2">
        <v>-142.922</v>
      </c>
      <c r="D307" s="6">
        <f t="shared" si="2"/>
        <v>80693.657</v>
      </c>
      <c r="E307" s="5">
        <f t="shared" si="1"/>
        <v>-0.001769601046</v>
      </c>
    </row>
    <row r="308" ht="15.75" customHeight="1">
      <c r="B308" s="3" t="s">
        <v>183</v>
      </c>
      <c r="C308" s="2">
        <v>181.993</v>
      </c>
      <c r="D308" s="6">
        <f t="shared" si="2"/>
        <v>80875.65</v>
      </c>
      <c r="E308" s="5">
        <f t="shared" si="1"/>
        <v>0.002252817448</v>
      </c>
    </row>
    <row r="309" ht="15.75" customHeight="1">
      <c r="B309" s="3" t="s">
        <v>184</v>
      </c>
      <c r="C309" s="2">
        <v>-98.006</v>
      </c>
      <c r="D309" s="6">
        <f t="shared" si="2"/>
        <v>80777.644</v>
      </c>
      <c r="E309" s="5">
        <f t="shared" si="1"/>
        <v>-0.001212545808</v>
      </c>
    </row>
    <row r="310" ht="15.75" customHeight="1">
      <c r="B310" s="3" t="s">
        <v>185</v>
      </c>
      <c r="C310" s="2">
        <v>-198.718</v>
      </c>
      <c r="D310" s="6">
        <f t="shared" si="2"/>
        <v>80578.926</v>
      </c>
      <c r="E310" s="5">
        <f t="shared" si="1"/>
        <v>-0.00246309277</v>
      </c>
    </row>
    <row r="311" ht="15.75" customHeight="1">
      <c r="B311" s="3" t="s">
        <v>186</v>
      </c>
      <c r="C311" s="2">
        <v>27.873</v>
      </c>
      <c r="D311" s="6">
        <f t="shared" si="2"/>
        <v>80606.799</v>
      </c>
      <c r="E311" s="5">
        <f t="shared" si="1"/>
        <v>0.0003458494886</v>
      </c>
    </row>
    <row r="312" ht="15.75" customHeight="1">
      <c r="B312" s="3" t="s">
        <v>187</v>
      </c>
      <c r="C312" s="2">
        <v>55.049</v>
      </c>
      <c r="D312" s="6">
        <f t="shared" si="2"/>
        <v>80661.848</v>
      </c>
      <c r="E312" s="5">
        <f t="shared" si="1"/>
        <v>0.0006826993735</v>
      </c>
    </row>
    <row r="313" ht="15.75" customHeight="1">
      <c r="B313" s="3" t="s">
        <v>188</v>
      </c>
      <c r="C313" s="2">
        <v>154.541</v>
      </c>
      <c r="D313" s="6">
        <f t="shared" si="2"/>
        <v>80816.389</v>
      </c>
      <c r="E313" s="5">
        <f t="shared" si="1"/>
        <v>0.00191407895</v>
      </c>
    </row>
    <row r="314" ht="15.75" customHeight="1">
      <c r="B314" s="3" t="s">
        <v>189</v>
      </c>
      <c r="C314" s="2">
        <v>-70.67</v>
      </c>
      <c r="D314" s="6">
        <f t="shared" si="2"/>
        <v>80745.719</v>
      </c>
      <c r="E314" s="5">
        <f t="shared" si="1"/>
        <v>-0.0008748338999</v>
      </c>
    </row>
    <row r="315" ht="15.75" customHeight="1">
      <c r="B315" s="3">
        <v>43469.0</v>
      </c>
      <c r="C315" s="2">
        <v>1.423</v>
      </c>
      <c r="D315" s="6">
        <f t="shared" si="2"/>
        <v>80747.142</v>
      </c>
      <c r="E315" s="5">
        <f t="shared" si="1"/>
        <v>0.00001762307004</v>
      </c>
    </row>
    <row r="316" ht="15.75" customHeight="1">
      <c r="B316" s="3">
        <v>43500.0</v>
      </c>
      <c r="C316" s="2">
        <v>14.162</v>
      </c>
      <c r="D316" s="6">
        <f t="shared" si="2"/>
        <v>80761.304</v>
      </c>
      <c r="E316" s="5">
        <f t="shared" si="1"/>
        <v>0.000175371634</v>
      </c>
    </row>
    <row r="317" ht="15.75" customHeight="1">
      <c r="B317" s="3">
        <v>43528.0</v>
      </c>
      <c r="C317" s="2">
        <v>39.427</v>
      </c>
      <c r="D317" s="6">
        <f t="shared" si="2"/>
        <v>80800.731</v>
      </c>
      <c r="E317" s="5">
        <f t="shared" si="1"/>
        <v>0.0004880725943</v>
      </c>
    </row>
    <row r="318" ht="15.75" customHeight="1">
      <c r="B318" s="3">
        <v>43559.0</v>
      </c>
      <c r="C318" s="2">
        <v>13.644</v>
      </c>
      <c r="D318" s="6">
        <f t="shared" si="2"/>
        <v>80814.375</v>
      </c>
      <c r="E318" s="5">
        <f t="shared" si="1"/>
        <v>0.0001688456032</v>
      </c>
    </row>
    <row r="319" ht="15.75" customHeight="1">
      <c r="B319" s="3">
        <v>43589.0</v>
      </c>
      <c r="C319" s="2">
        <v>6.594</v>
      </c>
      <c r="D319" s="6">
        <f t="shared" si="2"/>
        <v>80820.969</v>
      </c>
      <c r="E319" s="5">
        <f t="shared" si="1"/>
        <v>0.00008159106592</v>
      </c>
    </row>
    <row r="320" ht="15.75" customHeight="1">
      <c r="B320" s="3">
        <v>43681.0</v>
      </c>
      <c r="C320" s="2">
        <v>47.388</v>
      </c>
      <c r="D320" s="6">
        <f t="shared" si="2"/>
        <v>80868.357</v>
      </c>
      <c r="E320" s="5">
        <f t="shared" si="1"/>
        <v>0.0005861611589</v>
      </c>
    </row>
    <row r="321" ht="15.75" customHeight="1">
      <c r="B321" s="3">
        <v>43712.0</v>
      </c>
      <c r="C321" s="2">
        <v>23.804</v>
      </c>
      <c r="D321" s="6">
        <f t="shared" si="2"/>
        <v>80892.161</v>
      </c>
      <c r="E321" s="5">
        <f t="shared" si="1"/>
        <v>0.0002943116215</v>
      </c>
    </row>
    <row r="322" ht="15.75" customHeight="1">
      <c r="B322" s="3">
        <v>43742.0</v>
      </c>
      <c r="C322" s="2">
        <v>-51.987</v>
      </c>
      <c r="D322" s="6">
        <f t="shared" si="2"/>
        <v>80840.174</v>
      </c>
      <c r="E322" s="5">
        <f t="shared" si="1"/>
        <v>-0.0006428770325</v>
      </c>
    </row>
    <row r="323" ht="15.75" customHeight="1">
      <c r="B323" s="3">
        <v>43773.0</v>
      </c>
      <c r="C323" s="2">
        <v>516.673</v>
      </c>
      <c r="D323" s="6">
        <f t="shared" si="2"/>
        <v>81356.847</v>
      </c>
      <c r="E323" s="5">
        <f t="shared" si="1"/>
        <v>0.006370952369</v>
      </c>
    </row>
    <row r="324" ht="15.75" customHeight="1">
      <c r="B324" s="3">
        <v>43803.0</v>
      </c>
      <c r="C324" s="2">
        <v>285.481</v>
      </c>
      <c r="D324" s="6">
        <f t="shared" si="2"/>
        <v>81642.328</v>
      </c>
      <c r="E324" s="5">
        <f t="shared" si="1"/>
        <v>0.003502855667</v>
      </c>
    </row>
    <row r="325" ht="15.75" customHeight="1">
      <c r="B325" s="3" t="s">
        <v>190</v>
      </c>
      <c r="C325" s="2">
        <v>66.714</v>
      </c>
      <c r="D325" s="6">
        <f t="shared" si="2"/>
        <v>81709.042</v>
      </c>
      <c r="E325" s="5">
        <f t="shared" si="1"/>
        <v>0.000816815968</v>
      </c>
    </row>
    <row r="326" ht="15.75" customHeight="1">
      <c r="B326" s="3" t="s">
        <v>191</v>
      </c>
      <c r="C326" s="2">
        <v>54.082</v>
      </c>
      <c r="D326" s="6">
        <f t="shared" si="2"/>
        <v>81763.124</v>
      </c>
      <c r="E326" s="5">
        <f t="shared" si="1"/>
        <v>0.000661666182</v>
      </c>
    </row>
    <row r="327" ht="15.75" customHeight="1">
      <c r="B327" s="3" t="s">
        <v>192</v>
      </c>
      <c r="C327" s="2">
        <v>286.84</v>
      </c>
      <c r="D327" s="6">
        <f t="shared" si="2"/>
        <v>82049.964</v>
      </c>
      <c r="E327" s="5">
        <f t="shared" si="1"/>
        <v>0.00350204366</v>
      </c>
    </row>
    <row r="328" ht="15.75" customHeight="1">
      <c r="B328" s="3" t="s">
        <v>193</v>
      </c>
      <c r="C328" s="2">
        <v>-92.589</v>
      </c>
      <c r="D328" s="6">
        <f t="shared" si="2"/>
        <v>81957.375</v>
      </c>
      <c r="E328" s="5">
        <f t="shared" si="1"/>
        <v>-0.00112908374</v>
      </c>
    </row>
    <row r="329" ht="15.75" customHeight="1">
      <c r="B329" s="3" t="s">
        <v>194</v>
      </c>
      <c r="C329" s="2">
        <v>-26.561</v>
      </c>
      <c r="D329" s="6">
        <f t="shared" si="2"/>
        <v>81930.814</v>
      </c>
      <c r="E329" s="5">
        <f t="shared" si="1"/>
        <v>-0.0003241356243</v>
      </c>
    </row>
    <row r="330" ht="15.75" customHeight="1">
      <c r="B330" s="3" t="s">
        <v>195</v>
      </c>
      <c r="C330" s="2">
        <v>-119.551</v>
      </c>
      <c r="D330" s="6">
        <f t="shared" si="2"/>
        <v>81811.263</v>
      </c>
      <c r="E330" s="5">
        <f t="shared" si="1"/>
        <v>-0.001460235798</v>
      </c>
    </row>
    <row r="331" ht="15.75" customHeight="1">
      <c r="B331" s="3" t="s">
        <v>196</v>
      </c>
      <c r="C331" s="2">
        <v>79.631</v>
      </c>
      <c r="D331" s="6">
        <f t="shared" si="2"/>
        <v>81890.894</v>
      </c>
      <c r="E331" s="5">
        <f t="shared" si="1"/>
        <v>0.0009728766895</v>
      </c>
    </row>
    <row r="332" ht="15.75" customHeight="1">
      <c r="B332" s="3" t="s">
        <v>197</v>
      </c>
      <c r="C332" s="2">
        <v>-12.058</v>
      </c>
      <c r="D332" s="6">
        <f t="shared" si="2"/>
        <v>81878.836</v>
      </c>
      <c r="E332" s="5">
        <f t="shared" si="1"/>
        <v>-0.0001472555401</v>
      </c>
    </row>
    <row r="333" ht="15.75" customHeight="1">
      <c r="B333" s="3" t="s">
        <v>198</v>
      </c>
      <c r="C333" s="2">
        <v>2.491</v>
      </c>
      <c r="D333" s="6">
        <f t="shared" si="2"/>
        <v>81881.327</v>
      </c>
      <c r="E333" s="5">
        <f t="shared" si="1"/>
        <v>0.00003042253933</v>
      </c>
    </row>
    <row r="334" ht="15.75" customHeight="1">
      <c r="B334" s="3" t="s">
        <v>199</v>
      </c>
      <c r="C334" s="2">
        <v>0.799</v>
      </c>
      <c r="D334" s="6">
        <f t="shared" si="2"/>
        <v>81882.126</v>
      </c>
      <c r="E334" s="5">
        <f t="shared" si="1"/>
        <v>0.000009757976952</v>
      </c>
    </row>
    <row r="335" ht="15.75" customHeight="1">
      <c r="B335" s="3" t="s">
        <v>200</v>
      </c>
      <c r="C335" s="2">
        <v>88.934</v>
      </c>
      <c r="D335" s="6">
        <f t="shared" si="2"/>
        <v>81971.06</v>
      </c>
      <c r="E335" s="5">
        <f t="shared" si="1"/>
        <v>0.001085532859</v>
      </c>
    </row>
    <row r="336" ht="15.75" customHeight="1">
      <c r="B336" s="3">
        <v>43470.0</v>
      </c>
      <c r="C336" s="2">
        <v>69.318</v>
      </c>
      <c r="D336" s="6">
        <f t="shared" si="2"/>
        <v>82040.378</v>
      </c>
      <c r="E336" s="5">
        <f t="shared" si="1"/>
        <v>0.0008452825604</v>
      </c>
    </row>
    <row r="337" ht="15.75" customHeight="1">
      <c r="B337" s="3">
        <v>43501.0</v>
      </c>
      <c r="C337" s="2">
        <v>245.68</v>
      </c>
      <c r="D337" s="6">
        <f t="shared" si="2"/>
        <v>82286.058</v>
      </c>
      <c r="E337" s="5">
        <f t="shared" si="1"/>
        <v>0.002990148013</v>
      </c>
    </row>
    <row r="338" ht="15.75" customHeight="1">
      <c r="B338" s="3">
        <v>43529.0</v>
      </c>
      <c r="C338" s="2">
        <v>42.772</v>
      </c>
      <c r="D338" s="6">
        <f t="shared" si="2"/>
        <v>82328.83</v>
      </c>
      <c r="E338" s="5">
        <f t="shared" si="1"/>
        <v>0.0005196613925</v>
      </c>
    </row>
    <row r="339" ht="15.75" customHeight="1">
      <c r="B339" s="3">
        <v>43621.0</v>
      </c>
      <c r="C339" s="2">
        <v>17.172</v>
      </c>
      <c r="D339" s="6">
        <f t="shared" si="2"/>
        <v>82346.002</v>
      </c>
      <c r="E339" s="5">
        <f t="shared" si="1"/>
        <v>0.0002085564607</v>
      </c>
    </row>
    <row r="340" ht="15.75" customHeight="1">
      <c r="B340" s="3">
        <v>43651.0</v>
      </c>
      <c r="C340" s="2">
        <v>201.248</v>
      </c>
      <c r="D340" s="6">
        <f t="shared" si="2"/>
        <v>82547.25</v>
      </c>
      <c r="E340" s="5">
        <f t="shared" si="1"/>
        <v>0.002440950099</v>
      </c>
    </row>
    <row r="341" ht="15.75" customHeight="1">
      <c r="B341" s="3">
        <v>43682.0</v>
      </c>
      <c r="C341" s="2">
        <v>154.802</v>
      </c>
      <c r="D341" s="6">
        <f t="shared" si="2"/>
        <v>82702.052</v>
      </c>
      <c r="E341" s="5">
        <f t="shared" si="1"/>
        <v>0.00187355763</v>
      </c>
    </row>
    <row r="342" ht="15.75" customHeight="1">
      <c r="B342" s="3">
        <v>43713.0</v>
      </c>
      <c r="C342" s="2">
        <v>107.243</v>
      </c>
      <c r="D342" s="6">
        <f t="shared" si="2"/>
        <v>82809.295</v>
      </c>
      <c r="E342" s="5">
        <f t="shared" si="1"/>
        <v>0.001295899247</v>
      </c>
    </row>
    <row r="343" ht="15.75" customHeight="1">
      <c r="B343" s="3">
        <v>43743.0</v>
      </c>
      <c r="C343" s="2">
        <v>-802.92</v>
      </c>
      <c r="D343" s="6">
        <f t="shared" si="2"/>
        <v>82006.375</v>
      </c>
      <c r="E343" s="5">
        <f t="shared" si="1"/>
        <v>-0.0097433254</v>
      </c>
    </row>
    <row r="344" ht="15.75" customHeight="1">
      <c r="B344" s="3" t="s">
        <v>201</v>
      </c>
      <c r="C344" s="2">
        <v>129.594</v>
      </c>
      <c r="D344" s="6">
        <f t="shared" si="2"/>
        <v>82135.969</v>
      </c>
      <c r="E344" s="5">
        <f t="shared" si="1"/>
        <v>0.001579044429</v>
      </c>
    </row>
    <row r="345" ht="15.75" customHeight="1">
      <c r="B345" s="3" t="s">
        <v>202</v>
      </c>
      <c r="C345" s="2">
        <v>118.318</v>
      </c>
      <c r="D345" s="6">
        <f t="shared" si="2"/>
        <v>82254.287</v>
      </c>
      <c r="E345" s="5">
        <f t="shared" si="1"/>
        <v>0.001439477294</v>
      </c>
    </row>
    <row r="346" ht="15.75" customHeight="1">
      <c r="B346" s="3" t="s">
        <v>203</v>
      </c>
      <c r="C346" s="2">
        <v>-99.96</v>
      </c>
      <c r="D346" s="6">
        <f t="shared" si="2"/>
        <v>82154.327</v>
      </c>
      <c r="E346" s="5">
        <f t="shared" si="1"/>
        <v>-0.00121599483</v>
      </c>
    </row>
    <row r="347" ht="15.75" customHeight="1">
      <c r="B347" s="3" t="s">
        <v>204</v>
      </c>
      <c r="C347" s="2">
        <v>119.657</v>
      </c>
      <c r="D347" s="6">
        <f t="shared" si="2"/>
        <v>82273.984</v>
      </c>
      <c r="E347" s="5">
        <f t="shared" si="1"/>
        <v>0.001455430885</v>
      </c>
    </row>
    <row r="348" ht="15.75" customHeight="1">
      <c r="B348" s="3" t="s">
        <v>205</v>
      </c>
      <c r="C348" s="2">
        <v>-54.304</v>
      </c>
      <c r="D348" s="6">
        <f t="shared" si="2"/>
        <v>82219.68</v>
      </c>
      <c r="E348" s="5">
        <f t="shared" si="1"/>
        <v>-0.0006602564579</v>
      </c>
    </row>
    <row r="349" ht="15.75" customHeight="1">
      <c r="B349" s="3" t="s">
        <v>206</v>
      </c>
      <c r="C349" s="2">
        <v>10.344</v>
      </c>
      <c r="D349" s="6">
        <f t="shared" si="2"/>
        <v>82230.024</v>
      </c>
      <c r="E349" s="5">
        <f t="shared" si="1"/>
        <v>0.000125801382</v>
      </c>
    </row>
    <row r="350" ht="15.75" customHeight="1">
      <c r="B350" s="3" t="s">
        <v>207</v>
      </c>
      <c r="C350" s="2">
        <v>29.432</v>
      </c>
      <c r="D350" s="6">
        <f t="shared" si="2"/>
        <v>82259.456</v>
      </c>
      <c r="E350" s="5">
        <f t="shared" si="1"/>
        <v>0.0003578587556</v>
      </c>
    </row>
    <row r="351" ht="15.75" customHeight="1">
      <c r="B351" s="3" t="s">
        <v>208</v>
      </c>
      <c r="C351" s="2">
        <v>-11.208</v>
      </c>
      <c r="D351" s="6">
        <f t="shared" si="2"/>
        <v>82248.248</v>
      </c>
      <c r="E351" s="5">
        <f t="shared" si="1"/>
        <v>-0.0001362610959</v>
      </c>
    </row>
    <row r="352" ht="15.75" customHeight="1">
      <c r="B352" s="3" t="s">
        <v>209</v>
      </c>
      <c r="C352" s="2">
        <v>-173.29</v>
      </c>
      <c r="D352" s="6">
        <f t="shared" si="2"/>
        <v>82074.958</v>
      </c>
      <c r="E352" s="5">
        <f t="shared" si="1"/>
        <v>-0.002109136846</v>
      </c>
    </row>
    <row r="353" ht="15.75" customHeight="1">
      <c r="B353" s="3" t="s">
        <v>210</v>
      </c>
      <c r="C353" s="2">
        <v>59.863</v>
      </c>
      <c r="D353" s="6">
        <f t="shared" si="2"/>
        <v>82134.821</v>
      </c>
      <c r="E353" s="5">
        <f t="shared" si="1"/>
        <v>0.0007291039914</v>
      </c>
    </row>
    <row r="354" ht="15.75" customHeight="1">
      <c r="B354" s="3" t="s">
        <v>211</v>
      </c>
      <c r="C354" s="2">
        <v>-49.96</v>
      </c>
      <c r="D354" s="6">
        <f t="shared" si="2"/>
        <v>82084.861</v>
      </c>
      <c r="E354" s="5">
        <f t="shared" si="1"/>
        <v>-0.0006084532735</v>
      </c>
    </row>
    <row r="355" ht="15.75" customHeight="1">
      <c r="B355" s="3" t="s">
        <v>212</v>
      </c>
      <c r="C355" s="2">
        <v>46.618</v>
      </c>
      <c r="D355" s="6">
        <f t="shared" si="2"/>
        <v>82131.479</v>
      </c>
      <c r="E355" s="5">
        <f t="shared" si="1"/>
        <v>0.0005677632476</v>
      </c>
    </row>
    <row r="356" ht="15.75" customHeight="1">
      <c r="B356" s="3" t="s">
        <v>213</v>
      </c>
      <c r="C356" s="2">
        <v>-68.164</v>
      </c>
      <c r="D356" s="6">
        <f t="shared" si="2"/>
        <v>82063.315</v>
      </c>
      <c r="E356" s="5">
        <f t="shared" si="1"/>
        <v>-0.0008302821576</v>
      </c>
    </row>
    <row r="357" ht="15.75" customHeight="1">
      <c r="B357" s="3" t="s">
        <v>214</v>
      </c>
      <c r="C357" s="2">
        <v>145.303</v>
      </c>
      <c r="D357" s="6">
        <f t="shared" si="2"/>
        <v>82208.618</v>
      </c>
      <c r="E357" s="5">
        <f t="shared" si="1"/>
        <v>0.001769054947</v>
      </c>
    </row>
    <row r="358" ht="15.75" customHeight="1">
      <c r="B358" s="3">
        <v>43530.0</v>
      </c>
      <c r="C358" s="2">
        <v>165.643</v>
      </c>
      <c r="D358" s="6">
        <f t="shared" si="2"/>
        <v>82374.261</v>
      </c>
      <c r="E358" s="5">
        <f t="shared" si="1"/>
        <v>0.002012883198</v>
      </c>
    </row>
    <row r="359" ht="15.75" customHeight="1">
      <c r="B359" s="3">
        <v>43561.0</v>
      </c>
      <c r="C359" s="2">
        <v>70.372</v>
      </c>
      <c r="D359" s="6">
        <f t="shared" si="2"/>
        <v>82444.633</v>
      </c>
      <c r="E359" s="5">
        <f t="shared" si="1"/>
        <v>0.0008539312765</v>
      </c>
    </row>
    <row r="360" ht="15.75" customHeight="1">
      <c r="B360" s="3">
        <v>43591.0</v>
      </c>
      <c r="C360" s="2">
        <v>53.115</v>
      </c>
      <c r="D360" s="6">
        <f t="shared" si="2"/>
        <v>82497.748</v>
      </c>
      <c r="E360" s="5">
        <f t="shared" si="1"/>
        <v>0.0006440431078</v>
      </c>
    </row>
    <row r="361" ht="15.75" customHeight="1">
      <c r="B361" s="3">
        <v>43622.0</v>
      </c>
      <c r="C361" s="2">
        <v>329.538</v>
      </c>
      <c r="D361" s="6">
        <f t="shared" si="2"/>
        <v>82827.286</v>
      </c>
      <c r="E361" s="5">
        <f t="shared" si="1"/>
        <v>0.003986552169</v>
      </c>
    </row>
    <row r="362" ht="15.75" customHeight="1">
      <c r="B362" s="3">
        <v>43652.0</v>
      </c>
      <c r="C362" s="2">
        <v>56.616</v>
      </c>
      <c r="D362" s="6">
        <f t="shared" si="2"/>
        <v>82883.902</v>
      </c>
      <c r="E362" s="5">
        <f t="shared" si="1"/>
        <v>0.0006833093515</v>
      </c>
    </row>
    <row r="363" ht="15.75" customHeight="1">
      <c r="B363" s="3">
        <v>43744.0</v>
      </c>
      <c r="C363" s="2">
        <v>106.711</v>
      </c>
      <c r="D363" s="6">
        <f t="shared" si="2"/>
        <v>82990.613</v>
      </c>
      <c r="E363" s="5">
        <f t="shared" si="1"/>
        <v>0.001286647496</v>
      </c>
    </row>
    <row r="364" ht="15.75" customHeight="1">
      <c r="B364" s="3">
        <v>43775.0</v>
      </c>
      <c r="C364" s="2">
        <v>3.236</v>
      </c>
      <c r="D364" s="6">
        <f t="shared" si="2"/>
        <v>82993.849</v>
      </c>
      <c r="E364" s="5">
        <f t="shared" si="1"/>
        <v>0.00003899160152</v>
      </c>
    </row>
    <row r="365" ht="15.75" customHeight="1">
      <c r="B365" s="3">
        <v>43805.0</v>
      </c>
      <c r="C365" s="2">
        <v>44.1</v>
      </c>
      <c r="D365" s="6">
        <f t="shared" si="2"/>
        <v>83037.949</v>
      </c>
      <c r="E365" s="5">
        <f t="shared" si="1"/>
        <v>0.0005312235556</v>
      </c>
    </row>
    <row r="366" ht="15.75" customHeight="1">
      <c r="B366" s="3" t="s">
        <v>215</v>
      </c>
      <c r="C366" s="2">
        <v>-22.587</v>
      </c>
      <c r="D366" s="6">
        <f t="shared" si="2"/>
        <v>83015.362</v>
      </c>
      <c r="E366" s="5">
        <f t="shared" si="1"/>
        <v>-0.0002720451643</v>
      </c>
    </row>
    <row r="367" ht="15.75" customHeight="1">
      <c r="B367" s="3" t="s">
        <v>216</v>
      </c>
      <c r="C367" s="2">
        <v>139.483</v>
      </c>
      <c r="D367" s="6">
        <f t="shared" si="2"/>
        <v>83154.845</v>
      </c>
      <c r="E367" s="5">
        <f t="shared" si="1"/>
        <v>0.001678797123</v>
      </c>
    </row>
    <row r="368" ht="15.75" customHeight="1">
      <c r="B368" s="3" t="s">
        <v>217</v>
      </c>
      <c r="C368" s="2">
        <v>128.978</v>
      </c>
      <c r="D368" s="6">
        <f t="shared" si="2"/>
        <v>83283.823</v>
      </c>
      <c r="E368" s="5">
        <f t="shared" si="1"/>
        <v>0.001549856501</v>
      </c>
    </row>
    <row r="369" ht="15.75" customHeight="1">
      <c r="B369" s="3" t="s">
        <v>218</v>
      </c>
      <c r="C369" s="2">
        <v>55.254</v>
      </c>
      <c r="D369" s="6">
        <f t="shared" si="2"/>
        <v>83339.077</v>
      </c>
      <c r="E369" s="5">
        <f t="shared" si="1"/>
        <v>0.0006632221865</v>
      </c>
    </row>
    <row r="370" ht="15.75" customHeight="1">
      <c r="B370" s="3" t="s">
        <v>219</v>
      </c>
      <c r="C370" s="2">
        <v>35.696</v>
      </c>
      <c r="D370" s="6">
        <f t="shared" si="2"/>
        <v>83374.773</v>
      </c>
      <c r="E370" s="5">
        <f t="shared" si="1"/>
        <v>0.0004282307744</v>
      </c>
    </row>
    <row r="371" ht="15.75" customHeight="1">
      <c r="B371" s="3" t="s">
        <v>220</v>
      </c>
      <c r="C371" s="2">
        <v>559.108</v>
      </c>
      <c r="D371" s="6">
        <f t="shared" si="2"/>
        <v>83933.881</v>
      </c>
      <c r="E371" s="5">
        <f t="shared" si="1"/>
        <v>0.006683576347</v>
      </c>
    </row>
    <row r="372" ht="15.75" customHeight="1">
      <c r="B372" s="3" t="s">
        <v>221</v>
      </c>
      <c r="C372" s="2">
        <v>95.751</v>
      </c>
      <c r="D372" s="6">
        <f t="shared" si="2"/>
        <v>84029.632</v>
      </c>
      <c r="E372" s="5">
        <f t="shared" si="1"/>
        <v>0.001140140602</v>
      </c>
    </row>
    <row r="373" ht="15.75" customHeight="1">
      <c r="B373" s="3" t="s">
        <v>222</v>
      </c>
      <c r="C373" s="2">
        <v>-415.355</v>
      </c>
      <c r="D373" s="6">
        <f t="shared" si="2"/>
        <v>83614.277</v>
      </c>
      <c r="E373" s="5">
        <f t="shared" si="1"/>
        <v>-0.00495521552</v>
      </c>
    </row>
    <row r="374" ht="15.75" customHeight="1">
      <c r="B374" s="3" t="s">
        <v>223</v>
      </c>
      <c r="C374" s="2">
        <v>65.33</v>
      </c>
      <c r="D374" s="6">
        <f t="shared" si="2"/>
        <v>83679.607</v>
      </c>
      <c r="E374" s="5">
        <f t="shared" si="1"/>
        <v>0.0007810208211</v>
      </c>
    </row>
    <row r="375" ht="15.75" customHeight="1">
      <c r="B375" s="3" t="s">
        <v>224</v>
      </c>
      <c r="C375" s="2">
        <v>35.64</v>
      </c>
      <c r="D375" s="6">
        <f t="shared" si="2"/>
        <v>83715.247</v>
      </c>
      <c r="E375" s="5">
        <f t="shared" si="1"/>
        <v>0.0004258195481</v>
      </c>
    </row>
    <row r="376" ht="15.75" customHeight="1">
      <c r="B376" s="3" t="s">
        <v>225</v>
      </c>
      <c r="C376" s="2">
        <v>971.863</v>
      </c>
      <c r="D376" s="6">
        <f t="shared" si="2"/>
        <v>84687.11</v>
      </c>
      <c r="E376" s="5">
        <f t="shared" si="1"/>
        <v>0.01154228251</v>
      </c>
    </row>
    <row r="377" ht="15.75" customHeight="1">
      <c r="B377" s="3" t="s">
        <v>226</v>
      </c>
      <c r="C377" s="2">
        <v>0.0</v>
      </c>
      <c r="D377" s="6">
        <f t="shared" si="2"/>
        <v>84687.11</v>
      </c>
      <c r="E377" s="5">
        <f t="shared" si="1"/>
        <v>0</v>
      </c>
    </row>
    <row r="378" ht="15.75" customHeight="1">
      <c r="B378" s="3">
        <v>43472.0</v>
      </c>
      <c r="C378" s="2">
        <v>-760.857</v>
      </c>
      <c r="D378" s="6">
        <f t="shared" si="2"/>
        <v>83926.253</v>
      </c>
      <c r="E378" s="5">
        <f t="shared" si="1"/>
        <v>-0.009024933146</v>
      </c>
    </row>
    <row r="379" ht="15.75" customHeight="1">
      <c r="B379" s="3">
        <v>43503.0</v>
      </c>
      <c r="C379" s="2">
        <v>201.863</v>
      </c>
      <c r="D379" s="6">
        <f t="shared" si="2"/>
        <v>84128.116</v>
      </c>
      <c r="E379" s="5">
        <f t="shared" si="1"/>
        <v>0.002402354646</v>
      </c>
    </row>
    <row r="380" ht="15.75" customHeight="1">
      <c r="B380" s="3">
        <v>43531.0</v>
      </c>
      <c r="C380" s="2">
        <v>39.49</v>
      </c>
      <c r="D380" s="6">
        <f t="shared" si="2"/>
        <v>84167.606</v>
      </c>
      <c r="E380" s="5">
        <f t="shared" si="1"/>
        <v>0.0004692929833</v>
      </c>
    </row>
    <row r="381" ht="15.75" customHeight="1">
      <c r="B381" s="3">
        <v>43592.0</v>
      </c>
      <c r="C381" s="2">
        <v>-49.614</v>
      </c>
      <c r="D381" s="6">
        <f t="shared" si="2"/>
        <v>84117.992</v>
      </c>
      <c r="E381" s="5">
        <f t="shared" si="1"/>
        <v>-0.0005896404924</v>
      </c>
    </row>
    <row r="382" ht="15.75" customHeight="1">
      <c r="B382" s="3">
        <v>43684.0</v>
      </c>
      <c r="C382" s="2">
        <v>269.576</v>
      </c>
      <c r="D382" s="6">
        <f t="shared" si="2"/>
        <v>84387.568</v>
      </c>
      <c r="E382" s="5">
        <f t="shared" si="1"/>
        <v>0.003199612286</v>
      </c>
    </row>
    <row r="383" ht="15.75" customHeight="1">
      <c r="B383" s="3">
        <v>43715.0</v>
      </c>
      <c r="C383" s="2">
        <v>276.288</v>
      </c>
      <c r="D383" s="6">
        <f t="shared" si="2"/>
        <v>84663.856</v>
      </c>
      <c r="E383" s="5">
        <f t="shared" si="1"/>
        <v>0.003268688775</v>
      </c>
    </row>
    <row r="384" ht="15.75" customHeight="1">
      <c r="B384" s="3">
        <v>43745.0</v>
      </c>
      <c r="C384" s="2">
        <v>124.773</v>
      </c>
      <c r="D384" s="6">
        <f t="shared" si="2"/>
        <v>84788.629</v>
      </c>
      <c r="E384" s="5">
        <f t="shared" si="1"/>
        <v>0.001472660877</v>
      </c>
    </row>
    <row r="385" ht="15.75" customHeight="1">
      <c r="B385" s="3">
        <v>43776.0</v>
      </c>
      <c r="C385" s="2">
        <v>86.3</v>
      </c>
      <c r="D385" s="6">
        <f t="shared" si="2"/>
        <v>84874.929</v>
      </c>
      <c r="E385" s="5">
        <f t="shared" si="1"/>
        <v>0.001017307529</v>
      </c>
    </row>
    <row r="386" ht="15.75" customHeight="1">
      <c r="B386" s="3">
        <v>43806.0</v>
      </c>
      <c r="C386" s="2">
        <v>58.623</v>
      </c>
      <c r="D386" s="6">
        <f t="shared" si="2"/>
        <v>84933.552</v>
      </c>
      <c r="E386" s="5">
        <f t="shared" si="1"/>
        <v>0.0006904602407</v>
      </c>
    </row>
    <row r="387" ht="15.75" customHeight="1">
      <c r="B387" s="3" t="s">
        <v>227</v>
      </c>
      <c r="C387" s="2">
        <v>174.539</v>
      </c>
      <c r="D387" s="6">
        <f t="shared" si="2"/>
        <v>85108.091</v>
      </c>
      <c r="E387" s="5">
        <f t="shared" si="1"/>
        <v>0.002052897846</v>
      </c>
    </row>
    <row r="388" ht="15.75" customHeight="1">
      <c r="B388" s="3" t="s">
        <v>228</v>
      </c>
      <c r="C388" s="2">
        <v>215.842</v>
      </c>
      <c r="D388" s="6">
        <f t="shared" si="2"/>
        <v>85323.933</v>
      </c>
      <c r="E388" s="5">
        <f t="shared" si="1"/>
        <v>0.002532882147</v>
      </c>
    </row>
    <row r="389" ht="15.75" customHeight="1">
      <c r="B389" s="3" t="s">
        <v>229</v>
      </c>
      <c r="C389" s="2">
        <v>63.145</v>
      </c>
      <c r="D389" s="6">
        <f t="shared" si="2"/>
        <v>85387.078</v>
      </c>
      <c r="E389" s="5">
        <f t="shared" si="1"/>
        <v>0.0007397882833</v>
      </c>
    </row>
    <row r="390" ht="15.75" customHeight="1">
      <c r="B390" s="3" t="s">
        <v>230</v>
      </c>
      <c r="C390" s="2">
        <v>107.101</v>
      </c>
      <c r="D390" s="6">
        <f t="shared" si="2"/>
        <v>85494.179</v>
      </c>
      <c r="E390" s="5">
        <f t="shared" si="1"/>
        <v>0.001253513883</v>
      </c>
    </row>
    <row r="391" ht="15.75" customHeight="1">
      <c r="B391" s="3" t="s">
        <v>231</v>
      </c>
      <c r="C391" s="2">
        <v>-137.824</v>
      </c>
      <c r="D391" s="6">
        <f t="shared" si="2"/>
        <v>85356.355</v>
      </c>
      <c r="E391" s="5">
        <f t="shared" si="1"/>
        <v>-0.001613387171</v>
      </c>
    </row>
    <row r="392" ht="15.75" customHeight="1">
      <c r="B392" s="3" t="s">
        <v>232</v>
      </c>
      <c r="C392" s="2">
        <v>52.162</v>
      </c>
      <c r="D392" s="6">
        <f t="shared" si="2"/>
        <v>85408.517</v>
      </c>
      <c r="E392" s="5">
        <f t="shared" si="1"/>
        <v>0.0006109219187</v>
      </c>
    </row>
    <row r="393" ht="15.75" customHeight="1">
      <c r="B393" s="3" t="s">
        <v>233</v>
      </c>
      <c r="C393" s="2">
        <v>9.214</v>
      </c>
      <c r="D393" s="6">
        <f t="shared" si="2"/>
        <v>85417.731</v>
      </c>
      <c r="E393" s="5">
        <f t="shared" si="1"/>
        <v>0.0001078756938</v>
      </c>
    </row>
    <row r="394" ht="15.75" customHeight="1">
      <c r="B394" s="3" t="s">
        <v>234</v>
      </c>
      <c r="C394" s="2">
        <v>71.199</v>
      </c>
      <c r="D394" s="6">
        <f t="shared" si="2"/>
        <v>85488.93</v>
      </c>
      <c r="E394" s="5">
        <f t="shared" si="1"/>
        <v>0.0008331916814</v>
      </c>
    </row>
    <row r="395" ht="15.75" customHeight="1">
      <c r="B395" s="3" t="s">
        <v>235</v>
      </c>
      <c r="C395" s="2">
        <v>149.002</v>
      </c>
      <c r="D395" s="6">
        <f t="shared" si="2"/>
        <v>85637.932</v>
      </c>
      <c r="E395" s="5">
        <f t="shared" si="1"/>
        <v>0.001741421959</v>
      </c>
    </row>
    <row r="396" ht="15.75" customHeight="1">
      <c r="B396" s="3" t="s">
        <v>236</v>
      </c>
      <c r="C396" s="2">
        <v>70.354</v>
      </c>
      <c r="D396" s="6">
        <f t="shared" si="2"/>
        <v>85708.286</v>
      </c>
      <c r="E396" s="5">
        <f t="shared" si="1"/>
        <v>0.0008211912089</v>
      </c>
    </row>
    <row r="397" ht="15.75" customHeight="1">
      <c r="B397" s="3" t="s">
        <v>237</v>
      </c>
      <c r="C397" s="2">
        <v>25.887</v>
      </c>
      <c r="D397" s="6">
        <f t="shared" si="2"/>
        <v>85734.173</v>
      </c>
      <c r="E397" s="5">
        <f t="shared" si="1"/>
        <v>0.0003019905378</v>
      </c>
    </row>
    <row r="398" ht="15.75" customHeight="1">
      <c r="B398" s="3" t="s">
        <v>238</v>
      </c>
      <c r="C398" s="2">
        <v>173.449</v>
      </c>
      <c r="D398" s="6">
        <f t="shared" si="2"/>
        <v>85907.622</v>
      </c>
      <c r="E398" s="5">
        <f t="shared" si="1"/>
        <v>0.002021058554</v>
      </c>
    </row>
    <row r="399" ht="15.75" customHeight="1">
      <c r="B399" s="3" t="s">
        <v>239</v>
      </c>
      <c r="C399" s="2">
        <v>132.727</v>
      </c>
      <c r="D399" s="6">
        <f t="shared" si="2"/>
        <v>86040.349</v>
      </c>
      <c r="E399" s="5">
        <f t="shared" si="1"/>
        <v>0.001543804508</v>
      </c>
    </row>
    <row r="400" ht="15.75" customHeight="1">
      <c r="B400" s="3">
        <v>43473.0</v>
      </c>
      <c r="C400" s="2">
        <v>328.543</v>
      </c>
      <c r="D400" s="6">
        <f t="shared" si="2"/>
        <v>86368.892</v>
      </c>
      <c r="E400" s="5">
        <f t="shared" si="1"/>
        <v>0.003811204037</v>
      </c>
    </row>
    <row r="401" ht="15.75" customHeight="1">
      <c r="B401" s="3">
        <v>43504.0</v>
      </c>
      <c r="C401" s="2">
        <v>341.881</v>
      </c>
      <c r="D401" s="6">
        <f t="shared" si="2"/>
        <v>86710.773</v>
      </c>
      <c r="E401" s="5">
        <f t="shared" si="1"/>
        <v>0.003950567441</v>
      </c>
    </row>
    <row r="402" ht="15.75" customHeight="1">
      <c r="B402" s="3">
        <v>43593.0</v>
      </c>
      <c r="C402" s="2">
        <v>234.851</v>
      </c>
      <c r="D402" s="6">
        <f t="shared" si="2"/>
        <v>86945.624</v>
      </c>
      <c r="E402" s="5">
        <f t="shared" si="1"/>
        <v>0.002704779637</v>
      </c>
    </row>
    <row r="403" ht="15.75" customHeight="1">
      <c r="B403" s="3">
        <v>43624.0</v>
      </c>
      <c r="C403" s="2">
        <v>66.059</v>
      </c>
      <c r="D403" s="6">
        <f t="shared" si="2"/>
        <v>87011.683</v>
      </c>
      <c r="E403" s="5">
        <f t="shared" si="1"/>
        <v>0.0007594852359</v>
      </c>
    </row>
    <row r="404" ht="15.75" customHeight="1">
      <c r="B404" s="3">
        <v>43654.0</v>
      </c>
      <c r="C404" s="2">
        <v>272.349</v>
      </c>
      <c r="D404" s="6">
        <f t="shared" si="2"/>
        <v>87284.032</v>
      </c>
      <c r="E404" s="5">
        <f t="shared" si="1"/>
        <v>0.003125139613</v>
      </c>
    </row>
    <row r="405" ht="15.75" customHeight="1">
      <c r="B405" s="3">
        <v>43685.0</v>
      </c>
      <c r="C405" s="2">
        <v>104.478</v>
      </c>
      <c r="D405" s="6">
        <f t="shared" si="2"/>
        <v>87388.51</v>
      </c>
      <c r="E405" s="5">
        <f t="shared" si="1"/>
        <v>0.00119627288</v>
      </c>
    </row>
    <row r="406" ht="15.75" customHeight="1">
      <c r="B406" s="3">
        <v>43716.0</v>
      </c>
      <c r="C406" s="2">
        <v>252.261</v>
      </c>
      <c r="D406" s="6">
        <f t="shared" si="2"/>
        <v>87640.771</v>
      </c>
      <c r="E406" s="5">
        <f t="shared" si="1"/>
        <v>0.002882502553</v>
      </c>
    </row>
    <row r="407" ht="15.75" customHeight="1">
      <c r="B407" s="3">
        <v>43807.0</v>
      </c>
      <c r="C407" s="2">
        <v>31.959</v>
      </c>
      <c r="D407" s="6">
        <f t="shared" si="2"/>
        <v>87672.73</v>
      </c>
      <c r="E407" s="5">
        <f t="shared" si="1"/>
        <v>0.0003645925747</v>
      </c>
    </row>
    <row r="408" ht="15.75" customHeight="1">
      <c r="B408" s="3" t="s">
        <v>240</v>
      </c>
      <c r="C408" s="2">
        <v>4.359</v>
      </c>
      <c r="D408" s="6">
        <f t="shared" si="2"/>
        <v>87677.089</v>
      </c>
      <c r="E408" s="5">
        <f t="shared" si="1"/>
        <v>0.00004971775877</v>
      </c>
    </row>
    <row r="409" ht="15.75" customHeight="1">
      <c r="B409" s="3" t="s">
        <v>241</v>
      </c>
      <c r="C409" s="2">
        <v>193.518</v>
      </c>
      <c r="D409" s="6">
        <f t="shared" si="2"/>
        <v>87870.607</v>
      </c>
      <c r="E409" s="5">
        <f t="shared" si="1"/>
        <v>0.002204735041</v>
      </c>
    </row>
    <row r="410" ht="15.75" customHeight="1">
      <c r="B410" s="3" t="s">
        <v>242</v>
      </c>
      <c r="C410" s="2">
        <v>28.197</v>
      </c>
      <c r="D410" s="6">
        <f t="shared" si="2"/>
        <v>87898.804</v>
      </c>
      <c r="E410" s="5">
        <f t="shared" si="1"/>
        <v>0.0003208408116</v>
      </c>
    </row>
    <row r="411" ht="15.75" customHeight="1">
      <c r="B411" s="3" t="s">
        <v>243</v>
      </c>
      <c r="C411" s="2">
        <v>-1.595</v>
      </c>
      <c r="D411" s="6">
        <f t="shared" si="2"/>
        <v>87897.209</v>
      </c>
      <c r="E411" s="5">
        <f t="shared" si="1"/>
        <v>-0.00001814603156</v>
      </c>
    </row>
    <row r="412" ht="15.75" customHeight="1">
      <c r="B412" s="3" t="s">
        <v>244</v>
      </c>
      <c r="C412" s="2">
        <v>31.84</v>
      </c>
      <c r="D412" s="6">
        <f t="shared" si="2"/>
        <v>87929.049</v>
      </c>
      <c r="E412" s="5">
        <f t="shared" si="1"/>
        <v>0.0003621757149</v>
      </c>
    </row>
    <row r="413" ht="15.75" customHeight="1">
      <c r="B413" s="3" t="s">
        <v>245</v>
      </c>
      <c r="C413" s="2">
        <v>60.041</v>
      </c>
      <c r="D413" s="6">
        <f t="shared" si="2"/>
        <v>87989.09</v>
      </c>
      <c r="E413" s="5">
        <f t="shared" si="1"/>
        <v>0.0006826016086</v>
      </c>
    </row>
    <row r="414" ht="15.75" customHeight="1">
      <c r="B414" s="3" t="s">
        <v>246</v>
      </c>
      <c r="C414" s="2">
        <v>209.724</v>
      </c>
      <c r="D414" s="6">
        <f t="shared" si="2"/>
        <v>88198.814</v>
      </c>
      <c r="E414" s="5">
        <f t="shared" si="1"/>
        <v>0.002380686691</v>
      </c>
    </row>
    <row r="415" ht="15.75" customHeight="1">
      <c r="B415" s="3" t="s">
        <v>247</v>
      </c>
      <c r="C415" s="2">
        <v>-19.872</v>
      </c>
      <c r="D415" s="6">
        <f t="shared" si="2"/>
        <v>88178.942</v>
      </c>
      <c r="E415" s="5">
        <f t="shared" si="1"/>
        <v>-0.000225334538</v>
      </c>
    </row>
    <row r="416" ht="15.75" customHeight="1">
      <c r="B416" s="3" t="s">
        <v>248</v>
      </c>
      <c r="C416" s="2">
        <v>-57.176</v>
      </c>
      <c r="D416" s="6">
        <f t="shared" si="2"/>
        <v>88121.766</v>
      </c>
      <c r="E416" s="5">
        <f t="shared" si="1"/>
        <v>-0.0006486190856</v>
      </c>
    </row>
    <row r="417" ht="15.75" customHeight="1">
      <c r="B417" s="3" t="s">
        <v>249</v>
      </c>
      <c r="C417" s="2">
        <v>-1.614</v>
      </c>
      <c r="D417" s="6">
        <f t="shared" si="2"/>
        <v>88120.152</v>
      </c>
      <c r="E417" s="5">
        <f t="shared" si="1"/>
        <v>-0.00001831573349</v>
      </c>
    </row>
    <row r="418" ht="15.75" customHeight="1">
      <c r="B418" s="3" t="s">
        <v>250</v>
      </c>
      <c r="C418" s="2">
        <v>147.836</v>
      </c>
      <c r="D418" s="6">
        <f t="shared" si="2"/>
        <v>88267.988</v>
      </c>
      <c r="E418" s="5">
        <f t="shared" si="1"/>
        <v>0.001676258218</v>
      </c>
    </row>
    <row r="419" ht="15.75" customHeight="1">
      <c r="B419" s="3" t="s">
        <v>251</v>
      </c>
      <c r="C419" s="2">
        <v>80.976</v>
      </c>
      <c r="D419" s="6">
        <f t="shared" si="2"/>
        <v>88348.964</v>
      </c>
      <c r="E419" s="5">
        <f t="shared" si="1"/>
        <v>0.0009169675363</v>
      </c>
    </row>
    <row r="420" ht="15.75" customHeight="1">
      <c r="B420" s="3" t="s">
        <v>252</v>
      </c>
      <c r="C420" s="2">
        <v>-107.943</v>
      </c>
      <c r="D420" s="6">
        <f t="shared" si="2"/>
        <v>88241.021</v>
      </c>
      <c r="E420" s="5">
        <f t="shared" si="1"/>
        <v>-0.001222527013</v>
      </c>
    </row>
    <row r="421" ht="15.75" customHeight="1">
      <c r="B421" s="3" t="s">
        <v>253</v>
      </c>
      <c r="C421" s="2">
        <v>135.802</v>
      </c>
      <c r="D421" s="6">
        <f t="shared" si="2"/>
        <v>88376.823</v>
      </c>
      <c r="E421" s="5">
        <f t="shared" si="1"/>
        <v>0.001537806415</v>
      </c>
    </row>
    <row r="422" ht="15.75" customHeight="1">
      <c r="B422" s="3">
        <v>43533.0</v>
      </c>
      <c r="C422" s="2">
        <v>-213.749</v>
      </c>
      <c r="D422" s="6">
        <f t="shared" si="2"/>
        <v>88163.074</v>
      </c>
      <c r="E422" s="5">
        <f t="shared" si="1"/>
        <v>-0.002421538792</v>
      </c>
    </row>
    <row r="423" ht="15.75" customHeight="1">
      <c r="B423" s="3">
        <v>43564.0</v>
      </c>
      <c r="C423" s="2">
        <v>88.88</v>
      </c>
      <c r="D423" s="6">
        <f t="shared" si="2"/>
        <v>88251.954</v>
      </c>
      <c r="E423" s="5">
        <f t="shared" si="1"/>
        <v>0.001007623994</v>
      </c>
    </row>
    <row r="424" ht="15.75" customHeight="1">
      <c r="B424" s="3">
        <v>43594.0</v>
      </c>
      <c r="C424" s="2">
        <v>21.409</v>
      </c>
      <c r="D424" s="6">
        <f t="shared" si="2"/>
        <v>88273.363</v>
      </c>
      <c r="E424" s="5">
        <f t="shared" si="1"/>
        <v>0.0002425601094</v>
      </c>
    </row>
    <row r="425" ht="15.75" customHeight="1">
      <c r="B425" s="3">
        <v>43625.0</v>
      </c>
      <c r="C425" s="2">
        <v>9.961</v>
      </c>
      <c r="D425" s="6">
        <f t="shared" si="2"/>
        <v>88283.324</v>
      </c>
      <c r="E425" s="5">
        <f t="shared" si="1"/>
        <v>0.0001128362814</v>
      </c>
    </row>
    <row r="426" ht="15.75" customHeight="1">
      <c r="B426" s="3">
        <v>43717.0</v>
      </c>
      <c r="C426" s="2">
        <v>217.44</v>
      </c>
      <c r="D426" s="6">
        <f t="shared" si="2"/>
        <v>88500.764</v>
      </c>
      <c r="E426" s="5">
        <f t="shared" si="1"/>
        <v>0.002459951143</v>
      </c>
    </row>
    <row r="427" ht="15.75" customHeight="1">
      <c r="B427" s="3">
        <v>43747.0</v>
      </c>
      <c r="C427" s="2">
        <v>138.119</v>
      </c>
      <c r="D427" s="6">
        <f t="shared" si="2"/>
        <v>88638.883</v>
      </c>
      <c r="E427" s="5">
        <f t="shared" si="1"/>
        <v>0.00155943664</v>
      </c>
    </row>
    <row r="428" ht="15.75" customHeight="1">
      <c r="B428" s="3">
        <v>43778.0</v>
      </c>
      <c r="C428" s="2">
        <v>15.027</v>
      </c>
      <c r="D428" s="6">
        <f t="shared" si="2"/>
        <v>88653.91</v>
      </c>
      <c r="E428" s="5">
        <f t="shared" si="1"/>
        <v>0.0001695161973</v>
      </c>
    </row>
    <row r="429" ht="15.75" customHeight="1">
      <c r="B429" s="3">
        <v>43808.0</v>
      </c>
      <c r="C429" s="2">
        <v>170.121</v>
      </c>
      <c r="D429" s="6">
        <f t="shared" si="2"/>
        <v>88824.031</v>
      </c>
      <c r="E429" s="5">
        <f t="shared" si="1"/>
        <v>0.001917095174</v>
      </c>
    </row>
    <row r="430" ht="15.75" customHeight="1">
      <c r="B430" s="3" t="s">
        <v>254</v>
      </c>
      <c r="C430" s="2">
        <v>17.253</v>
      </c>
      <c r="D430" s="6">
        <f t="shared" si="2"/>
        <v>88841.284</v>
      </c>
      <c r="E430" s="5">
        <f t="shared" si="1"/>
        <v>0.0001942191142</v>
      </c>
    </row>
    <row r="431" ht="15.75" customHeight="1">
      <c r="B431" s="3" t="s">
        <v>255</v>
      </c>
      <c r="C431" s="2">
        <v>49.01</v>
      </c>
      <c r="D431" s="6">
        <f t="shared" si="2"/>
        <v>88890.294</v>
      </c>
      <c r="E431" s="5">
        <f t="shared" si="1"/>
        <v>0.0005515058359</v>
      </c>
    </row>
    <row r="432" ht="15.75" customHeight="1">
      <c r="B432" s="3" t="s">
        <v>256</v>
      </c>
      <c r="C432" s="2">
        <v>12.316</v>
      </c>
      <c r="D432" s="6">
        <f t="shared" si="2"/>
        <v>88902.61</v>
      </c>
      <c r="E432" s="5">
        <f t="shared" si="1"/>
        <v>0.0001385432123</v>
      </c>
    </row>
    <row r="433" ht="15.75" customHeight="1">
      <c r="B433" s="3" t="s">
        <v>257</v>
      </c>
      <c r="C433" s="2">
        <v>-29.026</v>
      </c>
      <c r="D433" s="6">
        <f t="shared" si="2"/>
        <v>88873.584</v>
      </c>
      <c r="E433" s="5">
        <f t="shared" si="1"/>
        <v>-0.000326545412</v>
      </c>
    </row>
    <row r="434" ht="15.75" customHeight="1">
      <c r="B434" s="3" t="s">
        <v>258</v>
      </c>
      <c r="C434" s="2">
        <v>204.656</v>
      </c>
      <c r="D434" s="6">
        <f t="shared" si="2"/>
        <v>89078.24</v>
      </c>
      <c r="E434" s="5">
        <f t="shared" si="1"/>
        <v>0.002300129166</v>
      </c>
    </row>
    <row r="435" ht="15.75" customHeight="1">
      <c r="B435" s="3" t="s">
        <v>259</v>
      </c>
      <c r="C435" s="2">
        <v>-244.351</v>
      </c>
      <c r="D435" s="6">
        <f t="shared" si="2"/>
        <v>88833.889</v>
      </c>
      <c r="E435" s="5">
        <f t="shared" si="1"/>
        <v>-0.002746874595</v>
      </c>
    </row>
    <row r="436" ht="15.75" customHeight="1">
      <c r="B436" s="3" t="s">
        <v>260</v>
      </c>
      <c r="C436" s="2">
        <v>-360.518</v>
      </c>
      <c r="D436" s="6">
        <f t="shared" si="2"/>
        <v>88473.371</v>
      </c>
      <c r="E436" s="5">
        <f t="shared" si="1"/>
        <v>-0.004066595996</v>
      </c>
    </row>
    <row r="437" ht="15.75" customHeight="1">
      <c r="B437" s="3" t="s">
        <v>261</v>
      </c>
      <c r="C437" s="2">
        <v>3.945</v>
      </c>
      <c r="D437" s="6">
        <f t="shared" si="2"/>
        <v>88477.316</v>
      </c>
      <c r="E437" s="5">
        <f t="shared" si="1"/>
        <v>0.00004458869381</v>
      </c>
    </row>
    <row r="438" ht="15.75" customHeight="1">
      <c r="B438" s="3" t="s">
        <v>262</v>
      </c>
      <c r="C438" s="2">
        <v>245.069</v>
      </c>
      <c r="D438" s="6">
        <f t="shared" si="2"/>
        <v>88722.385</v>
      </c>
      <c r="E438" s="5">
        <f t="shared" si="1"/>
        <v>0.002766022232</v>
      </c>
    </row>
    <row r="439" ht="15.75" customHeight="1">
      <c r="B439" s="3" t="s">
        <v>263</v>
      </c>
      <c r="C439" s="2">
        <v>610.941</v>
      </c>
      <c r="D439" s="6">
        <f t="shared" si="2"/>
        <v>89333.326</v>
      </c>
      <c r="E439" s="5">
        <f t="shared" si="1"/>
        <v>0.006862384746</v>
      </c>
    </row>
    <row r="440" ht="15.75" customHeight="1">
      <c r="B440" s="3" t="s">
        <v>264</v>
      </c>
      <c r="C440" s="2">
        <v>-204.473</v>
      </c>
      <c r="D440" s="6">
        <f t="shared" si="2"/>
        <v>89128.853</v>
      </c>
      <c r="E440" s="5">
        <f t="shared" si="1"/>
        <v>-0.002291500537</v>
      </c>
    </row>
    <row r="441" ht="15.75" customHeight="1">
      <c r="B441" s="3" t="s">
        <v>265</v>
      </c>
      <c r="C441" s="2">
        <v>-284.781</v>
      </c>
      <c r="D441" s="6">
        <f t="shared" si="2"/>
        <v>88844.072</v>
      </c>
      <c r="E441" s="5">
        <f t="shared" si="1"/>
        <v>-0.003200276031</v>
      </c>
    </row>
    <row r="442" ht="15.75" customHeight="1">
      <c r="B442" s="3">
        <v>43475.0</v>
      </c>
      <c r="C442" s="2">
        <v>-63.529</v>
      </c>
      <c r="D442" s="6">
        <f t="shared" si="2"/>
        <v>88780.543</v>
      </c>
      <c r="E442" s="5">
        <f t="shared" si="1"/>
        <v>-0.0007153175556</v>
      </c>
    </row>
    <row r="443" ht="15.75" customHeight="1">
      <c r="B443" s="3">
        <v>43506.0</v>
      </c>
      <c r="C443" s="2">
        <v>-3.441</v>
      </c>
      <c r="D443" s="6">
        <f t="shared" si="2"/>
        <v>88777.102</v>
      </c>
      <c r="E443" s="5">
        <f t="shared" si="1"/>
        <v>-0.00003875924352</v>
      </c>
    </row>
    <row r="444" ht="15.75" customHeight="1">
      <c r="B444" s="3">
        <v>43534.0</v>
      </c>
      <c r="C444" s="2">
        <v>374.525</v>
      </c>
      <c r="D444" s="6">
        <f t="shared" si="2"/>
        <v>89151.627</v>
      </c>
      <c r="E444" s="5">
        <f t="shared" si="1"/>
        <v>0.004209837897</v>
      </c>
    </row>
    <row r="445" ht="15.75" customHeight="1">
      <c r="B445" s="3">
        <v>43565.0</v>
      </c>
      <c r="C445" s="2">
        <v>-11.047</v>
      </c>
      <c r="D445" s="6">
        <f t="shared" si="2"/>
        <v>89140.58</v>
      </c>
      <c r="E445" s="5">
        <f t="shared" si="1"/>
        <v>-0.0001239201668</v>
      </c>
    </row>
    <row r="446" ht="15.75" customHeight="1">
      <c r="B446" s="3">
        <v>43656.0</v>
      </c>
      <c r="C446" s="2">
        <v>-129.906</v>
      </c>
      <c r="D446" s="6">
        <f t="shared" si="2"/>
        <v>89010.674</v>
      </c>
      <c r="E446" s="5">
        <f t="shared" si="1"/>
        <v>-0.001458378991</v>
      </c>
    </row>
    <row r="447" ht="15.75" customHeight="1">
      <c r="B447" s="3">
        <v>43687.0</v>
      </c>
      <c r="C447" s="2">
        <v>-2981.343</v>
      </c>
      <c r="D447" s="6">
        <f t="shared" si="2"/>
        <v>86029.331</v>
      </c>
      <c r="E447" s="5">
        <f t="shared" si="1"/>
        <v>-0.03406799888</v>
      </c>
    </row>
    <row r="448" ht="15.75" customHeight="1">
      <c r="B448" s="3">
        <v>43718.0</v>
      </c>
      <c r="C448" s="2">
        <v>36.865</v>
      </c>
      <c r="D448" s="6">
        <f t="shared" si="2"/>
        <v>86066.196</v>
      </c>
      <c r="E448" s="5">
        <f t="shared" si="1"/>
        <v>0.0004284248546</v>
      </c>
    </row>
    <row r="449" ht="15.75" customHeight="1">
      <c r="B449" s="3">
        <v>43748.0</v>
      </c>
      <c r="C449" s="2">
        <v>93.618</v>
      </c>
      <c r="D449" s="6">
        <f t="shared" si="2"/>
        <v>86159.814</v>
      </c>
      <c r="E449" s="5">
        <f t="shared" si="1"/>
        <v>0.001087152971</v>
      </c>
    </row>
    <row r="450" ht="15.75" customHeight="1">
      <c r="B450" s="3">
        <v>43779.0</v>
      </c>
      <c r="C450" s="2">
        <v>18.427</v>
      </c>
      <c r="D450" s="6">
        <f t="shared" si="2"/>
        <v>86178.241</v>
      </c>
      <c r="E450" s="5">
        <f t="shared" si="1"/>
        <v>0.0002138471398</v>
      </c>
    </row>
    <row r="451" ht="15.75" customHeight="1">
      <c r="B451" s="3" t="s">
        <v>266</v>
      </c>
      <c r="C451" s="2">
        <v>36.56</v>
      </c>
      <c r="D451" s="6">
        <f t="shared" si="2"/>
        <v>86214.801</v>
      </c>
      <c r="E451" s="5">
        <f t="shared" si="1"/>
        <v>0.0004241470552</v>
      </c>
    </row>
    <row r="452" ht="15.75" customHeight="1">
      <c r="B452" s="3" t="s">
        <v>267</v>
      </c>
      <c r="C452" s="2">
        <v>150.702</v>
      </c>
      <c r="D452" s="6">
        <f t="shared" si="2"/>
        <v>86365.503</v>
      </c>
      <c r="E452" s="5">
        <f t="shared" si="1"/>
        <v>0.00174645698</v>
      </c>
    </row>
    <row r="453" ht="15.75" customHeight="1">
      <c r="B453" s="3" t="s">
        <v>268</v>
      </c>
      <c r="C453" s="2">
        <v>-61.214</v>
      </c>
      <c r="D453" s="6">
        <f t="shared" si="2"/>
        <v>86304.289</v>
      </c>
      <c r="E453" s="5">
        <f t="shared" si="1"/>
        <v>-0.000709029667</v>
      </c>
    </row>
    <row r="454" ht="15.75" customHeight="1">
      <c r="B454" s="3" t="s">
        <v>269</v>
      </c>
      <c r="C454" s="2">
        <v>-126.036</v>
      </c>
      <c r="D454" s="6">
        <f t="shared" si="2"/>
        <v>86178.253</v>
      </c>
      <c r="E454" s="5">
        <f t="shared" si="1"/>
        <v>-0.001461435122</v>
      </c>
    </row>
    <row r="455" ht="15.75" customHeight="1">
      <c r="B455" s="3" t="s">
        <v>270</v>
      </c>
      <c r="C455" s="2">
        <v>438.052</v>
      </c>
      <c r="D455" s="6">
        <f t="shared" si="2"/>
        <v>86616.305</v>
      </c>
      <c r="E455" s="5">
        <f t="shared" si="1"/>
        <v>0.005070216834</v>
      </c>
    </row>
    <row r="456" ht="15.75" customHeight="1">
      <c r="B456" s="3" t="s">
        <v>271</v>
      </c>
      <c r="C456" s="2">
        <v>9.286</v>
      </c>
      <c r="D456" s="6">
        <f t="shared" si="2"/>
        <v>86625.591</v>
      </c>
      <c r="E456" s="5">
        <f t="shared" si="1"/>
        <v>0.0001072027058</v>
      </c>
    </row>
    <row r="457" ht="15.75" customHeight="1">
      <c r="B457" s="3" t="s">
        <v>272</v>
      </c>
      <c r="C457" s="2">
        <v>-373.89</v>
      </c>
      <c r="D457" s="6">
        <f t="shared" si="2"/>
        <v>86251.701</v>
      </c>
      <c r="E457" s="5">
        <f t="shared" si="1"/>
        <v>-0.004325502541</v>
      </c>
    </row>
    <row r="458" ht="15.75" customHeight="1">
      <c r="B458" s="3" t="s">
        <v>273</v>
      </c>
      <c r="C458" s="2">
        <v>67.32</v>
      </c>
      <c r="D458" s="6">
        <f t="shared" si="2"/>
        <v>86319.021</v>
      </c>
      <c r="E458" s="5">
        <f t="shared" si="1"/>
        <v>0.0007802019095</v>
      </c>
    </row>
    <row r="459" ht="15.75" customHeight="1">
      <c r="B459" s="3" t="s">
        <v>274</v>
      </c>
      <c r="C459" s="2">
        <v>56.877</v>
      </c>
      <c r="D459" s="6">
        <f t="shared" si="2"/>
        <v>86375.898</v>
      </c>
      <c r="E459" s="5">
        <f t="shared" si="1"/>
        <v>0.0006586991949</v>
      </c>
    </row>
    <row r="460" ht="15.75" customHeight="1">
      <c r="B460" s="3" t="s">
        <v>275</v>
      </c>
      <c r="C460" s="2">
        <v>237.836</v>
      </c>
      <c r="D460" s="6">
        <f t="shared" si="2"/>
        <v>86613.734</v>
      </c>
      <c r="E460" s="5">
        <f t="shared" si="1"/>
        <v>0.002749715658</v>
      </c>
    </row>
    <row r="461" ht="15.75" customHeight="1">
      <c r="B461" s="3" t="s">
        <v>276</v>
      </c>
      <c r="C461" s="2">
        <v>-1147.409</v>
      </c>
      <c r="D461" s="6">
        <f t="shared" si="2"/>
        <v>85466.325</v>
      </c>
      <c r="E461" s="5">
        <f t="shared" si="1"/>
        <v>-0.01333595551</v>
      </c>
    </row>
    <row r="462" ht="15.75" customHeight="1">
      <c r="B462" s="3" t="s">
        <v>277</v>
      </c>
      <c r="C462" s="2">
        <v>173.265</v>
      </c>
      <c r="D462" s="6">
        <f t="shared" si="2"/>
        <v>85639.59</v>
      </c>
      <c r="E462" s="5">
        <f t="shared" si="1"/>
        <v>0.002025237517</v>
      </c>
    </row>
    <row r="463" ht="15.75" customHeight="1">
      <c r="B463" s="3" t="s">
        <v>278</v>
      </c>
      <c r="C463" s="2">
        <v>10.1</v>
      </c>
      <c r="D463" s="6">
        <f t="shared" si="2"/>
        <v>85649.69</v>
      </c>
      <c r="E463" s="5">
        <f t="shared" si="1"/>
        <v>0.0001179291548</v>
      </c>
    </row>
    <row r="464" ht="15.75" customHeight="1">
      <c r="B464" s="3" t="s">
        <v>279</v>
      </c>
      <c r="C464" s="2">
        <v>2.547</v>
      </c>
      <c r="D464" s="6">
        <f t="shared" si="2"/>
        <v>85652.237</v>
      </c>
      <c r="E464" s="5">
        <f t="shared" si="1"/>
        <v>0.00002973696846</v>
      </c>
    </row>
    <row r="465" ht="15.75" customHeight="1">
      <c r="B465" s="3">
        <v>43476.0</v>
      </c>
      <c r="C465" s="2">
        <v>18.545</v>
      </c>
      <c r="D465" s="6">
        <f t="shared" si="2"/>
        <v>85670.782</v>
      </c>
      <c r="E465" s="5">
        <f t="shared" si="1"/>
        <v>0.0002164916329</v>
      </c>
    </row>
    <row r="466" ht="15.75" customHeight="1">
      <c r="B466" s="3">
        <v>43566.0</v>
      </c>
      <c r="C466" s="2">
        <v>151.582</v>
      </c>
      <c r="D466" s="6">
        <f t="shared" si="2"/>
        <v>85822.364</v>
      </c>
      <c r="E466" s="5">
        <f t="shared" si="1"/>
        <v>0.001767791227</v>
      </c>
    </row>
    <row r="467" ht="15.75" customHeight="1">
      <c r="B467" s="3">
        <v>43596.0</v>
      </c>
      <c r="C467" s="2">
        <v>322.319</v>
      </c>
      <c r="D467" s="6">
        <f t="shared" si="2"/>
        <v>86144.683</v>
      </c>
      <c r="E467" s="5">
        <f t="shared" si="1"/>
        <v>0.003748617925</v>
      </c>
    </row>
    <row r="468" ht="15.75" customHeight="1">
      <c r="B468" s="3">
        <v>43627.0</v>
      </c>
      <c r="C468" s="2">
        <v>404.589</v>
      </c>
      <c r="D468" s="6">
        <f t="shared" si="2"/>
        <v>86549.272</v>
      </c>
      <c r="E468" s="5">
        <f t="shared" si="1"/>
        <v>0.004685627128</v>
      </c>
    </row>
    <row r="469" ht="15.75" customHeight="1">
      <c r="B469" s="3">
        <v>43657.0</v>
      </c>
      <c r="C469" s="2">
        <v>74.12</v>
      </c>
      <c r="D469" s="6">
        <f t="shared" si="2"/>
        <v>86623.392</v>
      </c>
      <c r="E469" s="5">
        <f t="shared" si="1"/>
        <v>0.0008560243033</v>
      </c>
    </row>
    <row r="470" ht="15.75" customHeight="1">
      <c r="B470" s="3">
        <v>43688.0</v>
      </c>
      <c r="C470" s="2">
        <v>107.357</v>
      </c>
      <c r="D470" s="6">
        <f t="shared" si="2"/>
        <v>86730.749</v>
      </c>
      <c r="E470" s="5">
        <f t="shared" si="1"/>
        <v>0.001238586089</v>
      </c>
    </row>
    <row r="471" ht="15.75" customHeight="1">
      <c r="B471" s="3">
        <v>43780.0</v>
      </c>
      <c r="C471" s="2">
        <v>-87.995</v>
      </c>
      <c r="D471" s="6">
        <f t="shared" si="2"/>
        <v>86642.754</v>
      </c>
      <c r="E471" s="5">
        <f t="shared" si="1"/>
        <v>-0.001015091765</v>
      </c>
    </row>
    <row r="472" ht="15.75" customHeight="1">
      <c r="B472" s="3">
        <v>43810.0</v>
      </c>
      <c r="C472" s="2">
        <v>71.938</v>
      </c>
      <c r="D472" s="6">
        <f t="shared" si="2"/>
        <v>86714.692</v>
      </c>
      <c r="E472" s="5">
        <f t="shared" si="1"/>
        <v>0.0008299384398</v>
      </c>
    </row>
    <row r="473" ht="15.75" customHeight="1">
      <c r="B473" s="3" t="s">
        <v>280</v>
      </c>
      <c r="C473" s="2">
        <v>6.056</v>
      </c>
      <c r="D473" s="6">
        <f t="shared" si="2"/>
        <v>86720.748</v>
      </c>
      <c r="E473" s="5">
        <f t="shared" si="1"/>
        <v>0.00006983578446</v>
      </c>
    </row>
    <row r="474" ht="15.75" customHeight="1">
      <c r="B474" s="3" t="s">
        <v>281</v>
      </c>
      <c r="C474" s="2">
        <v>116.612</v>
      </c>
      <c r="D474" s="6">
        <f t="shared" si="2"/>
        <v>86837.36</v>
      </c>
      <c r="E474" s="5">
        <f t="shared" si="1"/>
        <v>0.001343780696</v>
      </c>
    </row>
    <row r="475" ht="15.75" customHeight="1">
      <c r="B475" s="3" t="s">
        <v>282</v>
      </c>
      <c r="C475" s="2">
        <v>67.602</v>
      </c>
      <c r="D475" s="6">
        <f t="shared" si="2"/>
        <v>86904.962</v>
      </c>
      <c r="E475" s="5">
        <f t="shared" si="1"/>
        <v>0.0007781869453</v>
      </c>
    </row>
    <row r="476" ht="15.75" customHeight="1">
      <c r="B476" s="3" t="s">
        <v>283</v>
      </c>
      <c r="C476" s="2">
        <v>162.298</v>
      </c>
      <c r="D476" s="6">
        <f t="shared" si="2"/>
        <v>87067.26</v>
      </c>
      <c r="E476" s="5">
        <f t="shared" si="1"/>
        <v>0.001865792656</v>
      </c>
    </row>
    <row r="477" ht="15.75" customHeight="1">
      <c r="B477" s="3" t="s">
        <v>284</v>
      </c>
      <c r="C477" s="2">
        <v>89.034</v>
      </c>
      <c r="D477" s="6">
        <f t="shared" si="2"/>
        <v>87156.294</v>
      </c>
      <c r="E477" s="5">
        <f t="shared" si="1"/>
        <v>0.001022066256</v>
      </c>
    </row>
    <row r="478" ht="15.75" customHeight="1">
      <c r="B478" s="3" t="s">
        <v>285</v>
      </c>
      <c r="C478" s="2">
        <v>51.751</v>
      </c>
      <c r="D478" s="6">
        <f t="shared" si="2"/>
        <v>87208.045</v>
      </c>
      <c r="E478" s="5">
        <f t="shared" si="1"/>
        <v>0.0005935961656</v>
      </c>
    </row>
    <row r="479" ht="15.75" customHeight="1">
      <c r="B479" s="3" t="s">
        <v>286</v>
      </c>
      <c r="C479" s="2">
        <v>139.617</v>
      </c>
      <c r="D479" s="6">
        <f t="shared" si="2"/>
        <v>87347.662</v>
      </c>
      <c r="E479" s="5">
        <f t="shared" si="1"/>
        <v>0.001599684504</v>
      </c>
    </row>
    <row r="480" ht="15.75" customHeight="1">
      <c r="B480" s="3" t="s">
        <v>287</v>
      </c>
      <c r="C480" s="2">
        <v>68.568</v>
      </c>
      <c r="D480" s="6">
        <f t="shared" si="2"/>
        <v>87416.23</v>
      </c>
      <c r="E480" s="5">
        <f t="shared" si="1"/>
        <v>0.0007846930248</v>
      </c>
    </row>
    <row r="481" ht="15.75" customHeight="1">
      <c r="B481" s="3" t="s">
        <v>288</v>
      </c>
      <c r="C481" s="2">
        <v>-66.304</v>
      </c>
      <c r="D481" s="6">
        <f t="shared" si="2"/>
        <v>87349.926</v>
      </c>
      <c r="E481" s="5">
        <f t="shared" si="1"/>
        <v>-0.0007587739491</v>
      </c>
    </row>
    <row r="482" ht="15.75" customHeight="1">
      <c r="B482" s="3" t="s">
        <v>289</v>
      </c>
      <c r="C482" s="2">
        <v>149.359</v>
      </c>
      <c r="D482" s="6">
        <f t="shared" si="2"/>
        <v>87499.285</v>
      </c>
      <c r="E482" s="5">
        <f t="shared" si="1"/>
        <v>0.001708432488</v>
      </c>
    </row>
    <row r="483" ht="15.75" customHeight="1">
      <c r="B483" s="3" t="s">
        <v>290</v>
      </c>
      <c r="C483" s="2">
        <v>-10.571</v>
      </c>
      <c r="D483" s="6">
        <f t="shared" si="2"/>
        <v>87488.714</v>
      </c>
      <c r="E483" s="5">
        <f t="shared" si="1"/>
        <v>-0.0001208197142</v>
      </c>
    </row>
    <row r="484" ht="15.75" customHeight="1">
      <c r="B484" s="3" t="s">
        <v>291</v>
      </c>
      <c r="C484" s="2">
        <v>16.674</v>
      </c>
      <c r="D484" s="6">
        <f t="shared" si="2"/>
        <v>87505.388</v>
      </c>
      <c r="E484" s="5">
        <f t="shared" si="1"/>
        <v>0.0001905664232</v>
      </c>
    </row>
    <row r="485" ht="15.75" customHeight="1">
      <c r="B485" s="3">
        <v>43508.0</v>
      </c>
      <c r="C485" s="2">
        <v>47.431</v>
      </c>
      <c r="D485" s="6">
        <f t="shared" si="2"/>
        <v>87552.819</v>
      </c>
      <c r="E485" s="5">
        <f t="shared" si="1"/>
        <v>0.0005418883464</v>
      </c>
    </row>
    <row r="486" ht="15.75" customHeight="1">
      <c r="B486" s="3">
        <v>43536.0</v>
      </c>
      <c r="C486" s="2">
        <v>353.095</v>
      </c>
      <c r="D486" s="6">
        <f t="shared" si="2"/>
        <v>87905.914</v>
      </c>
      <c r="E486" s="5">
        <f t="shared" si="1"/>
        <v>0.004024826472</v>
      </c>
    </row>
    <row r="487" ht="15.75" customHeight="1">
      <c r="B487" s="3">
        <v>43567.0</v>
      </c>
      <c r="C487" s="2">
        <v>95.872</v>
      </c>
      <c r="D487" s="6">
        <f t="shared" si="2"/>
        <v>88001.786</v>
      </c>
      <c r="E487" s="5">
        <f t="shared" si="1"/>
        <v>0.001090026298</v>
      </c>
    </row>
    <row r="488" ht="15.75" customHeight="1">
      <c r="B488" s="3">
        <v>43597.0</v>
      </c>
      <c r="C488" s="2">
        <v>614.613</v>
      </c>
      <c r="D488" s="6">
        <f t="shared" si="2"/>
        <v>88616.399</v>
      </c>
      <c r="E488" s="5">
        <f t="shared" si="1"/>
        <v>0.006959821051</v>
      </c>
    </row>
    <row r="489" ht="15.75" customHeight="1">
      <c r="B489" s="3">
        <v>43628.0</v>
      </c>
      <c r="C489" s="2">
        <v>78.623</v>
      </c>
      <c r="D489" s="6">
        <f t="shared" si="2"/>
        <v>88695.022</v>
      </c>
      <c r="E489" s="5">
        <f t="shared" si="1"/>
        <v>0.0008868352045</v>
      </c>
    </row>
    <row r="490" ht="15.75" customHeight="1">
      <c r="B490" s="3">
        <v>43720.0</v>
      </c>
      <c r="C490" s="2">
        <v>-1339.395</v>
      </c>
      <c r="D490" s="6">
        <f t="shared" si="2"/>
        <v>87355.627</v>
      </c>
      <c r="E490" s="5">
        <f t="shared" si="1"/>
        <v>-0.01521631247</v>
      </c>
    </row>
    <row r="491" ht="15.75" customHeight="1">
      <c r="B491" s="3">
        <v>43750.0</v>
      </c>
      <c r="C491" s="2">
        <v>71.355</v>
      </c>
      <c r="D491" s="6">
        <f t="shared" si="2"/>
        <v>87426.982</v>
      </c>
      <c r="E491" s="5">
        <f t="shared" si="1"/>
        <v>0.0008165000439</v>
      </c>
    </row>
    <row r="492" ht="15.75" customHeight="1">
      <c r="B492" s="3">
        <v>43781.0</v>
      </c>
      <c r="C492" s="2">
        <v>57.207</v>
      </c>
      <c r="D492" s="6">
        <f t="shared" si="2"/>
        <v>87484.189</v>
      </c>
      <c r="E492" s="5">
        <f t="shared" si="1"/>
        <v>0.0006541263398</v>
      </c>
    </row>
    <row r="493" ht="15.75" customHeight="1">
      <c r="B493" s="3">
        <v>43811.0</v>
      </c>
      <c r="C493" s="2">
        <v>-10.633</v>
      </c>
      <c r="D493" s="6">
        <f t="shared" si="2"/>
        <v>87473.556</v>
      </c>
      <c r="E493" s="5">
        <f t="shared" si="1"/>
        <v>-0.0001215493491</v>
      </c>
    </row>
    <row r="494" ht="15.75" customHeight="1">
      <c r="B494" s="3" t="s">
        <v>292</v>
      </c>
      <c r="C494" s="2">
        <v>18.873</v>
      </c>
      <c r="D494" s="6">
        <f t="shared" si="2"/>
        <v>87492.429</v>
      </c>
      <c r="E494" s="5">
        <f t="shared" si="1"/>
        <v>0.0002157333618</v>
      </c>
    </row>
    <row r="495" ht="15.75" customHeight="1">
      <c r="B495" s="3" t="s">
        <v>293</v>
      </c>
      <c r="C495" s="2">
        <v>-3.989</v>
      </c>
      <c r="D495" s="6">
        <f t="shared" si="2"/>
        <v>87488.44</v>
      </c>
      <c r="E495" s="5">
        <f t="shared" si="1"/>
        <v>-0.00004559355572</v>
      </c>
    </row>
    <row r="496" ht="15.75" customHeight="1">
      <c r="B496" s="3" t="s">
        <v>294</v>
      </c>
      <c r="C496" s="2">
        <v>356.745</v>
      </c>
      <c r="D496" s="6">
        <f t="shared" si="2"/>
        <v>87845.185</v>
      </c>
      <c r="E496" s="5">
        <f t="shared" si="1"/>
        <v>0.004069333447</v>
      </c>
    </row>
    <row r="497" ht="15.75" customHeight="1">
      <c r="B497" s="3" t="s">
        <v>295</v>
      </c>
      <c r="C497" s="2">
        <v>316.742</v>
      </c>
      <c r="D497" s="6">
        <f t="shared" si="2"/>
        <v>88161.927</v>
      </c>
      <c r="E497" s="5">
        <f t="shared" si="1"/>
        <v>0.003599199354</v>
      </c>
    </row>
    <row r="498" ht="15.75" customHeight="1">
      <c r="B498" s="3" t="s">
        <v>296</v>
      </c>
      <c r="C498" s="2">
        <v>759.158</v>
      </c>
      <c r="D498" s="6">
        <f t="shared" si="2"/>
        <v>88921.085</v>
      </c>
      <c r="E498" s="5">
        <f t="shared" si="1"/>
        <v>0.00857408785</v>
      </c>
    </row>
    <row r="499" ht="15.75" customHeight="1">
      <c r="B499" s="3" t="s">
        <v>297</v>
      </c>
      <c r="C499" s="2">
        <v>-229.046</v>
      </c>
      <c r="D499" s="6">
        <f t="shared" si="2"/>
        <v>88692.039</v>
      </c>
      <c r="E499" s="5">
        <f t="shared" si="1"/>
        <v>-0.002579157686</v>
      </c>
    </row>
    <row r="500" ht="15.75" customHeight="1">
      <c r="B500" s="3" t="s">
        <v>298</v>
      </c>
      <c r="C500" s="2">
        <v>-1007.488</v>
      </c>
      <c r="D500" s="6">
        <f t="shared" si="2"/>
        <v>87684.551</v>
      </c>
      <c r="E500" s="5">
        <f t="shared" si="1"/>
        <v>-0.01142440681</v>
      </c>
    </row>
    <row r="501" ht="15.75" customHeight="1">
      <c r="B501" s="3" t="s">
        <v>299</v>
      </c>
      <c r="C501" s="2">
        <v>103.303</v>
      </c>
      <c r="D501" s="6">
        <f t="shared" si="2"/>
        <v>87787.854</v>
      </c>
      <c r="E501" s="5">
        <f t="shared" si="1"/>
        <v>0.001177427436</v>
      </c>
    </row>
    <row r="502" ht="15.75" customHeight="1">
      <c r="B502" s="3" t="s">
        <v>300</v>
      </c>
      <c r="C502" s="2">
        <v>95.911</v>
      </c>
      <c r="D502" s="6">
        <f t="shared" si="2"/>
        <v>87883.765</v>
      </c>
      <c r="E502" s="5">
        <f t="shared" si="1"/>
        <v>0.001091935169</v>
      </c>
    </row>
    <row r="503" ht="15.75" customHeight="1">
      <c r="B503" s="3" t="s">
        <v>301</v>
      </c>
      <c r="C503" s="2">
        <v>5.093</v>
      </c>
      <c r="D503" s="6">
        <f t="shared" si="2"/>
        <v>87888.858</v>
      </c>
      <c r="E503" s="5">
        <f t="shared" si="1"/>
        <v>0.0000579498663</v>
      </c>
    </row>
    <row r="504" ht="15.75" customHeight="1">
      <c r="B504" s="3" t="s">
        <v>302</v>
      </c>
      <c r="C504" s="2">
        <v>55.517</v>
      </c>
      <c r="D504" s="6">
        <f t="shared" si="2"/>
        <v>87944.375</v>
      </c>
      <c r="E504" s="5">
        <f t="shared" si="1"/>
        <v>0.0006314733671</v>
      </c>
    </row>
    <row r="505" ht="15.75" customHeight="1">
      <c r="B505" s="3" t="s">
        <v>303</v>
      </c>
      <c r="C505" s="2">
        <v>20.147</v>
      </c>
      <c r="D505" s="6">
        <f t="shared" si="2"/>
        <v>87964.522</v>
      </c>
      <c r="E505" s="5">
        <f t="shared" si="1"/>
        <v>0.0002290617522</v>
      </c>
    </row>
    <row r="506" ht="15.75" customHeight="1">
      <c r="B506" s="3">
        <v>43862.0</v>
      </c>
      <c r="C506" s="2">
        <v>139.999</v>
      </c>
      <c r="D506" s="6">
        <f t="shared" si="2"/>
        <v>88104.521</v>
      </c>
      <c r="E506" s="5">
        <f t="shared" si="1"/>
        <v>0.001590274214</v>
      </c>
    </row>
    <row r="507" ht="15.75" customHeight="1">
      <c r="B507" s="3">
        <v>43891.0</v>
      </c>
      <c r="C507" s="2">
        <v>131.113</v>
      </c>
      <c r="D507" s="6">
        <f t="shared" si="2"/>
        <v>88235.634</v>
      </c>
      <c r="E507" s="5">
        <f t="shared" si="1"/>
        <v>0.001487046716</v>
      </c>
    </row>
    <row r="508" ht="15.75" customHeight="1">
      <c r="B508" s="3">
        <v>43983.0</v>
      </c>
      <c r="C508" s="2">
        <v>94.174</v>
      </c>
      <c r="D508" s="6">
        <f t="shared" si="2"/>
        <v>88329.808</v>
      </c>
      <c r="E508" s="5">
        <f t="shared" si="1"/>
        <v>0.001066732061</v>
      </c>
    </row>
    <row r="509" ht="15.75" customHeight="1">
      <c r="B509" s="3">
        <v>44013.0</v>
      </c>
      <c r="C509" s="2">
        <v>39.187</v>
      </c>
      <c r="D509" s="6">
        <f t="shared" si="2"/>
        <v>88368.995</v>
      </c>
      <c r="E509" s="5">
        <f t="shared" si="1"/>
        <v>0.0004435457397</v>
      </c>
    </row>
    <row r="510" ht="15.75" customHeight="1">
      <c r="B510" s="3">
        <v>44044.0</v>
      </c>
      <c r="C510" s="2">
        <v>110.261</v>
      </c>
      <c r="D510" s="6">
        <f t="shared" si="2"/>
        <v>88479.256</v>
      </c>
      <c r="E510" s="5">
        <f t="shared" si="1"/>
        <v>0.001246956231</v>
      </c>
    </row>
    <row r="511" ht="15.75" customHeight="1">
      <c r="B511" s="3">
        <v>44075.0</v>
      </c>
      <c r="C511" s="2">
        <v>42.378</v>
      </c>
      <c r="D511" s="6">
        <f t="shared" si="2"/>
        <v>88521.634</v>
      </c>
      <c r="E511" s="5">
        <f t="shared" si="1"/>
        <v>0.000478845059</v>
      </c>
    </row>
    <row r="512" ht="15.75" customHeight="1">
      <c r="B512" s="3">
        <v>44105.0</v>
      </c>
      <c r="C512" s="2">
        <v>-315.779</v>
      </c>
      <c r="D512" s="6">
        <f t="shared" si="2"/>
        <v>88205.855</v>
      </c>
      <c r="E512" s="5">
        <f t="shared" si="1"/>
        <v>-0.003573630088</v>
      </c>
    </row>
    <row r="513" ht="15.75" customHeight="1">
      <c r="B513" s="3" t="s">
        <v>304</v>
      </c>
      <c r="C513" s="2">
        <v>37.142</v>
      </c>
      <c r="D513" s="6">
        <f t="shared" si="2"/>
        <v>88242.997</v>
      </c>
      <c r="E513" s="5">
        <f t="shared" si="1"/>
        <v>0.0004209945276</v>
      </c>
    </row>
    <row r="514" ht="15.75" customHeight="1">
      <c r="B514" s="3" t="s">
        <v>305</v>
      </c>
      <c r="C514" s="2">
        <v>133.261</v>
      </c>
      <c r="D514" s="6">
        <f t="shared" si="2"/>
        <v>88376.258</v>
      </c>
      <c r="E514" s="5">
        <f t="shared" si="1"/>
        <v>0.001509020353</v>
      </c>
    </row>
    <row r="515" ht="15.75" customHeight="1">
      <c r="B515" s="3" t="s">
        <v>306</v>
      </c>
      <c r="C515" s="2">
        <v>83.671</v>
      </c>
      <c r="D515" s="6">
        <f t="shared" si="2"/>
        <v>88459.929</v>
      </c>
      <c r="E515" s="5">
        <f t="shared" si="1"/>
        <v>0.0009463109069</v>
      </c>
    </row>
    <row r="516" ht="15.75" customHeight="1">
      <c r="B516" s="3" t="s">
        <v>307</v>
      </c>
      <c r="C516" s="2">
        <v>108.099</v>
      </c>
      <c r="D516" s="6">
        <f t="shared" si="2"/>
        <v>88568.028</v>
      </c>
      <c r="E516" s="5">
        <f t="shared" si="1"/>
        <v>0.001221264881</v>
      </c>
    </row>
    <row r="517" ht="15.75" customHeight="1">
      <c r="B517" s="3" t="s">
        <v>308</v>
      </c>
      <c r="C517" s="2">
        <v>81.377</v>
      </c>
      <c r="D517" s="6">
        <f t="shared" si="2"/>
        <v>88649.405</v>
      </c>
      <c r="E517" s="5">
        <f t="shared" si="1"/>
        <v>0.0009183860114</v>
      </c>
    </row>
    <row r="518" ht="15.75" customHeight="1">
      <c r="B518" s="3" t="s">
        <v>309</v>
      </c>
      <c r="C518" s="2">
        <v>197.144</v>
      </c>
      <c r="D518" s="6">
        <f t="shared" si="2"/>
        <v>88846.549</v>
      </c>
      <c r="E518" s="5">
        <f t="shared" si="1"/>
        <v>0.002221392394</v>
      </c>
    </row>
    <row r="519" ht="15.75" customHeight="1">
      <c r="B519" s="3" t="s">
        <v>310</v>
      </c>
      <c r="C519" s="2">
        <v>145.919</v>
      </c>
      <c r="D519" s="6">
        <f t="shared" si="2"/>
        <v>88992.468</v>
      </c>
      <c r="E519" s="5">
        <f t="shared" si="1"/>
        <v>0.001641023834</v>
      </c>
    </row>
    <row r="520" ht="15.75" customHeight="1">
      <c r="B520" s="3" t="s">
        <v>311</v>
      </c>
      <c r="C520" s="2">
        <v>148.948</v>
      </c>
      <c r="D520" s="6">
        <f t="shared" si="2"/>
        <v>89141.416</v>
      </c>
      <c r="E520" s="5">
        <f t="shared" si="1"/>
        <v>0.001672315579</v>
      </c>
    </row>
    <row r="521" ht="15.75" customHeight="1">
      <c r="B521" s="3" t="s">
        <v>312</v>
      </c>
      <c r="C521" s="2">
        <v>180.513</v>
      </c>
      <c r="D521" s="6">
        <f t="shared" si="2"/>
        <v>89321.929</v>
      </c>
      <c r="E521" s="5">
        <f t="shared" si="1"/>
        <v>0.002022970729</v>
      </c>
    </row>
    <row r="522" ht="15.75" customHeight="1">
      <c r="B522" s="3" t="s">
        <v>313</v>
      </c>
      <c r="C522" s="2">
        <v>112.335</v>
      </c>
      <c r="D522" s="6">
        <f t="shared" si="2"/>
        <v>89434.264</v>
      </c>
      <c r="E522" s="5">
        <f t="shared" si="1"/>
        <v>0.001256851725</v>
      </c>
    </row>
    <row r="523" ht="15.75" customHeight="1">
      <c r="B523" s="3" t="s">
        <v>314</v>
      </c>
      <c r="C523" s="2">
        <v>100.299</v>
      </c>
      <c r="D523" s="6">
        <f t="shared" si="2"/>
        <v>89534.563</v>
      </c>
      <c r="E523" s="5">
        <f t="shared" si="1"/>
        <v>0.001120854533</v>
      </c>
    </row>
    <row r="524" ht="15.75" customHeight="1">
      <c r="B524" s="3" t="s">
        <v>315</v>
      </c>
      <c r="C524" s="2">
        <v>151.408</v>
      </c>
      <c r="D524" s="6">
        <f t="shared" si="2"/>
        <v>89685.971</v>
      </c>
      <c r="E524" s="5">
        <f t="shared" si="1"/>
        <v>0.001689628221</v>
      </c>
    </row>
    <row r="525" ht="15.75" customHeight="1">
      <c r="B525" s="3" t="s">
        <v>316</v>
      </c>
      <c r="C525" s="2">
        <v>282.125</v>
      </c>
      <c r="D525" s="6">
        <f t="shared" si="2"/>
        <v>89968.096</v>
      </c>
      <c r="E525" s="5">
        <f t="shared" si="1"/>
        <v>0.00314076087</v>
      </c>
    </row>
    <row r="526" ht="15.75" customHeight="1">
      <c r="B526" s="3" t="s">
        <v>317</v>
      </c>
      <c r="C526" s="2">
        <v>-77.799</v>
      </c>
      <c r="D526" s="6">
        <f t="shared" si="2"/>
        <v>89890.297</v>
      </c>
      <c r="E526" s="5">
        <f t="shared" si="1"/>
        <v>-0.0008651139772</v>
      </c>
    </row>
    <row r="527" ht="15.75" customHeight="1">
      <c r="B527" s="3">
        <v>43892.0</v>
      </c>
      <c r="C527" s="2">
        <v>4938.075</v>
      </c>
      <c r="D527" s="6">
        <f t="shared" si="2"/>
        <v>94828.372</v>
      </c>
      <c r="E527" s="5">
        <f t="shared" si="1"/>
        <v>0.05347864257</v>
      </c>
    </row>
    <row r="528" ht="15.75" customHeight="1">
      <c r="B528" s="3">
        <v>43923.0</v>
      </c>
      <c r="C528" s="2">
        <v>334.079</v>
      </c>
      <c r="D528" s="6">
        <f t="shared" si="2"/>
        <v>95162.451</v>
      </c>
      <c r="E528" s="5">
        <f t="shared" si="1"/>
        <v>0.003516794538</v>
      </c>
    </row>
    <row r="529" ht="15.75" customHeight="1">
      <c r="B529" s="3">
        <v>43953.0</v>
      </c>
      <c r="C529" s="2">
        <v>-253.682</v>
      </c>
      <c r="D529" s="6">
        <f t="shared" si="2"/>
        <v>94908.769</v>
      </c>
      <c r="E529" s="5">
        <f t="shared" si="1"/>
        <v>-0.002669337847</v>
      </c>
    </row>
    <row r="530" ht="15.75" customHeight="1">
      <c r="B530" s="3">
        <v>43984.0</v>
      </c>
      <c r="C530" s="2">
        <v>350.155</v>
      </c>
      <c r="D530" s="6">
        <f t="shared" si="2"/>
        <v>95258.924</v>
      </c>
      <c r="E530" s="5">
        <f t="shared" si="1"/>
        <v>0.003682596031</v>
      </c>
    </row>
    <row r="531" ht="15.75" customHeight="1">
      <c r="B531" s="3">
        <v>44014.0</v>
      </c>
      <c r="C531" s="2">
        <v>-232.715</v>
      </c>
      <c r="D531" s="6">
        <f t="shared" si="2"/>
        <v>95026.209</v>
      </c>
      <c r="E531" s="5">
        <f t="shared" si="1"/>
        <v>-0.002445962145</v>
      </c>
    </row>
    <row r="532" ht="15.75" customHeight="1">
      <c r="B532" s="3">
        <v>44106.0</v>
      </c>
      <c r="C532" s="2">
        <v>376.222</v>
      </c>
      <c r="D532" s="6">
        <f t="shared" si="2"/>
        <v>95402.431</v>
      </c>
      <c r="E532" s="5">
        <f t="shared" si="1"/>
        <v>0.003951322548</v>
      </c>
    </row>
    <row r="533" ht="15.75" customHeight="1">
      <c r="B533" s="3">
        <v>44137.0</v>
      </c>
      <c r="C533" s="2">
        <v>26.89</v>
      </c>
      <c r="D533" s="6">
        <f t="shared" si="2"/>
        <v>95429.321</v>
      </c>
      <c r="E533" s="5">
        <f t="shared" si="1"/>
        <v>0.000281818931</v>
      </c>
    </row>
    <row r="534" ht="15.75" customHeight="1">
      <c r="B534" s="3">
        <v>44167.0</v>
      </c>
      <c r="C534" s="2">
        <v>179.061</v>
      </c>
      <c r="D534" s="6">
        <f t="shared" si="2"/>
        <v>95608.382</v>
      </c>
      <c r="E534" s="5">
        <f t="shared" si="1"/>
        <v>0.001874614797</v>
      </c>
    </row>
    <row r="535" ht="15.75" customHeight="1">
      <c r="B535" s="3" t="s">
        <v>318</v>
      </c>
      <c r="C535" s="2">
        <v>135.496</v>
      </c>
      <c r="D535" s="6">
        <f t="shared" si="2"/>
        <v>95743.878</v>
      </c>
      <c r="E535" s="5">
        <f t="shared" si="1"/>
        <v>0.001416194642</v>
      </c>
    </row>
    <row r="536" ht="15.75" customHeight="1">
      <c r="B536" s="3" t="s">
        <v>319</v>
      </c>
      <c r="C536" s="2">
        <v>44.526</v>
      </c>
      <c r="D536" s="6">
        <f t="shared" si="2"/>
        <v>95788.404</v>
      </c>
      <c r="E536" s="5">
        <f t="shared" si="1"/>
        <v>0.0004649451292</v>
      </c>
    </row>
    <row r="537" ht="15.75" customHeight="1">
      <c r="B537" s="3" t="s">
        <v>320</v>
      </c>
      <c r="C537" s="2">
        <v>-9.131</v>
      </c>
      <c r="D537" s="6">
        <f t="shared" si="2"/>
        <v>95779.273</v>
      </c>
      <c r="E537" s="5">
        <f t="shared" si="1"/>
        <v>-0.00009532923455</v>
      </c>
    </row>
    <row r="538" ht="15.75" customHeight="1">
      <c r="B538" s="3" t="s">
        <v>321</v>
      </c>
      <c r="C538" s="2">
        <v>-4.31</v>
      </c>
      <c r="D538" s="6">
        <f t="shared" si="2"/>
        <v>95774.963</v>
      </c>
      <c r="E538" s="5">
        <f t="shared" si="1"/>
        <v>-0.00004500031</v>
      </c>
    </row>
    <row r="539" ht="15.75" customHeight="1">
      <c r="B539" s="3" t="s">
        <v>322</v>
      </c>
      <c r="C539" s="2">
        <v>67.813</v>
      </c>
      <c r="D539" s="6">
        <f t="shared" si="2"/>
        <v>95842.776</v>
      </c>
      <c r="E539" s="5">
        <f t="shared" si="1"/>
        <v>0.0007077946247</v>
      </c>
    </row>
    <row r="540" ht="15.75" customHeight="1">
      <c r="B540" s="3" t="s">
        <v>323</v>
      </c>
      <c r="C540" s="2">
        <v>35.631</v>
      </c>
      <c r="D540" s="6">
        <f t="shared" si="2"/>
        <v>95878.407</v>
      </c>
      <c r="E540" s="5">
        <f t="shared" si="1"/>
        <v>0.0003716960208</v>
      </c>
    </row>
    <row r="541" ht="15.75" customHeight="1">
      <c r="B541" s="3" t="s">
        <v>324</v>
      </c>
      <c r="C541" s="2">
        <v>91.944</v>
      </c>
      <c r="D541" s="6">
        <f t="shared" si="2"/>
        <v>95970.351</v>
      </c>
      <c r="E541" s="5">
        <f t="shared" si="1"/>
        <v>0.0009585051058</v>
      </c>
    </row>
    <row r="542" ht="15.75" customHeight="1">
      <c r="B542" s="3" t="s">
        <v>325</v>
      </c>
      <c r="C542" s="2">
        <v>456.725</v>
      </c>
      <c r="D542" s="6">
        <f t="shared" si="2"/>
        <v>96427.076</v>
      </c>
      <c r="E542" s="5">
        <f t="shared" si="1"/>
        <v>0.004747733533</v>
      </c>
    </row>
    <row r="543" ht="15.75" customHeight="1">
      <c r="B543" s="3" t="s">
        <v>326</v>
      </c>
      <c r="C543" s="2">
        <v>596.257</v>
      </c>
      <c r="D543" s="6">
        <f t="shared" si="2"/>
        <v>97023.333</v>
      </c>
      <c r="E543" s="5">
        <f t="shared" si="1"/>
        <v>0.00616446242</v>
      </c>
    </row>
    <row r="544" ht="15.75" customHeight="1">
      <c r="B544" s="3" t="s">
        <v>327</v>
      </c>
      <c r="C544" s="2">
        <v>70.54</v>
      </c>
      <c r="D544" s="6">
        <f t="shared" si="2"/>
        <v>97093.873</v>
      </c>
      <c r="E544" s="5">
        <f t="shared" si="1"/>
        <v>0.0007267774409</v>
      </c>
    </row>
    <row r="545" ht="15.75" customHeight="1">
      <c r="B545" s="3" t="s">
        <v>328</v>
      </c>
      <c r="C545" s="2">
        <v>1081.82</v>
      </c>
      <c r="D545" s="6">
        <f t="shared" si="2"/>
        <v>98175.693</v>
      </c>
      <c r="E545" s="5">
        <f t="shared" si="1"/>
        <v>0.01108038585</v>
      </c>
    </row>
    <row r="546" ht="15.75" customHeight="1">
      <c r="B546" s="3">
        <v>43864.0</v>
      </c>
      <c r="C546" s="2">
        <v>1199.205</v>
      </c>
      <c r="D546" s="6">
        <f t="shared" si="2"/>
        <v>99374.898</v>
      </c>
      <c r="E546" s="5">
        <f t="shared" si="1"/>
        <v>0.0121408873</v>
      </c>
    </row>
    <row r="547" ht="15.75" customHeight="1">
      <c r="B547" s="3">
        <v>43893.0</v>
      </c>
      <c r="C547" s="2">
        <v>737.443</v>
      </c>
      <c r="D547" s="6">
        <f t="shared" si="2"/>
        <v>100112.341</v>
      </c>
      <c r="E547" s="5">
        <f t="shared" si="1"/>
        <v>0.007393418876</v>
      </c>
    </row>
    <row r="548" ht="15.75" customHeight="1">
      <c r="B548" s="3">
        <v>43924.0</v>
      </c>
      <c r="C548" s="2">
        <v>928.278</v>
      </c>
      <c r="D548" s="6">
        <f t="shared" si="2"/>
        <v>101040.619</v>
      </c>
      <c r="E548" s="5">
        <f t="shared" si="1"/>
        <v>0.009229638875</v>
      </c>
    </row>
    <row r="549" ht="15.75" customHeight="1">
      <c r="B549" s="3">
        <v>43954.0</v>
      </c>
      <c r="C549" s="2">
        <v>209.651</v>
      </c>
      <c r="D549" s="6">
        <f t="shared" si="2"/>
        <v>101250.27</v>
      </c>
      <c r="E549" s="5">
        <f t="shared" si="1"/>
        <v>0.00207276834</v>
      </c>
    </row>
    <row r="550" ht="15.75" customHeight="1">
      <c r="B550" s="3">
        <v>43985.0</v>
      </c>
      <c r="C550" s="2">
        <v>132.302</v>
      </c>
      <c r="D550" s="6">
        <f t="shared" si="2"/>
        <v>101382.572</v>
      </c>
      <c r="E550" s="5">
        <f t="shared" si="1"/>
        <v>0.001305829968</v>
      </c>
    </row>
    <row r="551" ht="15.75" customHeight="1">
      <c r="B551" s="3">
        <v>44077.0</v>
      </c>
      <c r="C551" s="2">
        <v>361.712</v>
      </c>
      <c r="D551" s="6">
        <f t="shared" si="2"/>
        <v>101744.284</v>
      </c>
      <c r="E551" s="5">
        <f t="shared" si="1"/>
        <v>0.003561443223</v>
      </c>
    </row>
    <row r="552" ht="15.75" customHeight="1">
      <c r="B552" s="3">
        <v>44107.0</v>
      </c>
      <c r="C552" s="2">
        <v>555.449</v>
      </c>
      <c r="D552" s="6">
        <f t="shared" si="2"/>
        <v>102299.733</v>
      </c>
      <c r="E552" s="5">
        <f t="shared" si="1"/>
        <v>0.005444417143</v>
      </c>
    </row>
    <row r="553" ht="15.75" customHeight="1">
      <c r="B553" s="3">
        <v>44138.0</v>
      </c>
      <c r="C553" s="2">
        <v>461.435</v>
      </c>
      <c r="D553" s="6">
        <f t="shared" si="2"/>
        <v>102761.168</v>
      </c>
      <c r="E553" s="5">
        <f t="shared" si="1"/>
        <v>0.004500475484</v>
      </c>
    </row>
    <row r="554" ht="15.75" customHeight="1">
      <c r="B554" s="3">
        <v>44168.0</v>
      </c>
      <c r="C554" s="2">
        <v>1072.213</v>
      </c>
      <c r="D554" s="6">
        <f t="shared" si="2"/>
        <v>103833.381</v>
      </c>
      <c r="E554" s="5">
        <f t="shared" si="1"/>
        <v>0.01037997016</v>
      </c>
    </row>
    <row r="555" ht="15.75" customHeight="1">
      <c r="B555" s="3" t="s">
        <v>329</v>
      </c>
      <c r="C555" s="2">
        <v>1394.819</v>
      </c>
      <c r="D555" s="6">
        <f t="shared" si="2"/>
        <v>105228.2</v>
      </c>
      <c r="E555" s="5">
        <f t="shared" si="1"/>
        <v>0.01334381659</v>
      </c>
    </row>
    <row r="556" ht="15.75" customHeight="1">
      <c r="B556" s="3" t="s">
        <v>330</v>
      </c>
      <c r="C556" s="2">
        <v>862.047</v>
      </c>
      <c r="D556" s="6">
        <f t="shared" si="2"/>
        <v>106090.247</v>
      </c>
      <c r="E556" s="5">
        <f t="shared" si="1"/>
        <v>0.008158793462</v>
      </c>
    </row>
    <row r="557" ht="15.75" customHeight="1">
      <c r="B557" s="3" t="s">
        <v>331</v>
      </c>
      <c r="C557" s="2">
        <v>450.012</v>
      </c>
      <c r="D557" s="6">
        <f t="shared" si="2"/>
        <v>106540.259</v>
      </c>
      <c r="E557" s="5">
        <f t="shared" si="1"/>
        <v>0.004232813817</v>
      </c>
    </row>
    <row r="558" ht="15.75" customHeight="1">
      <c r="B558" s="3" t="s">
        <v>332</v>
      </c>
      <c r="C558" s="2">
        <v>-4170.956</v>
      </c>
      <c r="D558" s="6">
        <f t="shared" si="2"/>
        <v>102369.303</v>
      </c>
      <c r="E558" s="5">
        <f t="shared" si="1"/>
        <v>-0.03993604022</v>
      </c>
    </row>
    <row r="559" ht="15.75" customHeight="1">
      <c r="B559" s="3" t="s">
        <v>333</v>
      </c>
      <c r="C559" s="2">
        <v>165.085</v>
      </c>
      <c r="D559" s="6">
        <f t="shared" si="2"/>
        <v>102534.388</v>
      </c>
      <c r="E559" s="5">
        <f t="shared" si="1"/>
        <v>0.001611342723</v>
      </c>
    </row>
    <row r="560" ht="15.75" customHeight="1">
      <c r="B560" s="3" t="s">
        <v>334</v>
      </c>
      <c r="C560" s="2">
        <v>157.954</v>
      </c>
      <c r="D560" s="6">
        <f t="shared" si="2"/>
        <v>102692.342</v>
      </c>
      <c r="E560" s="5">
        <f t="shared" si="1"/>
        <v>0.001539312459</v>
      </c>
    </row>
    <row r="561" ht="15.75" customHeight="1">
      <c r="B561" s="3" t="s">
        <v>335</v>
      </c>
      <c r="C561" s="2">
        <v>94.683</v>
      </c>
      <c r="D561" s="6">
        <f t="shared" si="2"/>
        <v>102787.025</v>
      </c>
      <c r="E561" s="5">
        <f t="shared" si="1"/>
        <v>0.0009215816467</v>
      </c>
    </row>
    <row r="562" ht="15.75" customHeight="1">
      <c r="B562" s="3" t="s">
        <v>336</v>
      </c>
      <c r="C562" s="2">
        <v>279.89</v>
      </c>
      <c r="D562" s="6">
        <f t="shared" si="2"/>
        <v>103066.915</v>
      </c>
      <c r="E562" s="5">
        <f t="shared" si="1"/>
        <v>0.002719308384</v>
      </c>
    </row>
    <row r="563" ht="15.75" customHeight="1">
      <c r="B563" s="3" t="s">
        <v>337</v>
      </c>
      <c r="C563" s="2">
        <v>515.173</v>
      </c>
      <c r="D563" s="6">
        <f t="shared" si="2"/>
        <v>103582.088</v>
      </c>
      <c r="E563" s="5">
        <f t="shared" si="1"/>
        <v>0.004985981638</v>
      </c>
    </row>
    <row r="564" ht="15.75" customHeight="1">
      <c r="B564" s="3" t="s">
        <v>338</v>
      </c>
      <c r="C564" s="2">
        <v>367.592</v>
      </c>
      <c r="D564" s="6">
        <f t="shared" si="2"/>
        <v>103949.68</v>
      </c>
      <c r="E564" s="5">
        <f t="shared" si="1"/>
        <v>0.003542516772</v>
      </c>
    </row>
    <row r="565" ht="15.75" customHeight="1">
      <c r="B565" s="3" t="s">
        <v>339</v>
      </c>
      <c r="C565" s="2">
        <v>437.176</v>
      </c>
      <c r="D565" s="6">
        <f t="shared" si="2"/>
        <v>104386.856</v>
      </c>
      <c r="E565" s="5">
        <f t="shared" si="1"/>
        <v>0.004196831243</v>
      </c>
    </row>
    <row r="566" ht="15.75" customHeight="1">
      <c r="B566" s="3" t="s">
        <v>340</v>
      </c>
      <c r="C566" s="2">
        <v>1753.339</v>
      </c>
      <c r="D566" s="6">
        <f t="shared" si="2"/>
        <v>106140.195</v>
      </c>
      <c r="E566" s="5">
        <f t="shared" si="1"/>
        <v>0.01665704745</v>
      </c>
    </row>
    <row r="567" ht="15.75" customHeight="1">
      <c r="B567" s="3" t="s">
        <v>341</v>
      </c>
      <c r="C567" s="2">
        <v>192.646</v>
      </c>
      <c r="D567" s="6">
        <f t="shared" si="2"/>
        <v>106332.841</v>
      </c>
      <c r="E567" s="5">
        <f t="shared" si="1"/>
        <v>0.001813369418</v>
      </c>
    </row>
    <row r="568" ht="15.75" customHeight="1">
      <c r="B568" s="3">
        <v>43834.0</v>
      </c>
      <c r="C568" s="2">
        <v>-113.015</v>
      </c>
      <c r="D568" s="6">
        <f t="shared" si="2"/>
        <v>106219.826</v>
      </c>
      <c r="E568" s="5">
        <f t="shared" si="1"/>
        <v>-0.001063407129</v>
      </c>
    </row>
    <row r="569" ht="15.75" customHeight="1">
      <c r="B569" s="3">
        <v>43865.0</v>
      </c>
      <c r="C569" s="2">
        <v>-1310.997</v>
      </c>
      <c r="D569" s="6">
        <f t="shared" si="2"/>
        <v>104908.829</v>
      </c>
      <c r="E569" s="5">
        <f t="shared" si="1"/>
        <v>-0.01241909915</v>
      </c>
    </row>
    <row r="570" ht="15.75" customHeight="1">
      <c r="B570" s="3">
        <v>43894.0</v>
      </c>
      <c r="C570" s="2">
        <v>1.786</v>
      </c>
      <c r="D570" s="6">
        <f t="shared" si="2"/>
        <v>104910.615</v>
      </c>
      <c r="E570" s="5">
        <f t="shared" si="1"/>
        <v>0.00001702416102</v>
      </c>
    </row>
    <row r="571" ht="15.75" customHeight="1">
      <c r="B571" s="3">
        <v>43986.0</v>
      </c>
      <c r="C571" s="2">
        <v>49.649</v>
      </c>
      <c r="D571" s="6">
        <f t="shared" si="2"/>
        <v>104960.264</v>
      </c>
      <c r="E571" s="5">
        <f t="shared" si="1"/>
        <v>0.0004731385427</v>
      </c>
    </row>
    <row r="572" ht="15.75" customHeight="1">
      <c r="B572" s="3">
        <v>44016.0</v>
      </c>
      <c r="C572" s="2">
        <v>-172.65</v>
      </c>
      <c r="D572" s="6">
        <f t="shared" si="2"/>
        <v>104787.614</v>
      </c>
      <c r="E572" s="5">
        <f t="shared" si="1"/>
        <v>-0.001646262557</v>
      </c>
    </row>
    <row r="573" ht="15.75" customHeight="1">
      <c r="B573" s="3">
        <v>44047.0</v>
      </c>
      <c r="C573" s="2">
        <v>754.098</v>
      </c>
      <c r="D573" s="6">
        <f t="shared" si="2"/>
        <v>105541.712</v>
      </c>
      <c r="E573" s="5">
        <f t="shared" si="1"/>
        <v>0.007170671304</v>
      </c>
    </row>
    <row r="574" ht="15.75" customHeight="1">
      <c r="B574" s="3">
        <v>44078.0</v>
      </c>
      <c r="C574" s="2">
        <v>26.222</v>
      </c>
      <c r="D574" s="6">
        <f t="shared" si="2"/>
        <v>105567.934</v>
      </c>
      <c r="E574" s="5">
        <f t="shared" si="1"/>
        <v>0.0002484206727</v>
      </c>
    </row>
    <row r="575" ht="15.75" customHeight="1">
      <c r="B575" s="3" t="s">
        <v>342</v>
      </c>
      <c r="C575" s="2">
        <v>205.108</v>
      </c>
      <c r="D575" s="6">
        <f t="shared" si="2"/>
        <v>105773.042</v>
      </c>
      <c r="E575" s="5">
        <f t="shared" si="1"/>
        <v>0.001941015588</v>
      </c>
    </row>
    <row r="576" ht="15.75" customHeight="1">
      <c r="B576" s="3" t="s">
        <v>343</v>
      </c>
      <c r="C576" s="2">
        <v>-159.254</v>
      </c>
      <c r="D576" s="6">
        <f t="shared" si="2"/>
        <v>105613.788</v>
      </c>
      <c r="E576" s="5">
        <f t="shared" si="1"/>
        <v>-0.001506754514</v>
      </c>
    </row>
    <row r="577" ht="15.75" customHeight="1">
      <c r="B577" s="3" t="s">
        <v>344</v>
      </c>
      <c r="C577" s="2">
        <v>111.373</v>
      </c>
      <c r="D577" s="6">
        <f t="shared" si="2"/>
        <v>105725.161</v>
      </c>
      <c r="E577" s="5">
        <f t="shared" si="1"/>
        <v>0.001053975245</v>
      </c>
    </row>
    <row r="578" ht="15.75" customHeight="1">
      <c r="B578" s="3" t="s">
        <v>345</v>
      </c>
      <c r="C578" s="2">
        <v>-77.075</v>
      </c>
      <c r="D578" s="6">
        <f t="shared" si="2"/>
        <v>105648.086</v>
      </c>
      <c r="E578" s="5">
        <f t="shared" si="1"/>
        <v>-0.0007292787002</v>
      </c>
    </row>
    <row r="579" ht="15.75" customHeight="1">
      <c r="B579" s="3" t="s">
        <v>346</v>
      </c>
      <c r="C579" s="2">
        <v>-224.881</v>
      </c>
      <c r="D579" s="6">
        <f t="shared" si="2"/>
        <v>105423.205</v>
      </c>
      <c r="E579" s="5">
        <f t="shared" si="1"/>
        <v>-0.00213085431</v>
      </c>
    </row>
    <row r="580" ht="15.75" customHeight="1">
      <c r="B580" s="3" t="s">
        <v>347</v>
      </c>
      <c r="C580" s="2">
        <v>74.694</v>
      </c>
      <c r="D580" s="6">
        <f t="shared" si="2"/>
        <v>105497.899</v>
      </c>
      <c r="E580" s="5">
        <f t="shared" si="1"/>
        <v>0.0007082648602</v>
      </c>
    </row>
    <row r="581" ht="15.75" customHeight="1">
      <c r="B581" s="3" t="s">
        <v>348</v>
      </c>
      <c r="C581" s="2">
        <v>-252.769</v>
      </c>
      <c r="D581" s="6">
        <f t="shared" si="2"/>
        <v>105245.13</v>
      </c>
      <c r="E581" s="5">
        <f t="shared" si="1"/>
        <v>-0.002398837318</v>
      </c>
    </row>
    <row r="582" ht="15.75" customHeight="1">
      <c r="B582" s="3" t="s">
        <v>349</v>
      </c>
      <c r="C582" s="2">
        <v>3.357</v>
      </c>
      <c r="D582" s="6">
        <f t="shared" si="2"/>
        <v>105248.487</v>
      </c>
      <c r="E582" s="5">
        <f t="shared" si="1"/>
        <v>0.00003189645414</v>
      </c>
    </row>
    <row r="583" ht="15.75" customHeight="1">
      <c r="B583" s="3" t="s">
        <v>350</v>
      </c>
      <c r="C583" s="2">
        <v>-43.344</v>
      </c>
      <c r="D583" s="6">
        <f t="shared" si="2"/>
        <v>105205.143</v>
      </c>
      <c r="E583" s="5">
        <f t="shared" si="1"/>
        <v>-0.0004119102209</v>
      </c>
    </row>
    <row r="584" ht="15.75" customHeight="1">
      <c r="B584" s="3" t="s">
        <v>351</v>
      </c>
      <c r="C584" s="2">
        <v>-218.334</v>
      </c>
      <c r="D584" s="6">
        <f t="shared" si="2"/>
        <v>104986.809</v>
      </c>
      <c r="E584" s="5">
        <f t="shared" si="1"/>
        <v>-0.002077473247</v>
      </c>
    </row>
    <row r="585" ht="15.75" customHeight="1">
      <c r="B585" s="3" t="s">
        <v>352</v>
      </c>
      <c r="C585" s="2">
        <v>-49.501</v>
      </c>
      <c r="D585" s="6">
        <f t="shared" si="2"/>
        <v>104937.308</v>
      </c>
      <c r="E585" s="5">
        <f t="shared" si="1"/>
        <v>-0.0004716085186</v>
      </c>
    </row>
    <row r="586" ht="15.75" customHeight="1">
      <c r="B586" s="3" t="s">
        <v>353</v>
      </c>
      <c r="C586" s="2">
        <v>-36.459</v>
      </c>
      <c r="D586" s="6">
        <f t="shared" si="2"/>
        <v>104900.849</v>
      </c>
      <c r="E586" s="5">
        <f t="shared" si="1"/>
        <v>-0.0003474963838</v>
      </c>
    </row>
    <row r="587" ht="15.75" customHeight="1">
      <c r="B587" s="3" t="s">
        <v>354</v>
      </c>
      <c r="C587" s="2">
        <v>-1486.018</v>
      </c>
      <c r="D587" s="6">
        <f t="shared" si="2"/>
        <v>103414.831</v>
      </c>
      <c r="E587" s="5">
        <f t="shared" si="1"/>
        <v>-0.01426722373</v>
      </c>
    </row>
    <row r="588" ht="15.75" customHeight="1">
      <c r="B588" s="3" t="s">
        <v>355</v>
      </c>
      <c r="C588" s="2">
        <v>-31.477</v>
      </c>
      <c r="D588" s="6">
        <f t="shared" si="2"/>
        <v>103383.354</v>
      </c>
      <c r="E588" s="5">
        <f t="shared" si="1"/>
        <v>-0.0003044224034</v>
      </c>
    </row>
    <row r="589" ht="15.75" customHeight="1">
      <c r="B589" s="3">
        <v>43835.0</v>
      </c>
      <c r="C589" s="2">
        <v>-153.928</v>
      </c>
      <c r="D589" s="6">
        <f t="shared" si="2"/>
        <v>103229.426</v>
      </c>
      <c r="E589" s="5">
        <f t="shared" si="1"/>
        <v>-0.001490014591</v>
      </c>
    </row>
    <row r="590" ht="15.75" customHeight="1">
      <c r="B590" s="3">
        <v>43926.0</v>
      </c>
      <c r="C590" s="2">
        <v>196.25</v>
      </c>
      <c r="D590" s="6">
        <f t="shared" si="2"/>
        <v>103425.676</v>
      </c>
      <c r="E590" s="5">
        <f t="shared" si="1"/>
        <v>0.0018993004</v>
      </c>
    </row>
    <row r="591" ht="15.75" customHeight="1">
      <c r="B591" s="3">
        <v>43956.0</v>
      </c>
      <c r="C591" s="2">
        <v>-30.187</v>
      </c>
      <c r="D591" s="6">
        <f t="shared" si="2"/>
        <v>103395.489</v>
      </c>
      <c r="E591" s="5">
        <f t="shared" si="1"/>
        <v>-0.0002919140332</v>
      </c>
    </row>
    <row r="592" ht="15.75" customHeight="1">
      <c r="B592" s="3">
        <v>43987.0</v>
      </c>
      <c r="C592" s="2">
        <v>17.951</v>
      </c>
      <c r="D592" s="6">
        <f t="shared" si="2"/>
        <v>103413.44</v>
      </c>
      <c r="E592" s="5">
        <f t="shared" si="1"/>
        <v>0.000173599855</v>
      </c>
    </row>
    <row r="593" ht="15.75" customHeight="1">
      <c r="B593" s="3">
        <v>44017.0</v>
      </c>
      <c r="C593" s="2">
        <v>-30.937</v>
      </c>
      <c r="D593" s="6">
        <f t="shared" si="2"/>
        <v>103382.503</v>
      </c>
      <c r="E593" s="5">
        <f t="shared" si="1"/>
        <v>-0.0002992031641</v>
      </c>
    </row>
    <row r="594" ht="15.75" customHeight="1">
      <c r="B594" s="3">
        <v>44048.0</v>
      </c>
      <c r="C594" s="2">
        <v>-96.244</v>
      </c>
      <c r="D594" s="6">
        <f t="shared" si="2"/>
        <v>103286.259</v>
      </c>
      <c r="E594" s="5">
        <f t="shared" si="1"/>
        <v>-0.0009313841727</v>
      </c>
    </row>
    <row r="595" ht="15.75" customHeight="1">
      <c r="B595" s="3">
        <v>44140.0</v>
      </c>
      <c r="C595" s="2">
        <v>-35.525</v>
      </c>
      <c r="D595" s="6">
        <f t="shared" si="2"/>
        <v>103250.734</v>
      </c>
      <c r="E595" s="5">
        <f t="shared" si="1"/>
        <v>-0.0003440061738</v>
      </c>
    </row>
    <row r="596" ht="15.75" customHeight="1">
      <c r="B596" s="3">
        <v>44170.0</v>
      </c>
      <c r="C596" s="2">
        <v>-29.799</v>
      </c>
      <c r="D596" s="6">
        <f t="shared" si="2"/>
        <v>103220.935</v>
      </c>
      <c r="E596" s="5">
        <f t="shared" si="1"/>
        <v>-0.0002886497731</v>
      </c>
    </row>
    <row r="597" ht="15.75" customHeight="1">
      <c r="B597" s="3" t="s">
        <v>356</v>
      </c>
      <c r="C597" s="2">
        <v>-63.687</v>
      </c>
      <c r="D597" s="6">
        <f t="shared" si="2"/>
        <v>103157.248</v>
      </c>
      <c r="E597" s="5">
        <f t="shared" si="1"/>
        <v>-0.0006171873509</v>
      </c>
    </row>
    <row r="598" ht="15.75" customHeight="1">
      <c r="B598" s="3" t="s">
        <v>357</v>
      </c>
      <c r="C598" s="2">
        <v>-250.47</v>
      </c>
      <c r="D598" s="6">
        <f t="shared" si="2"/>
        <v>102906.778</v>
      </c>
      <c r="E598" s="5">
        <f t="shared" si="1"/>
        <v>-0.002430993204</v>
      </c>
    </row>
    <row r="599" ht="15.75" customHeight="1">
      <c r="B599" s="3" t="s">
        <v>358</v>
      </c>
      <c r="C599" s="2">
        <v>-461.034</v>
      </c>
      <c r="D599" s="6">
        <f t="shared" si="2"/>
        <v>102445.744</v>
      </c>
      <c r="E599" s="5">
        <f t="shared" si="1"/>
        <v>-0.004490178841</v>
      </c>
    </row>
    <row r="600" ht="15.75" customHeight="1">
      <c r="B600" s="3" t="s">
        <v>359</v>
      </c>
      <c r="C600" s="2">
        <v>-153.578</v>
      </c>
      <c r="D600" s="6">
        <f t="shared" si="2"/>
        <v>102292.166</v>
      </c>
      <c r="E600" s="5">
        <f t="shared" si="1"/>
        <v>-0.001500240271</v>
      </c>
    </row>
    <row r="601" ht="15.75" customHeight="1">
      <c r="B601" s="3" t="s">
        <v>360</v>
      </c>
      <c r="C601" s="2">
        <v>477.029</v>
      </c>
      <c r="D601" s="6">
        <f t="shared" si="2"/>
        <v>102769.195</v>
      </c>
      <c r="E601" s="5">
        <f t="shared" si="1"/>
        <v>0.004652557246</v>
      </c>
    </row>
    <row r="602" ht="15.75" customHeight="1">
      <c r="B602" s="3" t="s">
        <v>361</v>
      </c>
      <c r="C602" s="2">
        <v>235.362</v>
      </c>
      <c r="D602" s="6">
        <f t="shared" si="2"/>
        <v>103004.557</v>
      </c>
      <c r="E602" s="5">
        <f t="shared" si="1"/>
        <v>0.002287581388</v>
      </c>
    </row>
    <row r="603" ht="15.75" customHeight="1">
      <c r="B603" s="3" t="s">
        <v>362</v>
      </c>
      <c r="C603" s="2">
        <v>56.968</v>
      </c>
      <c r="D603" s="6">
        <f t="shared" si="2"/>
        <v>103061.525</v>
      </c>
      <c r="E603" s="5">
        <f t="shared" si="1"/>
        <v>0.0005529100267</v>
      </c>
    </row>
    <row r="604" ht="15.75" customHeight="1">
      <c r="B604" s="3" t="s">
        <v>363</v>
      </c>
      <c r="C604" s="2">
        <v>-3.707</v>
      </c>
      <c r="D604" s="6">
        <f t="shared" si="2"/>
        <v>103057.818</v>
      </c>
      <c r="E604" s="5">
        <f t="shared" si="1"/>
        <v>-0.0000359694529</v>
      </c>
    </row>
    <row r="605" ht="15.75" customHeight="1">
      <c r="B605" s="3" t="s">
        <v>364</v>
      </c>
      <c r="C605" s="2">
        <v>52.306</v>
      </c>
      <c r="D605" s="6">
        <f t="shared" si="2"/>
        <v>103110.124</v>
      </c>
      <c r="E605" s="5">
        <f t="shared" si="1"/>
        <v>0.0005074115851</v>
      </c>
    </row>
    <row r="606" ht="15.75" customHeight="1">
      <c r="B606" s="3" t="s">
        <v>365</v>
      </c>
      <c r="C606" s="2">
        <v>231.337</v>
      </c>
      <c r="D606" s="6">
        <f t="shared" si="2"/>
        <v>103341.461</v>
      </c>
      <c r="E606" s="5">
        <f t="shared" si="1"/>
        <v>0.002241078428</v>
      </c>
    </row>
    <row r="607" ht="15.75" customHeight="1">
      <c r="B607" s="3" t="s">
        <v>366</v>
      </c>
      <c r="C607" s="2">
        <v>272.707</v>
      </c>
      <c r="D607" s="6">
        <f t="shared" si="2"/>
        <v>103614.168</v>
      </c>
      <c r="E607" s="5">
        <f t="shared" si="1"/>
        <v>0.002635416675</v>
      </c>
    </row>
    <row r="608" ht="15.75" customHeight="1">
      <c r="B608" s="3" t="s">
        <v>367</v>
      </c>
      <c r="C608" s="2">
        <v>-30.853</v>
      </c>
      <c r="D608" s="6">
        <f t="shared" si="2"/>
        <v>103583.315</v>
      </c>
      <c r="E608" s="5">
        <f t="shared" si="1"/>
        <v>-0.0002978125002</v>
      </c>
    </row>
    <row r="609" ht="15.75" customHeight="1">
      <c r="B609" s="3">
        <v>43836.0</v>
      </c>
      <c r="C609" s="2">
        <v>187.128</v>
      </c>
      <c r="D609" s="6">
        <f t="shared" si="2"/>
        <v>103770.443</v>
      </c>
      <c r="E609" s="5">
        <f t="shared" si="1"/>
        <v>0.001804915933</v>
      </c>
    </row>
    <row r="610" ht="15.75" customHeight="1">
      <c r="B610" s="3">
        <v>43867.0</v>
      </c>
      <c r="C610" s="2">
        <v>171.059</v>
      </c>
      <c r="D610" s="6">
        <f t="shared" si="2"/>
        <v>103941.502</v>
      </c>
      <c r="E610" s="5">
        <f t="shared" si="1"/>
        <v>0.001647079456</v>
      </c>
    </row>
    <row r="611" ht="15.75" customHeight="1">
      <c r="B611" s="3">
        <v>43896.0</v>
      </c>
      <c r="C611" s="2">
        <v>-35.985</v>
      </c>
      <c r="D611" s="6">
        <f t="shared" si="2"/>
        <v>103905.517</v>
      </c>
      <c r="E611" s="5">
        <f t="shared" si="1"/>
        <v>-0.0003462642912</v>
      </c>
    </row>
    <row r="612" ht="15.75" customHeight="1">
      <c r="B612" s="3">
        <v>43927.0</v>
      </c>
      <c r="C612" s="2">
        <v>240.007</v>
      </c>
      <c r="D612" s="6">
        <f t="shared" si="2"/>
        <v>104145.524</v>
      </c>
      <c r="E612" s="5">
        <f t="shared" si="1"/>
        <v>0.002307194478</v>
      </c>
    </row>
    <row r="613" ht="15.75" customHeight="1">
      <c r="B613" s="3">
        <v>43957.0</v>
      </c>
      <c r="C613" s="2">
        <v>28.261</v>
      </c>
      <c r="D613" s="6">
        <f t="shared" si="2"/>
        <v>104173.785</v>
      </c>
      <c r="E613" s="5">
        <f t="shared" si="1"/>
        <v>0.0002713238663</v>
      </c>
    </row>
    <row r="614" ht="15.75" customHeight="1">
      <c r="B614" s="3">
        <v>44049.0</v>
      </c>
      <c r="C614" s="2">
        <v>-185.506</v>
      </c>
      <c r="D614" s="6">
        <f t="shared" si="2"/>
        <v>103988.279</v>
      </c>
      <c r="E614" s="5">
        <f t="shared" si="1"/>
        <v>-0.001782323307</v>
      </c>
    </row>
    <row r="615" ht="15.75" customHeight="1">
      <c r="B615" s="3">
        <v>44080.0</v>
      </c>
      <c r="C615" s="2">
        <v>20.108</v>
      </c>
      <c r="D615" s="6">
        <f t="shared" si="2"/>
        <v>104008.387</v>
      </c>
      <c r="E615" s="5">
        <f t="shared" si="1"/>
        <v>0.0001933492536</v>
      </c>
    </row>
    <row r="616" ht="15.75" customHeight="1">
      <c r="B616" s="3">
        <v>44110.0</v>
      </c>
      <c r="C616" s="2">
        <v>-37.112</v>
      </c>
      <c r="D616" s="6">
        <f t="shared" si="2"/>
        <v>103971.275</v>
      </c>
      <c r="E616" s="5">
        <f t="shared" si="1"/>
        <v>-0.0003568810531</v>
      </c>
    </row>
    <row r="617" ht="15.75" customHeight="1">
      <c r="B617" s="3">
        <v>44141.0</v>
      </c>
      <c r="C617" s="2">
        <v>-24.398</v>
      </c>
      <c r="D617" s="6">
        <f t="shared" si="2"/>
        <v>103946.877</v>
      </c>
      <c r="E617" s="5">
        <f t="shared" si="1"/>
        <v>-0.0002346885048</v>
      </c>
    </row>
    <row r="618" ht="15.75" customHeight="1">
      <c r="B618" s="3">
        <v>44171.0</v>
      </c>
      <c r="C618" s="2">
        <v>-64.854</v>
      </c>
      <c r="D618" s="6">
        <f t="shared" si="2"/>
        <v>103882.023</v>
      </c>
      <c r="E618" s="5">
        <f t="shared" si="1"/>
        <v>-0.0006241095642</v>
      </c>
    </row>
    <row r="619" ht="15.75" customHeight="1">
      <c r="B619" s="3" t="s">
        <v>368</v>
      </c>
      <c r="C619" s="2">
        <v>30.625</v>
      </c>
      <c r="D619" s="6">
        <f t="shared" si="2"/>
        <v>103912.648</v>
      </c>
      <c r="E619" s="5">
        <f t="shared" si="1"/>
        <v>0.000294762133</v>
      </c>
    </row>
    <row r="620" ht="15.75" customHeight="1">
      <c r="B620" s="3" t="s">
        <v>369</v>
      </c>
      <c r="C620" s="2">
        <v>38.851</v>
      </c>
      <c r="D620" s="6">
        <f t="shared" si="2"/>
        <v>103951.499</v>
      </c>
      <c r="E620" s="5">
        <f t="shared" si="1"/>
        <v>0.000373811463</v>
      </c>
    </row>
    <row r="621" ht="15.75" customHeight="1">
      <c r="B621" s="3" t="s">
        <v>370</v>
      </c>
      <c r="C621" s="2">
        <v>93.306</v>
      </c>
      <c r="D621" s="6">
        <f t="shared" si="2"/>
        <v>104044.805</v>
      </c>
      <c r="E621" s="5">
        <f t="shared" si="1"/>
        <v>0.0008971890795</v>
      </c>
    </row>
    <row r="622" ht="15.75" customHeight="1">
      <c r="B622" s="3" t="s">
        <v>371</v>
      </c>
      <c r="C622" s="2">
        <v>2645.106</v>
      </c>
      <c r="D622" s="6">
        <f t="shared" si="2"/>
        <v>106689.911</v>
      </c>
      <c r="E622" s="5">
        <f t="shared" si="1"/>
        <v>0.02510497534</v>
      </c>
    </row>
    <row r="623" ht="15.75" customHeight="1">
      <c r="B623" s="3" t="s">
        <v>372</v>
      </c>
      <c r="C623" s="2">
        <v>3677.649</v>
      </c>
      <c r="D623" s="6">
        <f t="shared" si="2"/>
        <v>110367.56</v>
      </c>
      <c r="E623" s="5">
        <f t="shared" si="1"/>
        <v>0.03388965107</v>
      </c>
    </row>
    <row r="624" ht="15.75" customHeight="1">
      <c r="B624" s="3" t="s">
        <v>373</v>
      </c>
      <c r="C624" s="2">
        <v>-732.556</v>
      </c>
      <c r="D624" s="6">
        <f t="shared" si="2"/>
        <v>109635.004</v>
      </c>
      <c r="E624" s="5">
        <f t="shared" si="1"/>
        <v>-0.006659546999</v>
      </c>
    </row>
    <row r="625" ht="15.75" customHeight="1">
      <c r="B625" s="3" t="s">
        <v>374</v>
      </c>
      <c r="C625" s="2">
        <v>104.986</v>
      </c>
      <c r="D625" s="6">
        <f t="shared" si="2"/>
        <v>109739.99</v>
      </c>
      <c r="E625" s="5">
        <f t="shared" si="1"/>
        <v>0.0009571374212</v>
      </c>
    </row>
    <row r="626" ht="15.75" customHeight="1">
      <c r="B626" s="3" t="s">
        <v>375</v>
      </c>
      <c r="C626" s="2">
        <v>-2.635</v>
      </c>
      <c r="D626" s="6">
        <f t="shared" si="2"/>
        <v>109737.355</v>
      </c>
      <c r="E626" s="5">
        <f t="shared" si="1"/>
        <v>-0.0000240115899</v>
      </c>
    </row>
    <row r="627" ht="15.75" customHeight="1">
      <c r="B627" s="3" t="s">
        <v>376</v>
      </c>
      <c r="C627" s="2">
        <v>266.961</v>
      </c>
      <c r="D627" s="6">
        <f t="shared" si="2"/>
        <v>110004.316</v>
      </c>
      <c r="E627" s="5">
        <f t="shared" si="1"/>
        <v>0.00242977247</v>
      </c>
    </row>
    <row r="628" ht="15.75" customHeight="1">
      <c r="B628" s="3" t="s">
        <v>377</v>
      </c>
      <c r="C628" s="2">
        <v>1099.055</v>
      </c>
      <c r="D628" s="6">
        <f t="shared" si="2"/>
        <v>111103.371</v>
      </c>
      <c r="E628" s="5">
        <f t="shared" si="1"/>
        <v>0.009941436833</v>
      </c>
    </row>
    <row r="629" ht="15.75" customHeight="1">
      <c r="B629" s="3" t="s">
        <v>378</v>
      </c>
      <c r="C629" s="2">
        <v>-685.402</v>
      </c>
      <c r="D629" s="6">
        <f t="shared" si="2"/>
        <v>110417.969</v>
      </c>
      <c r="E629" s="5">
        <f t="shared" si="1"/>
        <v>-0.00618815494</v>
      </c>
    </row>
    <row r="630" ht="15.75" customHeight="1">
      <c r="B630" s="3" t="s">
        <v>379</v>
      </c>
      <c r="C630" s="2">
        <v>97.853</v>
      </c>
      <c r="D630" s="6">
        <f t="shared" si="2"/>
        <v>110515.822</v>
      </c>
      <c r="E630" s="5">
        <f t="shared" si="1"/>
        <v>0.0008858129484</v>
      </c>
    </row>
    <row r="631" ht="15.75" customHeight="1">
      <c r="B631" s="3">
        <v>43837.0</v>
      </c>
      <c r="C631" s="2">
        <v>-184.514</v>
      </c>
      <c r="D631" s="6">
        <f t="shared" si="2"/>
        <v>110331.308</v>
      </c>
      <c r="E631" s="5">
        <f t="shared" si="1"/>
        <v>-0.001670966183</v>
      </c>
    </row>
    <row r="632" ht="15.75" customHeight="1">
      <c r="B632" s="3">
        <v>43868.0</v>
      </c>
      <c r="C632" s="2">
        <v>111.092</v>
      </c>
      <c r="D632" s="6">
        <f t="shared" si="2"/>
        <v>110442.4</v>
      </c>
      <c r="E632" s="5">
        <f t="shared" si="1"/>
        <v>0.001006388038</v>
      </c>
    </row>
    <row r="633" ht="15.75" customHeight="1">
      <c r="B633" s="3">
        <v>43989.0</v>
      </c>
      <c r="C633" s="2">
        <v>11.267</v>
      </c>
      <c r="D633" s="6">
        <f t="shared" si="2"/>
        <v>110453.667</v>
      </c>
      <c r="E633" s="5">
        <f t="shared" si="1"/>
        <v>0.0001020117756</v>
      </c>
    </row>
    <row r="634" ht="15.75" customHeight="1">
      <c r="B634" s="3">
        <v>44019.0</v>
      </c>
      <c r="C634" s="2">
        <v>-121.638</v>
      </c>
      <c r="D634" s="6">
        <f t="shared" si="2"/>
        <v>110332.029</v>
      </c>
      <c r="E634" s="5">
        <f t="shared" si="1"/>
        <v>-0.001101864971</v>
      </c>
    </row>
    <row r="635" ht="15.75" customHeight="1">
      <c r="B635" s="3">
        <v>44050.0</v>
      </c>
      <c r="C635" s="2">
        <v>90.278</v>
      </c>
      <c r="D635" s="6">
        <f t="shared" si="2"/>
        <v>110422.307</v>
      </c>
      <c r="E635" s="5">
        <f t="shared" si="1"/>
        <v>0.000817904705</v>
      </c>
    </row>
    <row r="636" ht="15.75" customHeight="1">
      <c r="B636" s="3">
        <v>44081.0</v>
      </c>
      <c r="C636" s="2">
        <v>43.568</v>
      </c>
      <c r="D636" s="6">
        <f t="shared" si="2"/>
        <v>110465.875</v>
      </c>
      <c r="E636" s="5">
        <f t="shared" si="1"/>
        <v>0.0003944801408</v>
      </c>
    </row>
    <row r="637" ht="15.75" customHeight="1">
      <c r="B637" s="3">
        <v>44111.0</v>
      </c>
      <c r="C637" s="2">
        <v>80.884</v>
      </c>
      <c r="D637" s="6">
        <f t="shared" si="2"/>
        <v>110546.759</v>
      </c>
      <c r="E637" s="5">
        <f t="shared" si="1"/>
        <v>0.00073194009</v>
      </c>
    </row>
    <row r="638" ht="15.75" customHeight="1">
      <c r="B638" s="3" t="s">
        <v>380</v>
      </c>
      <c r="C638" s="2">
        <v>-14.347</v>
      </c>
      <c r="D638" s="6">
        <f t="shared" si="2"/>
        <v>110532.412</v>
      </c>
      <c r="E638" s="5">
        <f t="shared" si="1"/>
        <v>-0.0001297906081</v>
      </c>
    </row>
    <row r="639" ht="15.75" customHeight="1">
      <c r="B639" s="3" t="s">
        <v>381</v>
      </c>
      <c r="C639" s="2">
        <v>-52.708</v>
      </c>
      <c r="D639" s="6">
        <f t="shared" si="2"/>
        <v>110479.704</v>
      </c>
      <c r="E639" s="5">
        <f t="shared" si="1"/>
        <v>-0.000476969335</v>
      </c>
    </row>
    <row r="640" ht="15.75" customHeight="1">
      <c r="B640" s="3" t="s">
        <v>382</v>
      </c>
      <c r="C640" s="2">
        <v>-102.128</v>
      </c>
      <c r="D640" s="6">
        <f t="shared" si="2"/>
        <v>110377.576</v>
      </c>
      <c r="E640" s="5">
        <f t="shared" si="1"/>
        <v>-0.0009248326094</v>
      </c>
    </row>
    <row r="641" ht="15.75" customHeight="1">
      <c r="B641" s="3" t="s">
        <v>383</v>
      </c>
      <c r="C641" s="2">
        <v>-213.689</v>
      </c>
      <c r="D641" s="6">
        <f t="shared" si="2"/>
        <v>110163.887</v>
      </c>
      <c r="E641" s="5">
        <f t="shared" si="1"/>
        <v>-0.001937858432</v>
      </c>
    </row>
    <row r="642" ht="15.75" customHeight="1">
      <c r="B642" s="3" t="s">
        <v>384</v>
      </c>
      <c r="C642" s="2">
        <v>-485.012</v>
      </c>
      <c r="D642" s="6">
        <f t="shared" si="2"/>
        <v>109678.875</v>
      </c>
      <c r="E642" s="5">
        <f t="shared" si="1"/>
        <v>-0.004412360748</v>
      </c>
    </row>
    <row r="643" ht="15.75" customHeight="1">
      <c r="B643" s="3" t="s">
        <v>385</v>
      </c>
      <c r="C643" s="2">
        <v>-280.102</v>
      </c>
      <c r="D643" s="6">
        <f t="shared" si="2"/>
        <v>109398.773</v>
      </c>
      <c r="E643" s="5">
        <f t="shared" si="1"/>
        <v>-0.002557103887</v>
      </c>
    </row>
    <row r="644" ht="15.75" customHeight="1">
      <c r="B644" s="3" t="s">
        <v>386</v>
      </c>
      <c r="C644" s="2">
        <v>59.27</v>
      </c>
      <c r="D644" s="6">
        <f t="shared" si="2"/>
        <v>109458.043</v>
      </c>
      <c r="E644" s="5">
        <f t="shared" si="1"/>
        <v>0.0005416326759</v>
      </c>
    </row>
    <row r="645" ht="15.75" customHeight="1">
      <c r="B645" s="3" t="s">
        <v>387</v>
      </c>
      <c r="C645" s="2">
        <v>200.235</v>
      </c>
      <c r="D645" s="6">
        <f t="shared" si="2"/>
        <v>109658.278</v>
      </c>
      <c r="E645" s="5">
        <f t="shared" si="1"/>
        <v>0.001827659892</v>
      </c>
    </row>
    <row r="646" ht="15.75" customHeight="1">
      <c r="B646" s="3" t="s">
        <v>388</v>
      </c>
      <c r="C646" s="2">
        <v>-312.393</v>
      </c>
      <c r="D646" s="6">
        <f t="shared" si="2"/>
        <v>109345.885</v>
      </c>
      <c r="E646" s="5">
        <f t="shared" si="1"/>
        <v>-0.002852851814</v>
      </c>
    </row>
    <row r="647" ht="15.75" customHeight="1">
      <c r="B647" s="3" t="s">
        <v>389</v>
      </c>
      <c r="C647" s="2">
        <v>-133.67</v>
      </c>
      <c r="D647" s="6">
        <f t="shared" si="2"/>
        <v>109212.215</v>
      </c>
      <c r="E647" s="5">
        <f t="shared" si="1"/>
        <v>-0.001223198927</v>
      </c>
    </row>
    <row r="648" ht="15.75" customHeight="1">
      <c r="B648" s="3" t="s">
        <v>390</v>
      </c>
      <c r="C648" s="2">
        <v>-287.485</v>
      </c>
      <c r="D648" s="6">
        <f t="shared" si="2"/>
        <v>108924.73</v>
      </c>
      <c r="E648" s="5">
        <f t="shared" si="1"/>
        <v>-0.002635822799</v>
      </c>
    </row>
    <row r="649" ht="15.75" customHeight="1">
      <c r="B649" s="3" t="s">
        <v>391</v>
      </c>
      <c r="C649" s="2">
        <v>-14.299</v>
      </c>
      <c r="D649" s="6">
        <f t="shared" si="2"/>
        <v>108910.431</v>
      </c>
      <c r="E649" s="5">
        <f t="shared" si="1"/>
        <v>-0.0001312827549</v>
      </c>
    </row>
    <row r="650" ht="15.75" customHeight="1">
      <c r="B650" s="3" t="s">
        <v>392</v>
      </c>
      <c r="C650" s="2">
        <v>145.634</v>
      </c>
      <c r="D650" s="6">
        <f t="shared" si="2"/>
        <v>109056.065</v>
      </c>
      <c r="E650" s="5">
        <f t="shared" si="1"/>
        <v>0.001336297315</v>
      </c>
    </row>
    <row r="651" ht="15.75" customHeight="1">
      <c r="B651" s="3" t="s">
        <v>393</v>
      </c>
      <c r="C651" s="2">
        <v>62.15</v>
      </c>
      <c r="D651" s="6">
        <f t="shared" si="2"/>
        <v>109118.215</v>
      </c>
      <c r="E651" s="5">
        <f t="shared" si="1"/>
        <v>0.0005697280328</v>
      </c>
    </row>
    <row r="652" ht="15.75" customHeight="1">
      <c r="B652" s="3" t="s">
        <v>394</v>
      </c>
      <c r="C652" s="2">
        <v>8.148</v>
      </c>
      <c r="D652" s="6">
        <f t="shared" si="2"/>
        <v>109126.363</v>
      </c>
      <c r="E652" s="5">
        <f t="shared" si="1"/>
        <v>0.0000746685217</v>
      </c>
    </row>
    <row r="653" ht="15.75" customHeight="1">
      <c r="B653" s="3">
        <v>43898.0</v>
      </c>
      <c r="C653" s="2">
        <v>-125.638</v>
      </c>
      <c r="D653" s="6">
        <f t="shared" si="2"/>
        <v>109000.725</v>
      </c>
      <c r="E653" s="5">
        <f t="shared" si="1"/>
        <v>-0.001151970762</v>
      </c>
    </row>
    <row r="654" ht="15.75" customHeight="1">
      <c r="B654" s="3">
        <v>43929.0</v>
      </c>
      <c r="C654" s="2">
        <v>-144.944</v>
      </c>
      <c r="D654" s="6">
        <f t="shared" si="2"/>
        <v>108855.781</v>
      </c>
      <c r="E654" s="5">
        <f t="shared" si="1"/>
        <v>-0.001330637529</v>
      </c>
    </row>
    <row r="655" ht="15.75" customHeight="1">
      <c r="B655" s="3">
        <v>43959.0</v>
      </c>
      <c r="C655" s="2">
        <v>-231.487</v>
      </c>
      <c r="D655" s="6">
        <f t="shared" si="2"/>
        <v>108624.294</v>
      </c>
      <c r="E655" s="5">
        <f t="shared" si="1"/>
        <v>-0.002128811915</v>
      </c>
    </row>
    <row r="656" ht="15.75" customHeight="1">
      <c r="B656" s="3">
        <v>43990.0</v>
      </c>
      <c r="C656" s="2">
        <v>-33.667</v>
      </c>
      <c r="D656" s="6">
        <f t="shared" si="2"/>
        <v>108590.627</v>
      </c>
      <c r="E656" s="5">
        <f t="shared" si="1"/>
        <v>-0.0003099879153</v>
      </c>
    </row>
    <row r="657" ht="15.75" customHeight="1">
      <c r="B657" s="3">
        <v>44020.0</v>
      </c>
      <c r="C657" s="2">
        <v>-143.539</v>
      </c>
      <c r="D657" s="6">
        <f t="shared" si="2"/>
        <v>108447.088</v>
      </c>
      <c r="E657" s="5">
        <f t="shared" si="1"/>
        <v>-0.001322710396</v>
      </c>
    </row>
    <row r="658" ht="15.75" customHeight="1">
      <c r="B658" s="3">
        <v>44112.0</v>
      </c>
      <c r="C658" s="2">
        <v>68.491</v>
      </c>
      <c r="D658" s="6">
        <f t="shared" si="2"/>
        <v>108515.579</v>
      </c>
      <c r="E658" s="5">
        <f t="shared" si="1"/>
        <v>0.0006313620977</v>
      </c>
    </row>
    <row r="659" ht="15.75" customHeight="1">
      <c r="B659" s="3">
        <v>44143.0</v>
      </c>
      <c r="C659" s="2">
        <v>65.721</v>
      </c>
      <c r="D659" s="6">
        <f t="shared" si="2"/>
        <v>108581.3</v>
      </c>
      <c r="E659" s="5">
        <f t="shared" si="1"/>
        <v>0.000605453218</v>
      </c>
    </row>
    <row r="660" ht="15.75" customHeight="1">
      <c r="B660" s="3">
        <v>44173.0</v>
      </c>
      <c r="C660" s="2">
        <v>316.383</v>
      </c>
      <c r="D660" s="6">
        <f t="shared" si="2"/>
        <v>108897.683</v>
      </c>
      <c r="E660" s="5">
        <f t="shared" si="1"/>
        <v>0.002909552168</v>
      </c>
    </row>
    <row r="661" ht="15.75" customHeight="1">
      <c r="B661" s="3" t="s">
        <v>395</v>
      </c>
      <c r="C661" s="2">
        <v>124.213</v>
      </c>
      <c r="D661" s="6">
        <f t="shared" si="2"/>
        <v>109021.896</v>
      </c>
      <c r="E661" s="5">
        <f t="shared" si="1"/>
        <v>0.001139989477</v>
      </c>
    </row>
    <row r="662" ht="15.75" customHeight="1">
      <c r="B662" s="3" t="s">
        <v>396</v>
      </c>
      <c r="C662" s="2">
        <v>-611.417</v>
      </c>
      <c r="D662" s="6">
        <f t="shared" si="2"/>
        <v>108410.479</v>
      </c>
      <c r="E662" s="5">
        <f t="shared" si="1"/>
        <v>-0.005623988714</v>
      </c>
    </row>
    <row r="663" ht="15.75" customHeight="1">
      <c r="B663" s="3" t="s">
        <v>397</v>
      </c>
      <c r="C663" s="2">
        <v>-67.135</v>
      </c>
      <c r="D663" s="6">
        <f t="shared" si="2"/>
        <v>108343.344</v>
      </c>
      <c r="E663" s="5">
        <f t="shared" si="1"/>
        <v>-0.0006194585287</v>
      </c>
    </row>
    <row r="664" ht="15.75" customHeight="1">
      <c r="B664" s="3" t="s">
        <v>398</v>
      </c>
      <c r="C664" s="2">
        <v>-57.223</v>
      </c>
      <c r="D664" s="6">
        <f t="shared" si="2"/>
        <v>108286.121</v>
      </c>
      <c r="E664" s="5">
        <f t="shared" si="1"/>
        <v>-0.0005283030296</v>
      </c>
    </row>
    <row r="665" ht="15.75" customHeight="1">
      <c r="B665" s="3" t="s">
        <v>399</v>
      </c>
      <c r="C665" s="2">
        <v>162.087</v>
      </c>
      <c r="D665" s="6">
        <f t="shared" si="2"/>
        <v>108448.208</v>
      </c>
      <c r="E665" s="5">
        <f t="shared" si="1"/>
        <v>0.001495720876</v>
      </c>
    </row>
    <row r="666" ht="15.75" customHeight="1">
      <c r="B666" s="3" t="s">
        <v>400</v>
      </c>
      <c r="C666" s="2">
        <v>-3.054</v>
      </c>
      <c r="D666" s="6">
        <f t="shared" si="2"/>
        <v>108445.154</v>
      </c>
      <c r="E666" s="5">
        <f t="shared" si="1"/>
        <v>-0.00002816130445</v>
      </c>
    </row>
    <row r="667" ht="15.75" customHeight="1">
      <c r="B667" s="3" t="s">
        <v>401</v>
      </c>
      <c r="C667" s="2">
        <v>-80.875</v>
      </c>
      <c r="D667" s="6">
        <f t="shared" si="2"/>
        <v>108364.279</v>
      </c>
      <c r="E667" s="5">
        <f t="shared" si="1"/>
        <v>-0.0007460469098</v>
      </c>
    </row>
    <row r="668" ht="15.75" customHeight="1">
      <c r="B668" s="3" t="s">
        <v>402</v>
      </c>
      <c r="C668" s="2">
        <v>-24.094</v>
      </c>
      <c r="D668" s="6">
        <f t="shared" si="2"/>
        <v>108340.185</v>
      </c>
      <c r="E668" s="5">
        <f t="shared" si="1"/>
        <v>-0.0002223673629</v>
      </c>
    </row>
    <row r="669" ht="15.75" customHeight="1">
      <c r="B669" s="3" t="s">
        <v>403</v>
      </c>
      <c r="C669" s="2">
        <v>66.467</v>
      </c>
      <c r="D669" s="6">
        <f t="shared" si="2"/>
        <v>108406.652</v>
      </c>
      <c r="E669" s="5">
        <f t="shared" si="1"/>
        <v>0.0006133146209</v>
      </c>
    </row>
    <row r="670" ht="15.75" customHeight="1">
      <c r="B670" s="3" t="s">
        <v>404</v>
      </c>
      <c r="C670" s="2">
        <v>12.641</v>
      </c>
      <c r="D670" s="6">
        <f t="shared" si="2"/>
        <v>108419.293</v>
      </c>
      <c r="E670" s="5">
        <f t="shared" si="1"/>
        <v>0.0001166004374</v>
      </c>
    </row>
    <row r="671" ht="15.75" customHeight="1">
      <c r="B671" s="3" t="s">
        <v>405</v>
      </c>
      <c r="C671" s="2">
        <v>162.718</v>
      </c>
      <c r="D671" s="6">
        <f t="shared" si="2"/>
        <v>108582.011</v>
      </c>
      <c r="E671" s="5">
        <f t="shared" si="1"/>
        <v>0.001499696338</v>
      </c>
    </row>
    <row r="672" ht="15.75" customHeight="1">
      <c r="B672" s="3" t="s">
        <v>406</v>
      </c>
      <c r="C672" s="2">
        <v>73.495</v>
      </c>
      <c r="D672" s="6">
        <f t="shared" si="2"/>
        <v>108655.506</v>
      </c>
      <c r="E672" s="5">
        <f t="shared" si="1"/>
        <v>0.0006766326905</v>
      </c>
    </row>
    <row r="673" ht="15.75" customHeight="1">
      <c r="B673" s="3" t="s">
        <v>407</v>
      </c>
      <c r="C673" s="2">
        <v>298.674</v>
      </c>
      <c r="D673" s="6">
        <f t="shared" si="2"/>
        <v>108954.18</v>
      </c>
      <c r="E673" s="5">
        <f t="shared" si="1"/>
        <v>0.002745044975</v>
      </c>
    </row>
    <row r="674" ht="15.75" customHeight="1">
      <c r="B674" s="3">
        <v>43839.0</v>
      </c>
      <c r="C674" s="2">
        <v>138.718</v>
      </c>
      <c r="D674" s="6">
        <f t="shared" si="2"/>
        <v>109092.898</v>
      </c>
      <c r="E674" s="5">
        <f t="shared" si="1"/>
        <v>0.0012723676</v>
      </c>
    </row>
    <row r="675" ht="15.75" customHeight="1">
      <c r="B675" s="3">
        <v>43870.0</v>
      </c>
      <c r="C675" s="2">
        <v>86.676</v>
      </c>
      <c r="D675" s="6">
        <f t="shared" si="2"/>
        <v>109179.574</v>
      </c>
      <c r="E675" s="5">
        <f t="shared" si="1"/>
        <v>0.0007942000543</v>
      </c>
    </row>
    <row r="676" ht="15.75" customHeight="1">
      <c r="B676" s="3">
        <v>43899.0</v>
      </c>
      <c r="C676" s="2">
        <v>284.35</v>
      </c>
      <c r="D676" s="6">
        <f t="shared" si="2"/>
        <v>109463.924</v>
      </c>
      <c r="E676" s="5">
        <f t="shared" si="1"/>
        <v>0.002601039253</v>
      </c>
    </row>
    <row r="677" ht="15.75" customHeight="1">
      <c r="B677" s="3">
        <v>43930.0</v>
      </c>
      <c r="C677" s="2">
        <v>-312.107</v>
      </c>
      <c r="D677" s="6">
        <f t="shared" si="2"/>
        <v>109151.817</v>
      </c>
      <c r="E677" s="5">
        <f t="shared" si="1"/>
        <v>-0.002855304111</v>
      </c>
    </row>
    <row r="678" ht="15.75" customHeight="1">
      <c r="B678" s="3">
        <v>44052.0</v>
      </c>
      <c r="C678" s="2">
        <v>60.082</v>
      </c>
      <c r="D678" s="6">
        <f t="shared" si="2"/>
        <v>109211.899</v>
      </c>
      <c r="E678" s="5">
        <f t="shared" si="1"/>
        <v>0.0005502929023</v>
      </c>
    </row>
    <row r="679" ht="15.75" customHeight="1">
      <c r="B679" s="3">
        <v>44083.0</v>
      </c>
      <c r="C679" s="2">
        <v>94.075</v>
      </c>
      <c r="D679" s="6">
        <f t="shared" si="2"/>
        <v>109305.974</v>
      </c>
      <c r="E679" s="5">
        <f t="shared" si="1"/>
        <v>0.0008610280205</v>
      </c>
    </row>
    <row r="680" ht="15.75" customHeight="1">
      <c r="B680" s="3">
        <v>44113.0</v>
      </c>
      <c r="C680" s="2">
        <v>377.977</v>
      </c>
      <c r="D680" s="6">
        <f t="shared" si="2"/>
        <v>109683.951</v>
      </c>
      <c r="E680" s="5">
        <f t="shared" si="1"/>
        <v>0.003452006985</v>
      </c>
    </row>
    <row r="681" ht="15.75" customHeight="1">
      <c r="B681" s="3">
        <v>44144.0</v>
      </c>
      <c r="C681" s="2">
        <v>282.151</v>
      </c>
      <c r="D681" s="6">
        <f t="shared" si="2"/>
        <v>109966.102</v>
      </c>
      <c r="E681" s="5">
        <f t="shared" si="1"/>
        <v>0.002569097083</v>
      </c>
    </row>
    <row r="682" ht="15.75" customHeight="1">
      <c r="B682" s="3" t="s">
        <v>408</v>
      </c>
      <c r="C682" s="2">
        <v>-719.82</v>
      </c>
      <c r="D682" s="6">
        <f t="shared" si="2"/>
        <v>109246.282</v>
      </c>
      <c r="E682" s="5">
        <f t="shared" si="1"/>
        <v>-0.006567353304</v>
      </c>
    </row>
    <row r="683" ht="15.75" customHeight="1">
      <c r="B683" s="3" t="s">
        <v>409</v>
      </c>
      <c r="C683" s="2">
        <v>22.619</v>
      </c>
      <c r="D683" s="6">
        <f t="shared" si="2"/>
        <v>109268.901</v>
      </c>
      <c r="E683" s="5">
        <f t="shared" si="1"/>
        <v>0.0002070245167</v>
      </c>
    </row>
    <row r="684" ht="15.75" customHeight="1">
      <c r="B684" s="3" t="s">
        <v>410</v>
      </c>
      <c r="C684" s="2">
        <v>1037.35</v>
      </c>
      <c r="D684" s="6">
        <f t="shared" si="2"/>
        <v>110306.251</v>
      </c>
      <c r="E684" s="5">
        <f t="shared" si="1"/>
        <v>0.009448771488</v>
      </c>
    </row>
    <row r="685" ht="15.75" customHeight="1">
      <c r="B685" s="3" t="s">
        <v>411</v>
      </c>
      <c r="C685" s="2">
        <v>1130.603</v>
      </c>
      <c r="D685" s="6">
        <f t="shared" si="2"/>
        <v>111436.854</v>
      </c>
      <c r="E685" s="5">
        <f t="shared" si="1"/>
        <v>0.01019750127</v>
      </c>
    </row>
    <row r="686" ht="15.75" customHeight="1">
      <c r="B686" s="3" t="s">
        <v>412</v>
      </c>
      <c r="C686" s="2">
        <v>74.751</v>
      </c>
      <c r="D686" s="6">
        <f t="shared" si="2"/>
        <v>111511.605</v>
      </c>
      <c r="E686" s="5">
        <f t="shared" si="1"/>
        <v>0.0006705675665</v>
      </c>
    </row>
    <row r="687" ht="15.75" customHeight="1">
      <c r="B687" s="3" t="s">
        <v>413</v>
      </c>
      <c r="C687" s="2">
        <v>-936.136</v>
      </c>
      <c r="D687" s="6">
        <f t="shared" si="2"/>
        <v>110575.469</v>
      </c>
      <c r="E687" s="5">
        <f t="shared" si="1"/>
        <v>-0.008430400991</v>
      </c>
    </row>
    <row r="688" ht="15.75" customHeight="1">
      <c r="B688" s="3" t="s">
        <v>414</v>
      </c>
      <c r="C688" s="2">
        <v>-138.569</v>
      </c>
      <c r="D688" s="6">
        <f t="shared" si="2"/>
        <v>110436.9</v>
      </c>
      <c r="E688" s="5">
        <f t="shared" si="1"/>
        <v>-0.001253948082</v>
      </c>
    </row>
    <row r="689" ht="15.75" customHeight="1">
      <c r="B689" s="3" t="s">
        <v>415</v>
      </c>
      <c r="C689" s="2">
        <v>53.71</v>
      </c>
      <c r="D689" s="6">
        <f t="shared" si="2"/>
        <v>110490.61</v>
      </c>
      <c r="E689" s="5">
        <f t="shared" si="1"/>
        <v>0.0004862228435</v>
      </c>
    </row>
    <row r="690" ht="15.75" customHeight="1">
      <c r="B690" s="3" t="s">
        <v>416</v>
      </c>
      <c r="C690" s="2">
        <v>30.212</v>
      </c>
      <c r="D690" s="6">
        <f t="shared" si="2"/>
        <v>110520.822</v>
      </c>
      <c r="E690" s="5">
        <f t="shared" si="1"/>
        <v>0.000273397624</v>
      </c>
    </row>
    <row r="691" ht="15.75" customHeight="1">
      <c r="B691" s="3" t="s">
        <v>417</v>
      </c>
      <c r="C691" s="2">
        <v>249.539</v>
      </c>
      <c r="D691" s="6">
        <f t="shared" si="2"/>
        <v>110770.361</v>
      </c>
      <c r="E691" s="5">
        <f t="shared" si="1"/>
        <v>0.002255300933</v>
      </c>
    </row>
    <row r="692" ht="15.75" customHeight="1">
      <c r="B692" s="3" t="s">
        <v>418</v>
      </c>
      <c r="C692" s="2">
        <v>109.944</v>
      </c>
      <c r="D692" s="6">
        <f t="shared" si="2"/>
        <v>110880.305</v>
      </c>
      <c r="E692" s="5">
        <f t="shared" si="1"/>
        <v>0.0009920476306</v>
      </c>
    </row>
    <row r="693" ht="15.75" customHeight="1">
      <c r="B693" s="3" t="s">
        <v>419</v>
      </c>
      <c r="C693" s="2">
        <v>608.577</v>
      </c>
      <c r="D693" s="6">
        <f t="shared" si="2"/>
        <v>111488.882</v>
      </c>
      <c r="E693" s="5">
        <f t="shared" si="1"/>
        <v>0.005473586765</v>
      </c>
    </row>
    <row r="694" ht="15.75" customHeight="1">
      <c r="B694" s="3" t="s">
        <v>420</v>
      </c>
      <c r="C694" s="2">
        <v>84.091</v>
      </c>
      <c r="D694" s="6">
        <f t="shared" si="2"/>
        <v>111572.973</v>
      </c>
      <c r="E694" s="5">
        <f t="shared" si="1"/>
        <v>0.0007539702742</v>
      </c>
    </row>
    <row r="695" ht="15.75" customHeight="1">
      <c r="B695" s="3">
        <v>43840.0</v>
      </c>
      <c r="C695" s="2">
        <v>-869.902</v>
      </c>
      <c r="D695" s="6">
        <f t="shared" si="2"/>
        <v>110703.071</v>
      </c>
      <c r="E695" s="5">
        <f t="shared" si="1"/>
        <v>-0.007827262224</v>
      </c>
    </row>
    <row r="696" ht="15.75" customHeight="1">
      <c r="B696" s="3">
        <v>43871.0</v>
      </c>
      <c r="C696" s="2">
        <v>73.7</v>
      </c>
      <c r="D696" s="6">
        <f t="shared" si="2"/>
        <v>110776.771</v>
      </c>
      <c r="E696" s="5">
        <f t="shared" si="1"/>
        <v>0.0006655233456</v>
      </c>
    </row>
    <row r="697" ht="15.75" customHeight="1">
      <c r="B697" s="3">
        <v>43961.0</v>
      </c>
      <c r="C697" s="2">
        <v>166.551</v>
      </c>
      <c r="D697" s="6">
        <f t="shared" si="2"/>
        <v>110943.322</v>
      </c>
      <c r="E697" s="5">
        <f t="shared" si="1"/>
        <v>0.001502353973</v>
      </c>
    </row>
    <row r="698" ht="15.75" customHeight="1">
      <c r="B698" s="3">
        <v>43992.0</v>
      </c>
      <c r="C698" s="2">
        <v>-26.907</v>
      </c>
      <c r="D698" s="6">
        <f t="shared" si="2"/>
        <v>110916.415</v>
      </c>
      <c r="E698" s="5">
        <f t="shared" si="1"/>
        <v>-0.0002425586589</v>
      </c>
    </row>
    <row r="699" ht="15.75" customHeight="1">
      <c r="B699" s="3">
        <v>44022.0</v>
      </c>
      <c r="C699" s="2">
        <v>125.525</v>
      </c>
      <c r="D699" s="6">
        <f t="shared" si="2"/>
        <v>111041.94</v>
      </c>
      <c r="E699" s="5">
        <f t="shared" si="1"/>
        <v>0.001131068154</v>
      </c>
    </row>
    <row r="700" ht="15.75" customHeight="1">
      <c r="B700" s="3">
        <v>44053.0</v>
      </c>
      <c r="C700" s="2">
        <v>225.833</v>
      </c>
      <c r="D700" s="6">
        <f t="shared" si="2"/>
        <v>111267.773</v>
      </c>
      <c r="E700" s="5">
        <f t="shared" si="1"/>
        <v>0.002031697802</v>
      </c>
    </row>
    <row r="701" ht="15.75" customHeight="1">
      <c r="B701" s="3">
        <v>44084.0</v>
      </c>
      <c r="C701" s="2">
        <v>119.21</v>
      </c>
      <c r="D701" s="6">
        <f t="shared" si="2"/>
        <v>111386.983</v>
      </c>
      <c r="E701" s="5">
        <f t="shared" si="1"/>
        <v>0.001070805884</v>
      </c>
    </row>
    <row r="702" ht="15.75" customHeight="1">
      <c r="B702" s="3">
        <v>44175.0</v>
      </c>
      <c r="C702" s="2">
        <v>16.595</v>
      </c>
      <c r="D702" s="6">
        <f t="shared" si="2"/>
        <v>111403.578</v>
      </c>
      <c r="E702" s="5">
        <f t="shared" si="1"/>
        <v>0.0001489739956</v>
      </c>
    </row>
    <row r="703" ht="15.75" customHeight="1">
      <c r="B703" s="3" t="s">
        <v>421</v>
      </c>
      <c r="C703" s="2">
        <v>-86.078</v>
      </c>
      <c r="D703" s="6">
        <f t="shared" si="2"/>
        <v>111317.5</v>
      </c>
      <c r="E703" s="5">
        <f t="shared" si="1"/>
        <v>-0.0007729668432</v>
      </c>
    </row>
    <row r="704" ht="15.75" customHeight="1">
      <c r="B704" s="3" t="s">
        <v>422</v>
      </c>
      <c r="C704" s="2">
        <v>-10.955</v>
      </c>
      <c r="D704" s="6">
        <f t="shared" si="2"/>
        <v>111306.545</v>
      </c>
      <c r="E704" s="5">
        <f t="shared" si="1"/>
        <v>-0.00009841704214</v>
      </c>
    </row>
    <row r="705" ht="15.75" customHeight="1">
      <c r="B705" s="3" t="s">
        <v>423</v>
      </c>
      <c r="C705" s="2">
        <v>30.319</v>
      </c>
      <c r="D705" s="6">
        <f t="shared" si="2"/>
        <v>111336.864</v>
      </c>
      <c r="E705" s="5">
        <f t="shared" si="1"/>
        <v>0.0002723547966</v>
      </c>
    </row>
    <row r="706" ht="15.75" customHeight="1">
      <c r="B706" s="3" t="s">
        <v>424</v>
      </c>
      <c r="C706" s="2">
        <v>0.133</v>
      </c>
      <c r="D706" s="6">
        <f t="shared" si="2"/>
        <v>111336.997</v>
      </c>
      <c r="E706" s="5">
        <f t="shared" si="1"/>
        <v>0.000001194572182</v>
      </c>
    </row>
    <row r="707" ht="15.75" customHeight="1">
      <c r="B707" s="3" t="s">
        <v>425</v>
      </c>
      <c r="C707" s="2">
        <v>16.137</v>
      </c>
      <c r="D707" s="6">
        <f t="shared" si="2"/>
        <v>111353.134</v>
      </c>
      <c r="E707" s="5">
        <f t="shared" si="1"/>
        <v>0.0001449278417</v>
      </c>
    </row>
    <row r="708" ht="15.75" customHeight="1">
      <c r="B708" s="3" t="s">
        <v>426</v>
      </c>
      <c r="C708" s="2">
        <v>23.325</v>
      </c>
      <c r="D708" s="6">
        <f t="shared" si="2"/>
        <v>111376.459</v>
      </c>
      <c r="E708" s="5">
        <f t="shared" si="1"/>
        <v>0.0002094467984</v>
      </c>
    </row>
    <row r="709" ht="15.75" customHeight="1">
      <c r="B709" s="3" t="s">
        <v>427</v>
      </c>
      <c r="C709" s="2">
        <v>-117.596</v>
      </c>
      <c r="D709" s="6">
        <f t="shared" si="2"/>
        <v>111258.863</v>
      </c>
      <c r="E709" s="5">
        <f t="shared" si="1"/>
        <v>-0.001056400304</v>
      </c>
    </row>
    <row r="710" ht="15.75" customHeight="1">
      <c r="B710" s="3" t="s">
        <v>428</v>
      </c>
      <c r="C710" s="2">
        <v>-209.914</v>
      </c>
      <c r="D710" s="6">
        <f t="shared" si="2"/>
        <v>111048.949</v>
      </c>
      <c r="E710" s="5">
        <f t="shared" si="1"/>
        <v>-0.001888499198</v>
      </c>
    </row>
    <row r="711" ht="15.75" customHeight="1">
      <c r="B711" s="3" t="s">
        <v>429</v>
      </c>
      <c r="C711" s="2">
        <v>40.228</v>
      </c>
      <c r="D711" s="6">
        <f t="shared" si="2"/>
        <v>111089.177</v>
      </c>
      <c r="E711" s="5">
        <f t="shared" si="1"/>
        <v>0.0003621890683</v>
      </c>
    </row>
    <row r="712" ht="15.75" customHeight="1">
      <c r="B712" s="3" t="s">
        <v>430</v>
      </c>
      <c r="C712" s="2">
        <v>7.202</v>
      </c>
      <c r="D712" s="6">
        <f t="shared" si="2"/>
        <v>111096.379</v>
      </c>
      <c r="E712" s="5">
        <f t="shared" si="1"/>
        <v>0.00006482869663</v>
      </c>
    </row>
    <row r="713" ht="15.75" customHeight="1">
      <c r="B713" s="3" t="s">
        <v>431</v>
      </c>
      <c r="C713" s="2">
        <v>22.013</v>
      </c>
      <c r="D713" s="6">
        <f t="shared" si="2"/>
        <v>111118.392</v>
      </c>
      <c r="E713" s="5">
        <f t="shared" si="1"/>
        <v>0.0001981236438</v>
      </c>
    </row>
    <row r="714" ht="15.75" customHeight="1">
      <c r="B714" s="3" t="s">
        <v>432</v>
      </c>
      <c r="C714" s="2">
        <v>477.836</v>
      </c>
      <c r="D714" s="6">
        <f t="shared" si="2"/>
        <v>111596.228</v>
      </c>
      <c r="E714" s="5">
        <f t="shared" si="1"/>
        <v>0.004291022594</v>
      </c>
    </row>
    <row r="715" ht="15.75" customHeight="1">
      <c r="B715" s="3" t="s">
        <v>433</v>
      </c>
      <c r="C715" s="2">
        <v>193.02</v>
      </c>
      <c r="D715" s="6">
        <f t="shared" si="2"/>
        <v>111789.248</v>
      </c>
      <c r="E715" s="5">
        <f t="shared" si="1"/>
        <v>0.001728134268</v>
      </c>
    </row>
    <row r="716" ht="15.75" customHeight="1">
      <c r="B716" s="3" t="s">
        <v>434</v>
      </c>
      <c r="C716" s="2">
        <v>188.347</v>
      </c>
      <c r="D716" s="6">
        <f t="shared" si="2"/>
        <v>111977.595</v>
      </c>
      <c r="E716" s="5">
        <f t="shared" si="1"/>
        <v>0.00168342228</v>
      </c>
    </row>
    <row r="717" ht="15.75" customHeight="1">
      <c r="B717" s="3">
        <v>43872.0</v>
      </c>
      <c r="C717" s="2">
        <v>251.418</v>
      </c>
      <c r="D717" s="6">
        <f t="shared" si="2"/>
        <v>112229.013</v>
      </c>
      <c r="E717" s="5">
        <f t="shared" si="1"/>
        <v>0.002242735909</v>
      </c>
    </row>
    <row r="718" ht="15.75" customHeight="1">
      <c r="B718" s="3">
        <v>43901.0</v>
      </c>
      <c r="C718" s="2">
        <v>125.368</v>
      </c>
      <c r="D718" s="6">
        <f t="shared" si="2"/>
        <v>112354.381</v>
      </c>
      <c r="E718" s="5">
        <f t="shared" si="1"/>
        <v>0.001116449536</v>
      </c>
    </row>
    <row r="719" ht="15.75" customHeight="1">
      <c r="B719" s="3">
        <v>43932.0</v>
      </c>
      <c r="C719" s="2">
        <v>64.667</v>
      </c>
      <c r="D719" s="6">
        <f t="shared" si="2"/>
        <v>112419.048</v>
      </c>
      <c r="E719" s="5">
        <f t="shared" si="1"/>
        <v>0.0005753972084</v>
      </c>
    </row>
    <row r="720" ht="15.75" customHeight="1">
      <c r="B720" s="3">
        <v>43962.0</v>
      </c>
      <c r="C720" s="2">
        <v>93.207</v>
      </c>
      <c r="D720" s="6">
        <f t="shared" si="2"/>
        <v>112512.255</v>
      </c>
      <c r="E720" s="5">
        <f t="shared" si="1"/>
        <v>0.000828759751</v>
      </c>
    </row>
    <row r="721" ht="15.75" customHeight="1">
      <c r="B721" s="3">
        <v>43993.0</v>
      </c>
      <c r="C721" s="2">
        <v>33.957</v>
      </c>
      <c r="D721" s="6">
        <f t="shared" si="2"/>
        <v>112546.212</v>
      </c>
      <c r="E721" s="5">
        <f t="shared" si="1"/>
        <v>0.0003017615885</v>
      </c>
    </row>
    <row r="722" ht="15.75" customHeight="1">
      <c r="B722" s="3">
        <v>44085.0</v>
      </c>
      <c r="C722" s="2">
        <v>88.099</v>
      </c>
      <c r="D722" s="6">
        <f t="shared" si="2"/>
        <v>112634.311</v>
      </c>
      <c r="E722" s="5">
        <f t="shared" si="1"/>
        <v>0.0007824744638</v>
      </c>
    </row>
    <row r="723" ht="15.75" customHeight="1">
      <c r="B723" s="3">
        <v>44115.0</v>
      </c>
      <c r="C723" s="2">
        <v>-47.988</v>
      </c>
      <c r="D723" s="6">
        <f t="shared" si="2"/>
        <v>112586.323</v>
      </c>
      <c r="E723" s="5">
        <f t="shared" si="1"/>
        <v>-0.0004261421334</v>
      </c>
    </row>
    <row r="724" ht="15.75" customHeight="1">
      <c r="B724" s="3">
        <v>44146.0</v>
      </c>
      <c r="C724" s="2">
        <v>347.525</v>
      </c>
      <c r="D724" s="6">
        <f t="shared" si="2"/>
        <v>112933.848</v>
      </c>
      <c r="E724" s="5">
        <f t="shared" si="1"/>
        <v>0.003081988396</v>
      </c>
    </row>
    <row r="725" ht="15.75" customHeight="1">
      <c r="B725" s="3">
        <v>44176.0</v>
      </c>
      <c r="C725" s="2">
        <v>192.922</v>
      </c>
      <c r="D725" s="6">
        <f t="shared" si="2"/>
        <v>113126.77</v>
      </c>
      <c r="E725" s="5">
        <f t="shared" si="1"/>
        <v>0.001706816946</v>
      </c>
    </row>
    <row r="726" ht="15.75" customHeight="1">
      <c r="B726" s="3" t="s">
        <v>435</v>
      </c>
      <c r="C726" s="2">
        <v>89.468</v>
      </c>
      <c r="D726" s="6">
        <f t="shared" si="2"/>
        <v>113216.238</v>
      </c>
      <c r="E726" s="5">
        <f t="shared" si="1"/>
        <v>0.000790552405</v>
      </c>
    </row>
    <row r="727" ht="15.75" customHeight="1">
      <c r="B727" s="3" t="s">
        <v>436</v>
      </c>
      <c r="C727" s="2">
        <v>-74.712</v>
      </c>
      <c r="D727" s="6">
        <f t="shared" si="2"/>
        <v>113141.526</v>
      </c>
      <c r="E727" s="5">
        <f t="shared" si="1"/>
        <v>-0.0006601231731</v>
      </c>
    </row>
    <row r="728" ht="15.75" customHeight="1">
      <c r="B728" s="3" t="s">
        <v>437</v>
      </c>
      <c r="C728" s="2">
        <v>137.127</v>
      </c>
      <c r="D728" s="6">
        <f t="shared" si="2"/>
        <v>113278.653</v>
      </c>
      <c r="E728" s="5">
        <f t="shared" si="1"/>
        <v>0.001211261446</v>
      </c>
    </row>
    <row r="729" ht="15.75" customHeight="1">
      <c r="B729" s="3" t="s">
        <v>438</v>
      </c>
      <c r="C729" s="2">
        <v>221.308</v>
      </c>
      <c r="D729" s="6">
        <f t="shared" si="2"/>
        <v>113499.961</v>
      </c>
      <c r="E729" s="5">
        <f t="shared" si="1"/>
        <v>0.001951754324</v>
      </c>
    </row>
    <row r="730" ht="15.75" customHeight="1">
      <c r="B730" s="3" t="s">
        <v>439</v>
      </c>
      <c r="C730" s="2">
        <v>148.226</v>
      </c>
      <c r="D730" s="6">
        <f t="shared" si="2"/>
        <v>113648.187</v>
      </c>
      <c r="E730" s="5">
        <f t="shared" si="1"/>
        <v>0.001305104377</v>
      </c>
    </row>
    <row r="731" ht="15.75" customHeight="1">
      <c r="B731" s="3" t="s">
        <v>440</v>
      </c>
      <c r="C731" s="2">
        <v>-168.371</v>
      </c>
      <c r="D731" s="6">
        <f t="shared" si="2"/>
        <v>113479.816</v>
      </c>
      <c r="E731" s="5">
        <f t="shared" si="1"/>
        <v>-0.001482609177</v>
      </c>
    </row>
    <row r="732" ht="15.75" customHeight="1">
      <c r="B732" s="3" t="s">
        <v>441</v>
      </c>
      <c r="C732" s="2">
        <v>565.633</v>
      </c>
      <c r="D732" s="6">
        <f t="shared" si="2"/>
        <v>114045.449</v>
      </c>
      <c r="E732" s="5">
        <f t="shared" si="1"/>
        <v>0.004972055875</v>
      </c>
    </row>
    <row r="733" ht="15.75" customHeight="1">
      <c r="B733" s="3" t="s">
        <v>442</v>
      </c>
      <c r="C733" s="2">
        <v>70.219</v>
      </c>
      <c r="D733" s="6">
        <f t="shared" si="2"/>
        <v>114115.668</v>
      </c>
      <c r="E733" s="5">
        <f t="shared" si="1"/>
        <v>0.0006155211996</v>
      </c>
    </row>
    <row r="734" ht="15.75" customHeight="1">
      <c r="B734" s="3" t="s">
        <v>443</v>
      </c>
      <c r="C734" s="2">
        <v>9.857</v>
      </c>
      <c r="D734" s="6">
        <f t="shared" si="2"/>
        <v>114125.525</v>
      </c>
      <c r="E734" s="5">
        <f t="shared" si="1"/>
        <v>0.00008637354087</v>
      </c>
    </row>
    <row r="735" ht="15.75" customHeight="1">
      <c r="B735" s="3" t="s">
        <v>444</v>
      </c>
      <c r="C735" s="2">
        <v>378.931</v>
      </c>
      <c r="D735" s="6">
        <f t="shared" si="2"/>
        <v>114504.456</v>
      </c>
      <c r="E735" s="5">
        <f t="shared" si="1"/>
        <v>0.003314800144</v>
      </c>
    </row>
    <row r="736" ht="15.75" customHeight="1">
      <c r="B736" s="3" t="s">
        <v>445</v>
      </c>
      <c r="C736" s="2">
        <v>26.643</v>
      </c>
      <c r="D736" s="6">
        <f t="shared" si="2"/>
        <v>114531.099</v>
      </c>
      <c r="E736" s="5">
        <f t="shared" si="1"/>
        <v>0.0002326538351</v>
      </c>
    </row>
    <row r="737" ht="15.75" customHeight="1">
      <c r="B737" s="3">
        <v>43842.0</v>
      </c>
      <c r="C737" s="2">
        <v>294.761</v>
      </c>
      <c r="D737" s="6">
        <f t="shared" si="2"/>
        <v>114825.86</v>
      </c>
      <c r="E737" s="5">
        <f t="shared" si="1"/>
        <v>0.002570326739</v>
      </c>
    </row>
    <row r="738" ht="15.75" customHeight="1">
      <c r="B738" s="3">
        <v>43873.0</v>
      </c>
      <c r="C738" s="2">
        <v>-6995.493</v>
      </c>
      <c r="D738" s="6">
        <f t="shared" si="2"/>
        <v>107830.367</v>
      </c>
      <c r="E738" s="5">
        <f t="shared" si="1"/>
        <v>-0.06285740345</v>
      </c>
    </row>
    <row r="739" ht="15.75" customHeight="1">
      <c r="B739" s="3">
        <v>43902.0</v>
      </c>
      <c r="C739" s="2">
        <v>-525.152</v>
      </c>
      <c r="D739" s="6">
        <f t="shared" si="2"/>
        <v>107305.215</v>
      </c>
      <c r="E739" s="5">
        <f t="shared" si="1"/>
        <v>-0.004882065888</v>
      </c>
    </row>
    <row r="740" ht="15.75" customHeight="1">
      <c r="B740" s="3">
        <v>43933.0</v>
      </c>
      <c r="C740" s="2">
        <v>-89.21</v>
      </c>
      <c r="D740" s="6">
        <f t="shared" si="2"/>
        <v>107216.005</v>
      </c>
      <c r="E740" s="5">
        <f t="shared" si="1"/>
        <v>-0.0008317126403</v>
      </c>
    </row>
    <row r="741" ht="15.75" customHeight="1">
      <c r="B741" s="3">
        <v>44024.0</v>
      </c>
      <c r="C741" s="2">
        <v>108.134</v>
      </c>
      <c r="D741" s="6">
        <f t="shared" si="2"/>
        <v>107324.139</v>
      </c>
      <c r="E741" s="5">
        <f t="shared" si="1"/>
        <v>0.001008053851</v>
      </c>
    </row>
    <row r="742" ht="15.75" customHeight="1">
      <c r="B742" s="3">
        <v>44055.0</v>
      </c>
      <c r="C742" s="2">
        <v>111.019</v>
      </c>
      <c r="D742" s="6">
        <f t="shared" si="2"/>
        <v>107435.158</v>
      </c>
      <c r="E742" s="5">
        <f t="shared" si="1"/>
        <v>0.001033892469</v>
      </c>
    </row>
    <row r="743" ht="15.75" customHeight="1">
      <c r="B743" s="3">
        <v>44086.0</v>
      </c>
      <c r="C743" s="2">
        <v>-30.301</v>
      </c>
      <c r="D743" s="6">
        <f t="shared" si="2"/>
        <v>107404.857</v>
      </c>
      <c r="E743" s="5">
        <f t="shared" si="1"/>
        <v>-0.0002820796694</v>
      </c>
    </row>
    <row r="744" ht="15.75" customHeight="1">
      <c r="B744" s="3">
        <v>44116.0</v>
      </c>
      <c r="C744" s="2">
        <v>229.044</v>
      </c>
      <c r="D744" s="6">
        <f t="shared" si="2"/>
        <v>107633.901</v>
      </c>
      <c r="E744" s="5">
        <f t="shared" si="1"/>
        <v>0.002130258645</v>
      </c>
    </row>
    <row r="745" ht="15.75" customHeight="1">
      <c r="B745" s="3">
        <v>44147.0</v>
      </c>
      <c r="C745" s="2">
        <v>-24.761</v>
      </c>
      <c r="D745" s="6">
        <f t="shared" si="2"/>
        <v>107609.14</v>
      </c>
      <c r="E745" s="5">
        <f t="shared" si="1"/>
        <v>-0.0002300748028</v>
      </c>
    </row>
    <row r="746" ht="15.75" customHeight="1">
      <c r="B746" s="3" t="s">
        <v>446</v>
      </c>
      <c r="C746" s="2">
        <v>57.87</v>
      </c>
      <c r="D746" s="6">
        <f t="shared" si="2"/>
        <v>107667.01</v>
      </c>
      <c r="E746" s="5">
        <f t="shared" si="1"/>
        <v>0.0005376350459</v>
      </c>
    </row>
    <row r="747" ht="15.75" customHeight="1">
      <c r="B747" s="3" t="s">
        <v>447</v>
      </c>
      <c r="C747" s="2">
        <v>122.229</v>
      </c>
      <c r="D747" s="6">
        <f t="shared" si="2"/>
        <v>107789.239</v>
      </c>
      <c r="E747" s="5">
        <f t="shared" si="1"/>
        <v>0.001134606341</v>
      </c>
    </row>
    <row r="748" ht="15.75" customHeight="1">
      <c r="B748" s="3" t="s">
        <v>448</v>
      </c>
      <c r="C748" s="2">
        <v>206.02</v>
      </c>
      <c r="D748" s="6">
        <f t="shared" si="2"/>
        <v>107995.259</v>
      </c>
      <c r="E748" s="5">
        <f t="shared" si="1"/>
        <v>0.001909498268</v>
      </c>
    </row>
    <row r="749" ht="15.75" customHeight="1">
      <c r="B749" s="3" t="s">
        <v>449</v>
      </c>
      <c r="C749" s="2">
        <v>1642.461</v>
      </c>
      <c r="D749" s="6">
        <f t="shared" si="2"/>
        <v>109637.72</v>
      </c>
      <c r="E749" s="5">
        <f t="shared" si="1"/>
        <v>0.01509414788</v>
      </c>
    </row>
    <row r="750" ht="15.75" customHeight="1">
      <c r="B750" s="3" t="s">
        <v>450</v>
      </c>
      <c r="C750" s="2">
        <v>211.786</v>
      </c>
      <c r="D750" s="6">
        <f t="shared" si="2"/>
        <v>109849.506</v>
      </c>
      <c r="E750" s="5">
        <f t="shared" si="1"/>
        <v>0.001929825891</v>
      </c>
    </row>
    <row r="751" ht="15.75" customHeight="1">
      <c r="B751" s="3" t="s">
        <v>451</v>
      </c>
      <c r="C751" s="2">
        <v>-526.554</v>
      </c>
      <c r="D751" s="6">
        <f t="shared" si="2"/>
        <v>109322.952</v>
      </c>
      <c r="E751" s="5">
        <f t="shared" si="1"/>
        <v>-0.004804937791</v>
      </c>
    </row>
    <row r="752" ht="15.75" customHeight="1">
      <c r="B752" s="3" t="s">
        <v>452</v>
      </c>
      <c r="C752" s="2">
        <v>-933.603</v>
      </c>
      <c r="D752" s="6">
        <f t="shared" si="2"/>
        <v>108389.349</v>
      </c>
      <c r="E752" s="5">
        <f t="shared" si="1"/>
        <v>-0.008576536268</v>
      </c>
    </row>
    <row r="753" ht="15.75" customHeight="1">
      <c r="B753" s="3" t="s">
        <v>453</v>
      </c>
      <c r="C753" s="2">
        <v>-42.191</v>
      </c>
      <c r="D753" s="6">
        <f t="shared" si="2"/>
        <v>108347.158</v>
      </c>
      <c r="E753" s="5">
        <f t="shared" si="1"/>
        <v>-0.0003893298929</v>
      </c>
    </row>
    <row r="754" ht="15.75" customHeight="1">
      <c r="B754" s="3" t="s">
        <v>454</v>
      </c>
      <c r="C754" s="2">
        <v>354.669</v>
      </c>
      <c r="D754" s="6">
        <f t="shared" si="2"/>
        <v>108701.827</v>
      </c>
      <c r="E754" s="5">
        <f t="shared" si="1"/>
        <v>0.003268103886</v>
      </c>
    </row>
    <row r="755" ht="15.75" customHeight="1">
      <c r="B755" s="3" t="s">
        <v>455</v>
      </c>
      <c r="C755" s="2">
        <v>254.802</v>
      </c>
      <c r="D755" s="6">
        <f t="shared" si="2"/>
        <v>108956.629</v>
      </c>
      <c r="E755" s="5">
        <f t="shared" si="1"/>
        <v>0.00234130225</v>
      </c>
    </row>
    <row r="756" ht="15.75" customHeight="1">
      <c r="B756" s="3" t="s">
        <v>456</v>
      </c>
      <c r="C756" s="2">
        <v>421.023</v>
      </c>
      <c r="D756" s="6">
        <f t="shared" si="2"/>
        <v>109377.652</v>
      </c>
      <c r="E756" s="5">
        <f t="shared" si="1"/>
        <v>0.003856687277</v>
      </c>
    </row>
    <row r="757" ht="15.75" customHeight="1">
      <c r="B757" s="3" t="s">
        <v>457</v>
      </c>
      <c r="C757" s="2">
        <v>32.02</v>
      </c>
      <c r="D757" s="6">
        <f t="shared" si="2"/>
        <v>109409.672</v>
      </c>
      <c r="E757" s="5">
        <f t="shared" si="1"/>
        <v>0.0002927043454</v>
      </c>
    </row>
    <row r="758" ht="15.75" customHeight="1">
      <c r="B758" s="3" t="s">
        <v>458</v>
      </c>
      <c r="C758" s="2">
        <v>-13.569</v>
      </c>
      <c r="D758" s="6">
        <f t="shared" si="2"/>
        <v>109396.103</v>
      </c>
      <c r="E758" s="5">
        <f t="shared" si="1"/>
        <v>-0.0001240278052</v>
      </c>
    </row>
    <row r="759" ht="15.75" customHeight="1">
      <c r="B759" s="3">
        <v>44287.0</v>
      </c>
      <c r="C759" s="2">
        <v>-132.383</v>
      </c>
      <c r="D759" s="6">
        <f t="shared" si="2"/>
        <v>109263.72</v>
      </c>
      <c r="E759" s="5">
        <f t="shared" si="1"/>
        <v>-0.001210858166</v>
      </c>
    </row>
    <row r="760" ht="15.75" customHeight="1">
      <c r="B760" s="3">
        <v>44317.0</v>
      </c>
      <c r="C760" s="2">
        <v>-8.985</v>
      </c>
      <c r="D760" s="6">
        <f t="shared" si="2"/>
        <v>109254.735</v>
      </c>
      <c r="E760" s="5">
        <f t="shared" si="1"/>
        <v>-0.00008223561717</v>
      </c>
    </row>
    <row r="761" ht="15.75" customHeight="1">
      <c r="B761" s="3">
        <v>44348.0</v>
      </c>
      <c r="C761" s="2">
        <v>156.898</v>
      </c>
      <c r="D761" s="6">
        <f t="shared" si="2"/>
        <v>109411.633</v>
      </c>
      <c r="E761" s="5">
        <f t="shared" si="1"/>
        <v>0.001435044889</v>
      </c>
    </row>
    <row r="762" ht="15.75" customHeight="1">
      <c r="B762" s="3">
        <v>44378.0</v>
      </c>
      <c r="C762" s="2">
        <v>133.169</v>
      </c>
      <c r="D762" s="6">
        <f t="shared" si="2"/>
        <v>109544.802</v>
      </c>
      <c r="E762" s="5">
        <f t="shared" si="1"/>
        <v>0.001216397375</v>
      </c>
    </row>
    <row r="763" ht="15.75" customHeight="1">
      <c r="B763" s="3">
        <v>44409.0</v>
      </c>
      <c r="C763" s="2">
        <v>255.557</v>
      </c>
      <c r="D763" s="6">
        <f t="shared" si="2"/>
        <v>109800.359</v>
      </c>
      <c r="E763" s="5">
        <f t="shared" si="1"/>
        <v>0.002330182389</v>
      </c>
    </row>
    <row r="764" ht="15.75" customHeight="1">
      <c r="B764" s="3">
        <v>44501.0</v>
      </c>
      <c r="C764" s="2">
        <v>-150.963</v>
      </c>
      <c r="D764" s="6">
        <f t="shared" si="2"/>
        <v>109649.396</v>
      </c>
      <c r="E764" s="5">
        <f t="shared" si="1"/>
        <v>-0.001375832238</v>
      </c>
    </row>
    <row r="765" ht="15.75" customHeight="1">
      <c r="B765" s="3">
        <v>44531.0</v>
      </c>
      <c r="C765" s="2">
        <v>39.12</v>
      </c>
      <c r="D765" s="6">
        <f t="shared" si="2"/>
        <v>109688.516</v>
      </c>
      <c r="E765" s="5">
        <f t="shared" si="1"/>
        <v>0.0003567098826</v>
      </c>
    </row>
    <row r="766" ht="15.75" customHeight="1">
      <c r="B766" s="3" t="s">
        <v>459</v>
      </c>
      <c r="C766" s="2">
        <v>145.614</v>
      </c>
      <c r="D766" s="6">
        <f t="shared" si="2"/>
        <v>109834.13</v>
      </c>
      <c r="E766" s="5">
        <f t="shared" si="1"/>
        <v>0.001326642367</v>
      </c>
    </row>
    <row r="767" ht="15.75" customHeight="1">
      <c r="B767" s="3" t="s">
        <v>460</v>
      </c>
      <c r="C767" s="2">
        <v>80.939</v>
      </c>
      <c r="D767" s="6">
        <f t="shared" si="2"/>
        <v>109915.069</v>
      </c>
      <c r="E767" s="5">
        <f t="shared" si="1"/>
        <v>0.0007366489073</v>
      </c>
    </row>
    <row r="768" ht="15.75" customHeight="1">
      <c r="B768" s="3" t="s">
        <v>461</v>
      </c>
      <c r="C768" s="2">
        <v>-144.616</v>
      </c>
      <c r="D768" s="6">
        <f t="shared" si="2"/>
        <v>109770.453</v>
      </c>
      <c r="E768" s="5">
        <f t="shared" si="1"/>
        <v>-0.001316573068</v>
      </c>
    </row>
    <row r="769" ht="15.75" customHeight="1">
      <c r="B769" s="3" t="s">
        <v>462</v>
      </c>
      <c r="C769" s="2">
        <v>86.262</v>
      </c>
      <c r="D769" s="6">
        <f t="shared" si="2"/>
        <v>109856.715</v>
      </c>
      <c r="E769" s="5">
        <f t="shared" si="1"/>
        <v>0.000785531273</v>
      </c>
    </row>
    <row r="770" ht="15.75" customHeight="1">
      <c r="B770" s="3" t="s">
        <v>463</v>
      </c>
      <c r="C770" s="2">
        <v>622.856</v>
      </c>
      <c r="D770" s="6">
        <f t="shared" si="2"/>
        <v>110479.571</v>
      </c>
      <c r="E770" s="5">
        <f t="shared" si="1"/>
        <v>0.005653700263</v>
      </c>
    </row>
    <row r="771" ht="15.75" customHeight="1">
      <c r="B771" s="3" t="s">
        <v>464</v>
      </c>
      <c r="C771" s="2">
        <v>204.726</v>
      </c>
      <c r="D771" s="6">
        <f t="shared" si="2"/>
        <v>110684.297</v>
      </c>
      <c r="E771" s="5">
        <f t="shared" si="1"/>
        <v>0.001851351763</v>
      </c>
    </row>
    <row r="772" ht="15.75" customHeight="1">
      <c r="B772" s="3" t="s">
        <v>465</v>
      </c>
      <c r="C772" s="2">
        <v>149.19</v>
      </c>
      <c r="D772" s="6">
        <f t="shared" si="2"/>
        <v>110833.487</v>
      </c>
      <c r="E772" s="5">
        <f t="shared" si="1"/>
        <v>0.001346980092</v>
      </c>
    </row>
    <row r="773" ht="15.75" customHeight="1">
      <c r="B773" s="3" t="s">
        <v>466</v>
      </c>
      <c r="C773" s="2">
        <v>85.246</v>
      </c>
      <c r="D773" s="6">
        <f t="shared" si="2"/>
        <v>110918.733</v>
      </c>
      <c r="E773" s="5">
        <f t="shared" si="1"/>
        <v>0.0007688401424</v>
      </c>
    </row>
    <row r="774" ht="15.75" customHeight="1">
      <c r="B774" s="3" t="s">
        <v>467</v>
      </c>
      <c r="C774" s="2">
        <v>-23.283</v>
      </c>
      <c r="D774" s="6">
        <f t="shared" si="2"/>
        <v>110895.45</v>
      </c>
      <c r="E774" s="5">
        <f t="shared" si="1"/>
        <v>-0.0002099324738</v>
      </c>
    </row>
    <row r="775" ht="15.75" customHeight="1">
      <c r="B775" s="3" t="s">
        <v>468</v>
      </c>
      <c r="C775" s="2">
        <v>-21.754</v>
      </c>
      <c r="D775" s="6">
        <f t="shared" si="2"/>
        <v>110873.696</v>
      </c>
      <c r="E775" s="5">
        <f t="shared" si="1"/>
        <v>-0.0001961859931</v>
      </c>
    </row>
    <row r="776" ht="15.75" customHeight="1">
      <c r="B776" s="3" t="s">
        <v>469</v>
      </c>
      <c r="C776" s="2">
        <v>169.636</v>
      </c>
      <c r="D776" s="6">
        <f t="shared" si="2"/>
        <v>111043.332</v>
      </c>
      <c r="E776" s="5">
        <f t="shared" si="1"/>
        <v>0.001528823944</v>
      </c>
    </row>
    <row r="777" ht="15.75" customHeight="1">
      <c r="B777" s="3" t="s">
        <v>470</v>
      </c>
      <c r="C777" s="2">
        <v>-22.341</v>
      </c>
      <c r="D777" s="6">
        <f t="shared" si="2"/>
        <v>111020.991</v>
      </c>
      <c r="E777" s="5">
        <f t="shared" si="1"/>
        <v>-0.0002012119711</v>
      </c>
    </row>
    <row r="778" ht="15.75" customHeight="1">
      <c r="B778" s="3">
        <v>44198.0</v>
      </c>
      <c r="C778" s="2">
        <v>-66.734</v>
      </c>
      <c r="D778" s="6">
        <f t="shared" si="2"/>
        <v>110954.257</v>
      </c>
      <c r="E778" s="5">
        <f t="shared" si="1"/>
        <v>-0.0006012742647</v>
      </c>
    </row>
    <row r="779" ht="15.75" customHeight="1">
      <c r="B779" s="3">
        <v>44229.0</v>
      </c>
      <c r="C779" s="2">
        <v>-72.215</v>
      </c>
      <c r="D779" s="6">
        <f t="shared" si="2"/>
        <v>110882.042</v>
      </c>
      <c r="E779" s="5">
        <f t="shared" si="1"/>
        <v>-0.0006510656991</v>
      </c>
    </row>
    <row r="780" ht="15.75" customHeight="1">
      <c r="B780" s="3">
        <v>44257.0</v>
      </c>
      <c r="C780" s="2">
        <v>-4.89</v>
      </c>
      <c r="D780" s="6">
        <f t="shared" si="2"/>
        <v>110877.152</v>
      </c>
      <c r="E780" s="5">
        <f t="shared" si="1"/>
        <v>-0.0000441018919</v>
      </c>
    </row>
    <row r="781" ht="15.75" customHeight="1">
      <c r="B781" s="3">
        <v>44288.0</v>
      </c>
      <c r="C781" s="2">
        <v>8642.594</v>
      </c>
      <c r="D781" s="6">
        <f t="shared" si="2"/>
        <v>119519.746</v>
      </c>
      <c r="E781" s="5">
        <f t="shared" si="1"/>
        <v>0.07505874653</v>
      </c>
    </row>
    <row r="782" ht="15.75" customHeight="1">
      <c r="B782" s="3">
        <v>44318.0</v>
      </c>
      <c r="C782" s="2">
        <v>165.262</v>
      </c>
      <c r="D782" s="6">
        <f t="shared" si="2"/>
        <v>119685.008</v>
      </c>
      <c r="E782" s="5">
        <f t="shared" si="1"/>
        <v>0.001381762056</v>
      </c>
    </row>
    <row r="783" ht="15.75" customHeight="1">
      <c r="B783" s="3">
        <v>44410.0</v>
      </c>
      <c r="C783" s="2">
        <v>183.219</v>
      </c>
      <c r="D783" s="6">
        <f t="shared" si="2"/>
        <v>119868.227</v>
      </c>
      <c r="E783" s="5">
        <f t="shared" si="1"/>
        <v>0.001529672816</v>
      </c>
    </row>
    <row r="784" ht="15.75" customHeight="1">
      <c r="B784" s="3">
        <v>44441.0</v>
      </c>
      <c r="C784" s="2">
        <v>281.725</v>
      </c>
      <c r="D784" s="6">
        <f t="shared" si="2"/>
        <v>120149.952</v>
      </c>
      <c r="E784" s="5">
        <f t="shared" si="1"/>
        <v>0.002347531596</v>
      </c>
    </row>
    <row r="785" ht="15.75" customHeight="1">
      <c r="B785" s="3">
        <v>44471.0</v>
      </c>
      <c r="C785" s="2">
        <v>-5.774</v>
      </c>
      <c r="D785" s="6">
        <f t="shared" si="2"/>
        <v>120144.178</v>
      </c>
      <c r="E785" s="5">
        <f t="shared" si="1"/>
        <v>-0.00004805776988</v>
      </c>
    </row>
    <row r="786" ht="15.75" customHeight="1">
      <c r="B786" s="3">
        <v>44502.0</v>
      </c>
      <c r="C786" s="2">
        <v>69.6</v>
      </c>
      <c r="D786" s="6">
        <f t="shared" si="2"/>
        <v>120213.778</v>
      </c>
      <c r="E786" s="5">
        <f t="shared" si="1"/>
        <v>0.0005791362442</v>
      </c>
    </row>
    <row r="787" ht="15.75" customHeight="1">
      <c r="B787" s="3">
        <v>44532.0</v>
      </c>
      <c r="C787" s="2">
        <v>-31.388</v>
      </c>
      <c r="D787" s="6">
        <f t="shared" si="2"/>
        <v>120182.39</v>
      </c>
      <c r="E787" s="5">
        <f t="shared" si="1"/>
        <v>-0.0002611356116</v>
      </c>
    </row>
    <row r="788" ht="15.75" customHeight="1">
      <c r="B788" s="3" t="s">
        <v>471</v>
      </c>
      <c r="C788" s="2">
        <v>85.319</v>
      </c>
      <c r="D788" s="6">
        <f t="shared" si="2"/>
        <v>120267.709</v>
      </c>
      <c r="E788" s="5">
        <f t="shared" si="1"/>
        <v>0.0007096607898</v>
      </c>
    </row>
    <row r="789" ht="15.75" customHeight="1">
      <c r="B789" s="3" t="s">
        <v>472</v>
      </c>
      <c r="C789" s="2">
        <v>724.003</v>
      </c>
      <c r="D789" s="6">
        <f t="shared" si="2"/>
        <v>120991.712</v>
      </c>
      <c r="E789" s="5">
        <f t="shared" si="1"/>
        <v>0.006001881049</v>
      </c>
    </row>
    <row r="790" ht="15.75" customHeight="1">
      <c r="B790" s="3" t="s">
        <v>473</v>
      </c>
      <c r="C790" s="2">
        <v>580.385</v>
      </c>
      <c r="D790" s="6">
        <f t="shared" si="2"/>
        <v>121572.097</v>
      </c>
      <c r="E790" s="5">
        <f t="shared" si="1"/>
        <v>0.004785430357</v>
      </c>
    </row>
    <row r="791" ht="15.75" customHeight="1">
      <c r="B791" s="3" t="s">
        <v>474</v>
      </c>
      <c r="C791" s="2">
        <v>193.261</v>
      </c>
      <c r="D791" s="6">
        <f t="shared" si="2"/>
        <v>121765.358</v>
      </c>
      <c r="E791" s="5">
        <f t="shared" si="1"/>
        <v>0.001588420004</v>
      </c>
    </row>
    <row r="792" ht="15.75" customHeight="1">
      <c r="B792" s="3" t="s">
        <v>475</v>
      </c>
      <c r="C792" s="2">
        <v>120.883</v>
      </c>
      <c r="D792" s="6">
        <f t="shared" si="2"/>
        <v>121886.241</v>
      </c>
      <c r="E792" s="5">
        <f t="shared" si="1"/>
        <v>0.0009922611665</v>
      </c>
    </row>
    <row r="793" ht="15.75" customHeight="1">
      <c r="B793" s="3" t="s">
        <v>476</v>
      </c>
      <c r="C793" s="2">
        <v>106.558</v>
      </c>
      <c r="D793" s="6">
        <f t="shared" si="2"/>
        <v>121992.799</v>
      </c>
      <c r="E793" s="5">
        <f t="shared" si="1"/>
        <v>0.0008738594902</v>
      </c>
    </row>
    <row r="794" ht="15.75" customHeight="1">
      <c r="B794" s="3" t="s">
        <v>477</v>
      </c>
      <c r="C794" s="2">
        <v>-65.916</v>
      </c>
      <c r="D794" s="6">
        <f t="shared" si="2"/>
        <v>121926.883</v>
      </c>
      <c r="E794" s="5">
        <f t="shared" si="1"/>
        <v>-0.0005404730038</v>
      </c>
    </row>
    <row r="795" ht="15.75" customHeight="1">
      <c r="B795" s="3" t="s">
        <v>478</v>
      </c>
      <c r="C795" s="2">
        <v>111.402</v>
      </c>
      <c r="D795" s="6">
        <f t="shared" si="2"/>
        <v>122038.285</v>
      </c>
      <c r="E795" s="5">
        <f t="shared" si="1"/>
        <v>0.0009132615828</v>
      </c>
    </row>
    <row r="796" ht="15.75" customHeight="1">
      <c r="B796" s="3" t="s">
        <v>479</v>
      </c>
      <c r="C796" s="2">
        <v>287.931</v>
      </c>
      <c r="D796" s="6">
        <f t="shared" si="2"/>
        <v>122326.216</v>
      </c>
      <c r="E796" s="5">
        <f t="shared" si="1"/>
        <v>0.002356570877</v>
      </c>
    </row>
    <row r="797" ht="15.75" customHeight="1">
      <c r="B797" s="3">
        <v>44199.0</v>
      </c>
      <c r="C797" s="2">
        <v>152.413</v>
      </c>
      <c r="D797" s="6">
        <f t="shared" si="2"/>
        <v>122478.629</v>
      </c>
      <c r="E797" s="5">
        <f t="shared" si="1"/>
        <v>0.001245179765</v>
      </c>
    </row>
    <row r="798" ht="15.75" customHeight="1">
      <c r="B798" s="3">
        <v>44230.0</v>
      </c>
      <c r="C798" s="2">
        <v>220.784</v>
      </c>
      <c r="D798" s="6">
        <f t="shared" si="2"/>
        <v>122699.413</v>
      </c>
      <c r="E798" s="5">
        <f t="shared" si="1"/>
        <v>0.001801010057</v>
      </c>
    </row>
    <row r="799" ht="15.75" customHeight="1">
      <c r="B799" s="3">
        <v>44258.0</v>
      </c>
      <c r="C799" s="2">
        <v>-101.18</v>
      </c>
      <c r="D799" s="6">
        <f t="shared" si="2"/>
        <v>122598.233</v>
      </c>
      <c r="E799" s="5">
        <f t="shared" si="1"/>
        <v>-0.0008249570054</v>
      </c>
    </row>
    <row r="800" ht="15.75" customHeight="1">
      <c r="B800" s="3">
        <v>44289.0</v>
      </c>
      <c r="C800" s="2">
        <v>210.237</v>
      </c>
      <c r="D800" s="6">
        <f t="shared" si="2"/>
        <v>122808.47</v>
      </c>
      <c r="E800" s="5">
        <f t="shared" si="1"/>
        <v>0.001713376602</v>
      </c>
    </row>
    <row r="801" ht="15.75" customHeight="1">
      <c r="B801" s="3">
        <v>44319.0</v>
      </c>
      <c r="C801" s="2">
        <v>340.658</v>
      </c>
      <c r="D801" s="6">
        <f t="shared" si="2"/>
        <v>123149.128</v>
      </c>
      <c r="E801" s="5">
        <f t="shared" si="1"/>
        <v>0.00277005647</v>
      </c>
    </row>
    <row r="802" ht="15.75" customHeight="1">
      <c r="B802" s="3">
        <v>44411.0</v>
      </c>
      <c r="C802" s="2">
        <v>618.459</v>
      </c>
      <c r="D802" s="6">
        <f t="shared" si="2"/>
        <v>123767.587</v>
      </c>
      <c r="E802" s="5">
        <f t="shared" si="1"/>
        <v>0.005009464777</v>
      </c>
    </row>
    <row r="803" ht="15.75" customHeight="1">
      <c r="B803" s="3">
        <v>44442.0</v>
      </c>
      <c r="C803" s="2">
        <v>322.465</v>
      </c>
      <c r="D803" s="6">
        <f t="shared" si="2"/>
        <v>124090.052</v>
      </c>
      <c r="E803" s="5">
        <f t="shared" si="1"/>
        <v>0.002602019314</v>
      </c>
    </row>
    <row r="804" ht="15.75" customHeight="1">
      <c r="B804" s="3">
        <v>44472.0</v>
      </c>
      <c r="C804" s="2">
        <v>-255.247</v>
      </c>
      <c r="D804" s="6">
        <f t="shared" si="2"/>
        <v>123834.805</v>
      </c>
      <c r="E804" s="5">
        <f t="shared" si="1"/>
        <v>-0.002059068165</v>
      </c>
    </row>
    <row r="805" ht="15.75" customHeight="1">
      <c r="B805" s="3">
        <v>44503.0</v>
      </c>
      <c r="C805" s="2">
        <v>-234.615</v>
      </c>
      <c r="D805" s="6">
        <f t="shared" si="2"/>
        <v>123600.19</v>
      </c>
      <c r="E805" s="5">
        <f t="shared" si="1"/>
        <v>-0.001896377433</v>
      </c>
    </row>
    <row r="806" ht="15.75" customHeight="1">
      <c r="B806" s="3">
        <v>44533.0</v>
      </c>
      <c r="C806" s="2">
        <v>-475.912</v>
      </c>
      <c r="D806" s="6">
        <f t="shared" si="2"/>
        <v>123124.278</v>
      </c>
      <c r="E806" s="5">
        <f t="shared" si="1"/>
        <v>-0.003857846724</v>
      </c>
    </row>
    <row r="807" ht="15.75" customHeight="1">
      <c r="B807" s="3" t="s">
        <v>480</v>
      </c>
      <c r="C807" s="2">
        <v>195.287</v>
      </c>
      <c r="D807" s="6">
        <f t="shared" si="2"/>
        <v>123319.565</v>
      </c>
      <c r="E807" s="5">
        <f t="shared" si="1"/>
        <v>0.001584840088</v>
      </c>
    </row>
    <row r="808" ht="15.75" customHeight="1">
      <c r="B808" s="3" t="s">
        <v>481</v>
      </c>
      <c r="C808" s="2">
        <v>702.176</v>
      </c>
      <c r="D808" s="6">
        <f t="shared" si="2"/>
        <v>124021.741</v>
      </c>
      <c r="E808" s="5">
        <f t="shared" si="1"/>
        <v>0.005677805278</v>
      </c>
    </row>
    <row r="809" ht="15.75" customHeight="1">
      <c r="B809" s="3" t="s">
        <v>482</v>
      </c>
      <c r="C809" s="2">
        <v>173.308</v>
      </c>
      <c r="D809" s="6">
        <f t="shared" si="2"/>
        <v>124195.049</v>
      </c>
      <c r="E809" s="5">
        <f t="shared" si="1"/>
        <v>0.001396424699</v>
      </c>
    </row>
    <row r="810" ht="15.75" customHeight="1">
      <c r="B810" s="3" t="s">
        <v>483</v>
      </c>
      <c r="C810" s="2">
        <v>955.122</v>
      </c>
      <c r="D810" s="6">
        <f t="shared" si="2"/>
        <v>125150.171</v>
      </c>
      <c r="E810" s="5">
        <f t="shared" si="1"/>
        <v>0.007661078656</v>
      </c>
    </row>
    <row r="811" ht="15.75" customHeight="1">
      <c r="B811" s="3" t="s">
        <v>484</v>
      </c>
      <c r="C811" s="2">
        <v>387.739</v>
      </c>
      <c r="D811" s="6">
        <f t="shared" si="2"/>
        <v>125537.91</v>
      </c>
      <c r="E811" s="5">
        <f t="shared" si="1"/>
        <v>0.003093400433</v>
      </c>
    </row>
    <row r="812" ht="15.75" customHeight="1">
      <c r="B812" s="3" t="s">
        <v>485</v>
      </c>
      <c r="C812" s="2">
        <v>-77.474</v>
      </c>
      <c r="D812" s="6">
        <f t="shared" si="2"/>
        <v>125460.436</v>
      </c>
      <c r="E812" s="5">
        <f t="shared" si="1"/>
        <v>-0.0006173267967</v>
      </c>
    </row>
    <row r="813" ht="15.75" customHeight="1">
      <c r="B813" s="3" t="s">
        <v>486</v>
      </c>
      <c r="C813" s="2">
        <v>-5.001</v>
      </c>
      <c r="D813" s="6">
        <f t="shared" si="2"/>
        <v>125455.435</v>
      </c>
      <c r="E813" s="5">
        <f t="shared" si="1"/>
        <v>-0.00003986196633</v>
      </c>
    </row>
    <row r="814" ht="15.75" customHeight="1">
      <c r="B814" s="3" t="s">
        <v>487</v>
      </c>
      <c r="C814" s="2">
        <v>187.275</v>
      </c>
      <c r="D814" s="6">
        <f t="shared" si="2"/>
        <v>125642.71</v>
      </c>
      <c r="E814" s="5">
        <f t="shared" si="1"/>
        <v>0.001491648094</v>
      </c>
    </row>
    <row r="815" ht="15.75" customHeight="1">
      <c r="B815" s="3" t="s">
        <v>488</v>
      </c>
      <c r="C815" s="2">
        <v>234.574</v>
      </c>
      <c r="D815" s="6">
        <f t="shared" si="2"/>
        <v>125877.284</v>
      </c>
      <c r="E815" s="5">
        <f t="shared" si="1"/>
        <v>0.001865251858</v>
      </c>
    </row>
    <row r="816" ht="15.75" customHeight="1">
      <c r="B816" s="3" t="s">
        <v>489</v>
      </c>
      <c r="C816" s="2">
        <v>502.992</v>
      </c>
      <c r="D816" s="6">
        <f t="shared" si="2"/>
        <v>126380.276</v>
      </c>
      <c r="E816" s="5">
        <f t="shared" si="1"/>
        <v>0.003987929374</v>
      </c>
    </row>
    <row r="817" ht="15.75" customHeight="1">
      <c r="B817" s="3" t="s">
        <v>490</v>
      </c>
      <c r="C817" s="2">
        <v>63.697</v>
      </c>
      <c r="D817" s="6">
        <f t="shared" si="2"/>
        <v>126443.973</v>
      </c>
      <c r="E817" s="5">
        <f t="shared" si="1"/>
        <v>0.0005038836393</v>
      </c>
    </row>
    <row r="818" ht="15.75" customHeight="1">
      <c r="B818" s="3" t="s">
        <v>491</v>
      </c>
      <c r="C818" s="2">
        <v>-109.098</v>
      </c>
      <c r="D818" s="6">
        <f t="shared" si="2"/>
        <v>126334.875</v>
      </c>
      <c r="E818" s="5">
        <f t="shared" si="1"/>
        <v>-0.000863189366</v>
      </c>
    </row>
    <row r="819" ht="15.75" customHeight="1">
      <c r="B819" s="3" t="s">
        <v>492</v>
      </c>
      <c r="C819" s="2">
        <v>133.346</v>
      </c>
      <c r="D819" s="6">
        <f t="shared" si="2"/>
        <v>126468.221</v>
      </c>
      <c r="E819" s="5">
        <f t="shared" si="1"/>
        <v>0.00105493971</v>
      </c>
    </row>
    <row r="820" ht="15.75" customHeight="1">
      <c r="B820" s="3">
        <v>44200.0</v>
      </c>
      <c r="C820" s="2">
        <v>-444.583</v>
      </c>
      <c r="D820" s="6">
        <f t="shared" si="2"/>
        <v>126023.638</v>
      </c>
      <c r="E820" s="5">
        <f t="shared" si="1"/>
        <v>-0.003521566685</v>
      </c>
    </row>
    <row r="821" ht="15.75" customHeight="1">
      <c r="B821" s="3">
        <v>44320.0</v>
      </c>
      <c r="C821" s="2">
        <v>169.537</v>
      </c>
      <c r="D821" s="6">
        <f t="shared" si="2"/>
        <v>126193.175</v>
      </c>
      <c r="E821" s="5">
        <f t="shared" si="1"/>
        <v>0.00134437529</v>
      </c>
    </row>
    <row r="822" ht="15.75" customHeight="1">
      <c r="B822" s="3">
        <v>44351.0</v>
      </c>
      <c r="C822" s="2">
        <v>180.998</v>
      </c>
      <c r="D822" s="6">
        <f t="shared" si="2"/>
        <v>126374.173</v>
      </c>
      <c r="E822" s="5">
        <f t="shared" si="1"/>
        <v>0.001433265483</v>
      </c>
    </row>
    <row r="823" ht="15.75" customHeight="1">
      <c r="B823" s="3">
        <v>44381.0</v>
      </c>
      <c r="C823" s="2">
        <v>419.662</v>
      </c>
      <c r="D823" s="6">
        <f t="shared" si="2"/>
        <v>126793.835</v>
      </c>
      <c r="E823" s="5">
        <f t="shared" si="1"/>
        <v>0.003315287644</v>
      </c>
    </row>
    <row r="824" ht="15.75" customHeight="1">
      <c r="B824" s="3">
        <v>44412.0</v>
      </c>
      <c r="C824" s="2">
        <v>330.272</v>
      </c>
      <c r="D824" s="6">
        <f t="shared" si="2"/>
        <v>127124.107</v>
      </c>
      <c r="E824" s="5">
        <f t="shared" si="1"/>
        <v>0.002601408815</v>
      </c>
    </row>
    <row r="825" ht="15.75" customHeight="1">
      <c r="B825" s="3">
        <v>44443.0</v>
      </c>
      <c r="C825" s="2">
        <v>425.862</v>
      </c>
      <c r="D825" s="6">
        <f t="shared" si="2"/>
        <v>127549.969</v>
      </c>
      <c r="E825" s="5">
        <f t="shared" si="1"/>
        <v>0.003344371784</v>
      </c>
    </row>
    <row r="826" ht="15.75" customHeight="1">
      <c r="B826" s="3">
        <v>44534.0</v>
      </c>
      <c r="C826" s="2">
        <v>132.598</v>
      </c>
      <c r="D826" s="6">
        <f t="shared" si="2"/>
        <v>127682.567</v>
      </c>
      <c r="E826" s="5">
        <f t="shared" si="1"/>
        <v>0.001039036903</v>
      </c>
    </row>
    <row r="827" ht="15.75" customHeight="1">
      <c r="B827" s="3" t="s">
        <v>493</v>
      </c>
      <c r="C827" s="2">
        <v>293.798</v>
      </c>
      <c r="D827" s="6">
        <f t="shared" si="2"/>
        <v>127976.365</v>
      </c>
      <c r="E827" s="5">
        <f t="shared" si="1"/>
        <v>0.002298359983</v>
      </c>
    </row>
    <row r="828" ht="15.75" customHeight="1">
      <c r="B828" s="3" t="s">
        <v>494</v>
      </c>
      <c r="C828" s="2">
        <v>80.376</v>
      </c>
      <c r="D828" s="6">
        <f t="shared" si="2"/>
        <v>128056.741</v>
      </c>
      <c r="E828" s="5">
        <f t="shared" si="1"/>
        <v>0.0006278563261</v>
      </c>
    </row>
    <row r="829" ht="15.75" customHeight="1">
      <c r="B829" s="3" t="s">
        <v>495</v>
      </c>
      <c r="C829" s="2">
        <v>392.108</v>
      </c>
      <c r="D829" s="6">
        <f t="shared" si="2"/>
        <v>128448.849</v>
      </c>
      <c r="E829" s="5">
        <f t="shared" si="1"/>
        <v>0.003057308072</v>
      </c>
    </row>
    <row r="830" ht="15.75" customHeight="1">
      <c r="B830" s="3" t="s">
        <v>496</v>
      </c>
      <c r="C830" s="2">
        <v>254.663</v>
      </c>
      <c r="D830" s="6">
        <f t="shared" si="2"/>
        <v>128703.512</v>
      </c>
      <c r="E830" s="5">
        <f t="shared" si="1"/>
        <v>0.001980639666</v>
      </c>
    </row>
    <row r="831" ht="15.75" customHeight="1">
      <c r="B831" s="3" t="s">
        <v>497</v>
      </c>
      <c r="C831" s="2">
        <v>394.601</v>
      </c>
      <c r="D831" s="6">
        <f t="shared" si="2"/>
        <v>129098.113</v>
      </c>
      <c r="E831" s="5">
        <f t="shared" si="1"/>
        <v>0.003061278672</v>
      </c>
    </row>
    <row r="832" ht="15.75" customHeight="1">
      <c r="B832" s="3" t="s">
        <v>498</v>
      </c>
      <c r="C832" s="2">
        <v>170.098</v>
      </c>
      <c r="D832" s="6">
        <f t="shared" si="2"/>
        <v>129268.211</v>
      </c>
      <c r="E832" s="5">
        <f t="shared" si="1"/>
        <v>0.001316719779</v>
      </c>
    </row>
    <row r="833" ht="15.75" customHeight="1">
      <c r="B833" s="3" t="s">
        <v>499</v>
      </c>
      <c r="C833" s="2">
        <v>244.261</v>
      </c>
      <c r="D833" s="6">
        <f t="shared" si="2"/>
        <v>129512.472</v>
      </c>
      <c r="E833" s="5">
        <f t="shared" si="1"/>
        <v>0.001887784434</v>
      </c>
    </row>
    <row r="834" ht="15.75" customHeight="1">
      <c r="B834" s="3" t="s">
        <v>500</v>
      </c>
      <c r="C834" s="2">
        <v>63.071</v>
      </c>
      <c r="D834" s="6">
        <f t="shared" si="2"/>
        <v>129575.543</v>
      </c>
      <c r="E834" s="5">
        <f t="shared" si="1"/>
        <v>0.0004868693077</v>
      </c>
    </row>
    <row r="835" ht="15.75" customHeight="1">
      <c r="B835" s="3" t="s">
        <v>501</v>
      </c>
      <c r="C835" s="2">
        <v>279.527</v>
      </c>
      <c r="D835" s="6">
        <f t="shared" si="2"/>
        <v>129855.07</v>
      </c>
      <c r="E835" s="5">
        <f t="shared" si="1"/>
        <v>0.002154927708</v>
      </c>
    </row>
    <row r="836" ht="15.75" customHeight="1">
      <c r="B836" s="3" t="s">
        <v>502</v>
      </c>
      <c r="C836" s="2">
        <v>-288.12</v>
      </c>
      <c r="D836" s="6">
        <f t="shared" si="2"/>
        <v>129566.95</v>
      </c>
      <c r="E836" s="5">
        <f t="shared" si="1"/>
        <v>-0.002221246434</v>
      </c>
    </row>
    <row r="837" ht="15.75" customHeight="1">
      <c r="B837" s="3" t="s">
        <v>503</v>
      </c>
      <c r="C837" s="2">
        <v>14.916</v>
      </c>
      <c r="D837" s="6">
        <f t="shared" si="2"/>
        <v>129581.866</v>
      </c>
      <c r="E837" s="5">
        <f t="shared" si="1"/>
        <v>0.0001151153244</v>
      </c>
    </row>
    <row r="838" ht="15.75" customHeight="1">
      <c r="B838" s="3" t="s">
        <v>504</v>
      </c>
      <c r="C838" s="2">
        <v>92.063</v>
      </c>
      <c r="D838" s="6">
        <f t="shared" si="2"/>
        <v>129673.929</v>
      </c>
      <c r="E838" s="5">
        <f t="shared" si="1"/>
        <v>0.0007102098055</v>
      </c>
    </row>
    <row r="839" ht="15.75" customHeight="1">
      <c r="B839" s="3" t="s">
        <v>505</v>
      </c>
      <c r="C839" s="2">
        <v>14.14</v>
      </c>
      <c r="D839" s="6">
        <f t="shared" si="2"/>
        <v>129688.069</v>
      </c>
      <c r="E839" s="5">
        <f t="shared" si="1"/>
        <v>0.0001090367912</v>
      </c>
    </row>
    <row r="840" ht="15.75" customHeight="1">
      <c r="B840" s="3" t="s">
        <v>506</v>
      </c>
      <c r="C840" s="2">
        <v>82.9</v>
      </c>
      <c r="D840" s="6">
        <f t="shared" si="2"/>
        <v>129770.969</v>
      </c>
      <c r="E840" s="5">
        <f t="shared" si="1"/>
        <v>0.0006390218931</v>
      </c>
    </row>
    <row r="841" ht="15.75" customHeight="1">
      <c r="B841" s="3">
        <v>44260.0</v>
      </c>
      <c r="C841" s="2">
        <v>226.434</v>
      </c>
      <c r="D841" s="6">
        <f t="shared" si="2"/>
        <v>129997.403</v>
      </c>
      <c r="E841" s="5">
        <f t="shared" si="1"/>
        <v>0.001743353555</v>
      </c>
    </row>
    <row r="842" ht="15.75" customHeight="1">
      <c r="B842" s="3">
        <v>44291.0</v>
      </c>
      <c r="C842" s="2">
        <v>66.803</v>
      </c>
      <c r="D842" s="6">
        <f t="shared" si="2"/>
        <v>130064.206</v>
      </c>
      <c r="E842" s="5">
        <f t="shared" si="1"/>
        <v>0.0005137475056</v>
      </c>
    </row>
    <row r="843" ht="15.75" customHeight="1">
      <c r="B843" s="3">
        <v>44321.0</v>
      </c>
      <c r="C843" s="2">
        <v>342.507</v>
      </c>
      <c r="D843" s="6">
        <f t="shared" si="2"/>
        <v>130406.713</v>
      </c>
      <c r="E843" s="5">
        <f t="shared" si="1"/>
        <v>0.00262990739</v>
      </c>
    </row>
    <row r="844" ht="15.75" customHeight="1">
      <c r="B844" s="3">
        <v>44352.0</v>
      </c>
      <c r="C844" s="2">
        <v>-284.99</v>
      </c>
      <c r="D844" s="6">
        <f t="shared" si="2"/>
        <v>130121.723</v>
      </c>
      <c r="E844" s="5">
        <f t="shared" si="1"/>
        <v>-0.002187785088</v>
      </c>
    </row>
    <row r="845" ht="15.75" customHeight="1">
      <c r="B845" s="3">
        <v>44382.0</v>
      </c>
      <c r="C845" s="2">
        <v>-21.936</v>
      </c>
      <c r="D845" s="6">
        <f t="shared" si="2"/>
        <v>130099.787</v>
      </c>
      <c r="E845" s="5">
        <f t="shared" si="1"/>
        <v>-0.0001685948256</v>
      </c>
    </row>
    <row r="846" ht="15.75" customHeight="1">
      <c r="B846" s="3">
        <v>44474.0</v>
      </c>
      <c r="C846" s="2">
        <v>179.778</v>
      </c>
      <c r="D846" s="6">
        <f t="shared" si="2"/>
        <v>130279.565</v>
      </c>
      <c r="E846" s="5">
        <f t="shared" si="1"/>
        <v>0.001380893125</v>
      </c>
    </row>
    <row r="847" ht="15.75" customHeight="1">
      <c r="B847" s="3">
        <v>44505.0</v>
      </c>
      <c r="C847" s="2">
        <v>493.568</v>
      </c>
      <c r="D847" s="6">
        <f t="shared" si="2"/>
        <v>130773.133</v>
      </c>
      <c r="E847" s="5">
        <f t="shared" si="1"/>
        <v>0.003781371286</v>
      </c>
    </row>
    <row r="848" ht="15.75" customHeight="1">
      <c r="B848" s="3">
        <v>44535.0</v>
      </c>
      <c r="C848" s="2">
        <v>447.882</v>
      </c>
      <c r="D848" s="6">
        <f t="shared" si="2"/>
        <v>131221.015</v>
      </c>
      <c r="E848" s="5">
        <f t="shared" si="1"/>
        <v>0.003419026262</v>
      </c>
    </row>
    <row r="849" ht="15.75" customHeight="1">
      <c r="B849" s="3" t="s">
        <v>507</v>
      </c>
      <c r="C849" s="2">
        <v>453.6</v>
      </c>
      <c r="D849" s="6">
        <f t="shared" si="2"/>
        <v>131674.615</v>
      </c>
      <c r="E849" s="5">
        <f t="shared" si="1"/>
        <v>0.003450802511</v>
      </c>
    </row>
    <row r="850" ht="15.75" customHeight="1">
      <c r="B850" s="3" t="s">
        <v>508</v>
      </c>
      <c r="C850" s="2">
        <v>239.675</v>
      </c>
      <c r="D850" s="6">
        <f t="shared" si="2"/>
        <v>131914.29</v>
      </c>
      <c r="E850" s="5">
        <f t="shared" si="1"/>
        <v>0.001818552007</v>
      </c>
    </row>
    <row r="851" ht="15.75" customHeight="1">
      <c r="B851" s="3" t="s">
        <v>509</v>
      </c>
      <c r="C851" s="2">
        <v>348.101</v>
      </c>
      <c r="D851" s="6">
        <f t="shared" si="2"/>
        <v>132262.391</v>
      </c>
      <c r="E851" s="5">
        <f t="shared" si="1"/>
        <v>0.002635366605</v>
      </c>
    </row>
    <row r="852" ht="15.75" customHeight="1">
      <c r="B852" s="3" t="s">
        <v>510</v>
      </c>
      <c r="C852" s="2">
        <v>89.538</v>
      </c>
      <c r="D852" s="6">
        <f t="shared" si="2"/>
        <v>132351.929</v>
      </c>
      <c r="E852" s="5">
        <f t="shared" si="1"/>
        <v>0.0006767434462</v>
      </c>
    </row>
    <row r="853" ht="15.75" customHeight="1">
      <c r="B853" s="3" t="s">
        <v>511</v>
      </c>
      <c r="C853" s="2">
        <v>127.892</v>
      </c>
      <c r="D853" s="6">
        <f t="shared" si="2"/>
        <v>132479.821</v>
      </c>
      <c r="E853" s="5">
        <f t="shared" si="1"/>
        <v>0.0009658359312</v>
      </c>
    </row>
    <row r="854" ht="15.75" customHeight="1">
      <c r="B854" s="3" t="s">
        <v>512</v>
      </c>
      <c r="C854" s="2">
        <v>232.53</v>
      </c>
      <c r="D854" s="6">
        <f t="shared" si="2"/>
        <v>132712.351</v>
      </c>
      <c r="E854" s="5">
        <f t="shared" si="1"/>
        <v>0.001753672123</v>
      </c>
    </row>
    <row r="855" ht="15.75" customHeight="1">
      <c r="B855" s="3" t="s">
        <v>513</v>
      </c>
      <c r="C855" s="2">
        <v>-54.564</v>
      </c>
      <c r="D855" s="6">
        <f t="shared" si="2"/>
        <v>132657.787</v>
      </c>
      <c r="E855" s="5">
        <f t="shared" si="1"/>
        <v>-0.0004112293959</v>
      </c>
    </row>
    <row r="856" ht="15.75" customHeight="1">
      <c r="B856" s="3" t="s">
        <v>514</v>
      </c>
      <c r="C856" s="2">
        <v>221.142</v>
      </c>
      <c r="D856" s="6">
        <f t="shared" si="2"/>
        <v>132878.929</v>
      </c>
      <c r="E856" s="5">
        <f t="shared" si="1"/>
        <v>0.001665623153</v>
      </c>
    </row>
    <row r="857" ht="15.75" customHeight="1">
      <c r="B857" s="3" t="s">
        <v>515</v>
      </c>
      <c r="C857" s="2">
        <v>167.565</v>
      </c>
      <c r="D857" s="6">
        <f t="shared" si="2"/>
        <v>133046.494</v>
      </c>
      <c r="E857" s="5">
        <f t="shared" si="1"/>
        <v>0.001260240712</v>
      </c>
    </row>
    <row r="858" ht="15.75" customHeight="1">
      <c r="B858" s="3" t="s">
        <v>516</v>
      </c>
      <c r="C858" s="2">
        <v>308.204</v>
      </c>
      <c r="D858" s="6">
        <f t="shared" si="2"/>
        <v>133354.698</v>
      </c>
      <c r="E858" s="5">
        <f t="shared" si="1"/>
        <v>0.002313834523</v>
      </c>
    </row>
    <row r="859" ht="15.75" customHeight="1">
      <c r="B859" s="3" t="s">
        <v>517</v>
      </c>
      <c r="C859" s="2">
        <v>139.257</v>
      </c>
      <c r="D859" s="6">
        <f t="shared" si="2"/>
        <v>133493.955</v>
      </c>
      <c r="E859" s="5">
        <f t="shared" si="1"/>
        <v>0.001043715313</v>
      </c>
    </row>
    <row r="860" ht="15.75" customHeight="1">
      <c r="B860" s="3" t="s">
        <v>518</v>
      </c>
      <c r="C860" s="2">
        <v>55.334</v>
      </c>
      <c r="D860" s="6">
        <f t="shared" si="2"/>
        <v>133549.289</v>
      </c>
      <c r="E860" s="5">
        <f t="shared" si="1"/>
        <v>0.0004144197768</v>
      </c>
    </row>
    <row r="861" ht="15.75" customHeight="1">
      <c r="B861" s="3">
        <v>44202.0</v>
      </c>
      <c r="C861" s="2">
        <v>23.207</v>
      </c>
      <c r="D861" s="6">
        <f t="shared" si="2"/>
        <v>133572.496</v>
      </c>
      <c r="E861" s="5">
        <f t="shared" si="1"/>
        <v>0.0001737559522</v>
      </c>
    </row>
    <row r="862" ht="15.75" customHeight="1">
      <c r="B862" s="3">
        <v>44233.0</v>
      </c>
      <c r="C862" s="2">
        <v>-82.705</v>
      </c>
      <c r="D862" s="6">
        <f t="shared" si="2"/>
        <v>133489.791</v>
      </c>
      <c r="E862" s="5">
        <f t="shared" si="1"/>
        <v>-0.0006193686392</v>
      </c>
    </row>
    <row r="863" ht="15.75" customHeight="1">
      <c r="B863" s="3">
        <v>44261.0</v>
      </c>
      <c r="C863" s="2">
        <v>119.427</v>
      </c>
      <c r="D863" s="6">
        <f t="shared" si="2"/>
        <v>133609.218</v>
      </c>
      <c r="E863" s="5">
        <f t="shared" si="1"/>
        <v>0.0008942527223</v>
      </c>
    </row>
    <row r="864" ht="15.75" customHeight="1">
      <c r="B864" s="3">
        <v>44292.0</v>
      </c>
      <c r="C864" s="2">
        <v>96.277</v>
      </c>
      <c r="D864" s="6">
        <f t="shared" si="2"/>
        <v>133705.495</v>
      </c>
      <c r="E864" s="5">
        <f t="shared" si="1"/>
        <v>0.0007203270114</v>
      </c>
    </row>
    <row r="865" ht="15.75" customHeight="1">
      <c r="B865" s="3">
        <v>44383.0</v>
      </c>
      <c r="C865" s="2">
        <v>-197.222</v>
      </c>
      <c r="D865" s="6">
        <f t="shared" si="2"/>
        <v>133508.273</v>
      </c>
      <c r="E865" s="5">
        <f t="shared" si="1"/>
        <v>-0.001476136782</v>
      </c>
    </row>
    <row r="866" ht="15.75" customHeight="1">
      <c r="B866" s="3">
        <v>44414.0</v>
      </c>
      <c r="C866" s="2">
        <v>772.109</v>
      </c>
      <c r="D866" s="6">
        <f t="shared" si="2"/>
        <v>134280.382</v>
      </c>
      <c r="E866" s="5">
        <f t="shared" si="1"/>
        <v>0.005766570952</v>
      </c>
    </row>
    <row r="867" ht="15.75" customHeight="1">
      <c r="B867" s="3">
        <v>44445.0</v>
      </c>
      <c r="C867" s="2">
        <v>231.788</v>
      </c>
      <c r="D867" s="6">
        <f t="shared" si="2"/>
        <v>134512.17</v>
      </c>
      <c r="E867" s="5">
        <f t="shared" si="1"/>
        <v>0.00172466131</v>
      </c>
    </row>
    <row r="868" ht="15.75" customHeight="1">
      <c r="B868" s="3">
        <v>44475.0</v>
      </c>
      <c r="C868" s="2">
        <v>147.98</v>
      </c>
      <c r="D868" s="6">
        <f t="shared" si="2"/>
        <v>134660.15</v>
      </c>
      <c r="E868" s="5">
        <f t="shared" si="1"/>
        <v>0.001099518813</v>
      </c>
    </row>
    <row r="869" ht="15.75" customHeight="1">
      <c r="B869" s="3">
        <v>44506.0</v>
      </c>
      <c r="C869" s="2">
        <v>183.205</v>
      </c>
      <c r="D869" s="6">
        <f t="shared" si="2"/>
        <v>134843.355</v>
      </c>
      <c r="E869" s="5">
        <f t="shared" si="1"/>
        <v>0.001359574364</v>
      </c>
    </row>
    <row r="870" ht="15.75" customHeight="1">
      <c r="B870" s="3" t="s">
        <v>519</v>
      </c>
      <c r="C870" s="2">
        <v>238.254</v>
      </c>
      <c r="D870" s="6">
        <f t="shared" si="2"/>
        <v>135081.609</v>
      </c>
      <c r="E870" s="5">
        <f t="shared" si="1"/>
        <v>0.001765335509</v>
      </c>
    </row>
    <row r="871" ht="15.75" customHeight="1">
      <c r="B871" s="3" t="s">
        <v>520</v>
      </c>
      <c r="C871" s="2">
        <v>-905.52</v>
      </c>
      <c r="D871" s="6">
        <f t="shared" si="2"/>
        <v>134176.089</v>
      </c>
      <c r="E871" s="5">
        <f t="shared" si="1"/>
        <v>-0.00672607261</v>
      </c>
    </row>
    <row r="872" ht="15.75" customHeight="1">
      <c r="B872" s="3" t="s">
        <v>521</v>
      </c>
      <c r="C872" s="2">
        <v>110.068</v>
      </c>
      <c r="D872" s="6">
        <f t="shared" si="2"/>
        <v>134286.157</v>
      </c>
      <c r="E872" s="5">
        <f t="shared" si="1"/>
        <v>0.0008199887158</v>
      </c>
    </row>
    <row r="873" ht="15.75" customHeight="1">
      <c r="B873" s="3" t="s">
        <v>522</v>
      </c>
      <c r="C873" s="2">
        <v>682.012</v>
      </c>
      <c r="D873" s="6">
        <f t="shared" si="2"/>
        <v>134968.169</v>
      </c>
      <c r="E873" s="5">
        <f t="shared" si="1"/>
        <v>0.00506594244</v>
      </c>
    </row>
    <row r="874" ht="15.75" customHeight="1">
      <c r="B874" s="3" t="s">
        <v>523</v>
      </c>
      <c r="C874" s="2">
        <v>176.041</v>
      </c>
      <c r="D874" s="6">
        <f t="shared" si="2"/>
        <v>135144.21</v>
      </c>
      <c r="E874" s="5">
        <f t="shared" si="1"/>
        <v>0.001303465066</v>
      </c>
    </row>
    <row r="875" ht="15.75" customHeight="1">
      <c r="B875" s="3" t="s">
        <v>524</v>
      </c>
      <c r="C875" s="2">
        <v>-507.774</v>
      </c>
      <c r="D875" s="6">
        <f t="shared" si="2"/>
        <v>134636.436</v>
      </c>
      <c r="E875" s="5">
        <f t="shared" si="1"/>
        <v>-0.003764351573</v>
      </c>
    </row>
    <row r="876" ht="15.75" customHeight="1">
      <c r="B876" s="3" t="s">
        <v>525</v>
      </c>
      <c r="C876" s="2">
        <v>216.844</v>
      </c>
      <c r="D876" s="6">
        <f t="shared" si="2"/>
        <v>134853.28</v>
      </c>
      <c r="E876" s="5">
        <f t="shared" si="1"/>
        <v>0.001609293668</v>
      </c>
    </row>
    <row r="877" ht="15.75" customHeight="1">
      <c r="B877" s="3" t="s">
        <v>526</v>
      </c>
      <c r="C877" s="2">
        <v>158.011</v>
      </c>
      <c r="D877" s="6">
        <f t="shared" si="2"/>
        <v>135011.291</v>
      </c>
      <c r="E877" s="5">
        <f t="shared" si="1"/>
        <v>0.001171039366</v>
      </c>
    </row>
    <row r="878" ht="15.75" customHeight="1">
      <c r="B878" s="3" t="s">
        <v>527</v>
      </c>
      <c r="C878" s="2">
        <v>228.604</v>
      </c>
      <c r="D878" s="6">
        <f t="shared" si="2"/>
        <v>135239.895</v>
      </c>
      <c r="E878" s="5">
        <f t="shared" si="1"/>
        <v>0.001691789464</v>
      </c>
    </row>
    <row r="879" ht="15.75" customHeight="1">
      <c r="B879" s="3" t="s">
        <v>528</v>
      </c>
      <c r="C879" s="2">
        <v>91.708</v>
      </c>
      <c r="D879" s="6">
        <f t="shared" si="2"/>
        <v>135331.603</v>
      </c>
      <c r="E879" s="5">
        <f t="shared" si="1"/>
        <v>0.0006778836957</v>
      </c>
    </row>
    <row r="880" ht="15.75" customHeight="1">
      <c r="B880" s="3" t="s">
        <v>529</v>
      </c>
      <c r="C880" s="2">
        <v>99.698</v>
      </c>
      <c r="D880" s="6">
        <f t="shared" si="2"/>
        <v>135431.301</v>
      </c>
      <c r="E880" s="5">
        <f t="shared" si="1"/>
        <v>0.0007364229223</v>
      </c>
    </row>
    <row r="881" ht="15.75" customHeight="1">
      <c r="B881" s="3" t="s">
        <v>530</v>
      </c>
      <c r="C881" s="2">
        <v>394.883</v>
      </c>
      <c r="D881" s="6">
        <f t="shared" si="2"/>
        <v>135826.184</v>
      </c>
      <c r="E881" s="5">
        <f t="shared" si="1"/>
        <v>0.002911501439</v>
      </c>
    </row>
    <row r="882" ht="15.75" customHeight="1">
      <c r="B882" s="3" t="s">
        <v>531</v>
      </c>
      <c r="C882" s="2">
        <v>167.209</v>
      </c>
      <c r="D882" s="6">
        <f t="shared" si="2"/>
        <v>135993.393</v>
      </c>
      <c r="E882" s="5">
        <f t="shared" si="1"/>
        <v>0.001230294175</v>
      </c>
    </row>
    <row r="883" ht="15.75" customHeight="1">
      <c r="B883" s="3">
        <v>44203.0</v>
      </c>
      <c r="C883" s="2">
        <v>118.092</v>
      </c>
      <c r="D883" s="6">
        <f t="shared" si="2"/>
        <v>136111.485</v>
      </c>
      <c r="E883" s="5">
        <f t="shared" si="1"/>
        <v>0.000867988904</v>
      </c>
    </row>
    <row r="884" ht="15.75" customHeight="1">
      <c r="B884" s="3">
        <v>44234.0</v>
      </c>
      <c r="C884" s="2">
        <v>288.94</v>
      </c>
      <c r="D884" s="6">
        <f t="shared" si="2"/>
        <v>136400.425</v>
      </c>
      <c r="E884" s="5">
        <f t="shared" si="1"/>
        <v>0.002120568663</v>
      </c>
    </row>
    <row r="885" ht="15.75" customHeight="1">
      <c r="B885" s="3">
        <v>44354.0</v>
      </c>
      <c r="C885" s="2">
        <v>500.936</v>
      </c>
      <c r="D885" s="6">
        <f t="shared" si="2"/>
        <v>136901.361</v>
      </c>
      <c r="E885" s="5">
        <f t="shared" si="1"/>
        <v>0.003665812568</v>
      </c>
    </row>
    <row r="886" ht="15.75" customHeight="1">
      <c r="B886" s="3">
        <v>44384.0</v>
      </c>
      <c r="C886" s="2">
        <v>540.081</v>
      </c>
      <c r="D886" s="6">
        <f t="shared" si="2"/>
        <v>137441.442</v>
      </c>
      <c r="E886" s="5">
        <f t="shared" si="1"/>
        <v>0.003937276224</v>
      </c>
    </row>
    <row r="887" ht="15.75" customHeight="1">
      <c r="B887" s="3">
        <v>44415.0</v>
      </c>
      <c r="C887" s="2">
        <v>270.847</v>
      </c>
      <c r="D887" s="6">
        <f t="shared" si="2"/>
        <v>137712.289</v>
      </c>
      <c r="E887" s="5">
        <f t="shared" si="1"/>
        <v>0.001968696456</v>
      </c>
    </row>
    <row r="888" ht="15.75" customHeight="1">
      <c r="B888" s="3">
        <v>44446.0</v>
      </c>
      <c r="C888" s="2">
        <v>64.596</v>
      </c>
      <c r="D888" s="6">
        <f t="shared" si="2"/>
        <v>137776.885</v>
      </c>
      <c r="E888" s="5">
        <f t="shared" si="1"/>
        <v>0.0004689549157</v>
      </c>
    </row>
    <row r="889" ht="15.75" customHeight="1">
      <c r="B889" s="3">
        <v>44537.0</v>
      </c>
      <c r="C889" s="2">
        <v>61.67</v>
      </c>
      <c r="D889" s="6">
        <f t="shared" si="2"/>
        <v>137838.555</v>
      </c>
      <c r="E889" s="5">
        <f t="shared" si="1"/>
        <v>0.0004475075927</v>
      </c>
    </row>
    <row r="890" ht="15.75" customHeight="1">
      <c r="B890" s="3" t="s">
        <v>532</v>
      </c>
      <c r="C890" s="2">
        <v>200.774</v>
      </c>
      <c r="D890" s="6">
        <f t="shared" si="2"/>
        <v>138039.329</v>
      </c>
      <c r="E890" s="5">
        <f t="shared" si="1"/>
        <v>0.001455528312</v>
      </c>
    </row>
    <row r="891" ht="15.75" customHeight="1">
      <c r="B891" s="3" t="s">
        <v>533</v>
      </c>
      <c r="C891" s="2">
        <v>317.128</v>
      </c>
      <c r="D891" s="6">
        <f t="shared" si="2"/>
        <v>138356.457</v>
      </c>
      <c r="E891" s="5">
        <f t="shared" si="1"/>
        <v>0.002294739321</v>
      </c>
    </row>
    <row r="892" ht="15.75" customHeight="1">
      <c r="B892" s="3" t="s">
        <v>534</v>
      </c>
      <c r="C892" s="2">
        <v>402.921</v>
      </c>
      <c r="D892" s="6">
        <f t="shared" si="2"/>
        <v>138759.378</v>
      </c>
      <c r="E892" s="5">
        <f t="shared" si="1"/>
        <v>0.002907962902</v>
      </c>
    </row>
    <row r="893" ht="15.75" customHeight="1">
      <c r="B893" s="3" t="s">
        <v>535</v>
      </c>
      <c r="C893" s="2">
        <v>422.305</v>
      </c>
      <c r="D893" s="6">
        <f t="shared" si="2"/>
        <v>139181.683</v>
      </c>
      <c r="E893" s="5">
        <f t="shared" si="1"/>
        <v>0.003038812067</v>
      </c>
    </row>
    <row r="894" ht="15.75" customHeight="1">
      <c r="B894" s="3" t="s">
        <v>536</v>
      </c>
      <c r="C894" s="2">
        <v>1143.928</v>
      </c>
      <c r="D894" s="6">
        <f t="shared" si="2"/>
        <v>140325.611</v>
      </c>
      <c r="E894" s="5">
        <f t="shared" si="1"/>
        <v>0.008185363398</v>
      </c>
    </row>
    <row r="895" ht="15.75" customHeight="1">
      <c r="B895" s="3" t="s">
        <v>537</v>
      </c>
      <c r="C895" s="2">
        <v>638.332</v>
      </c>
      <c r="D895" s="6">
        <f t="shared" si="2"/>
        <v>140963.943</v>
      </c>
      <c r="E895" s="5">
        <f t="shared" si="1"/>
        <v>0.004538619275</v>
      </c>
    </row>
    <row r="896" ht="15.75" customHeight="1">
      <c r="B896" s="3" t="s">
        <v>538</v>
      </c>
      <c r="C896" s="2">
        <v>-426.226</v>
      </c>
      <c r="D896" s="6">
        <f t="shared" si="2"/>
        <v>140537.717</v>
      </c>
      <c r="E896" s="5">
        <f t="shared" si="1"/>
        <v>-0.003028233125</v>
      </c>
    </row>
    <row r="897" ht="15.75" customHeight="1">
      <c r="B897" s="3" t="s">
        <v>539</v>
      </c>
      <c r="C897" s="2">
        <v>50.759</v>
      </c>
      <c r="D897" s="6">
        <f t="shared" si="2"/>
        <v>140588.476</v>
      </c>
      <c r="E897" s="5">
        <f t="shared" si="1"/>
        <v>0.0003611118552</v>
      </c>
    </row>
    <row r="898" ht="15.75" customHeight="1">
      <c r="B898" s="3" t="s">
        <v>540</v>
      </c>
      <c r="C898" s="2">
        <v>42.977</v>
      </c>
      <c r="D898" s="6">
        <f t="shared" si="2"/>
        <v>140631.453</v>
      </c>
      <c r="E898" s="5">
        <f t="shared" si="1"/>
        <v>0.0003056469041</v>
      </c>
    </row>
    <row r="899" ht="15.75" customHeight="1">
      <c r="B899" s="3" t="s">
        <v>541</v>
      </c>
      <c r="C899" s="2">
        <v>197.448</v>
      </c>
      <c r="D899" s="6">
        <f t="shared" si="2"/>
        <v>140828.901</v>
      </c>
      <c r="E899" s="5">
        <f t="shared" si="1"/>
        <v>0.001403025539</v>
      </c>
    </row>
    <row r="900" ht="15.75" customHeight="1">
      <c r="B900" s="3" t="s">
        <v>542</v>
      </c>
      <c r="C900" s="2">
        <v>7.282</v>
      </c>
      <c r="D900" s="6">
        <f t="shared" si="2"/>
        <v>140836.183</v>
      </c>
      <c r="E900" s="5">
        <f t="shared" si="1"/>
        <v>0.00005170679942</v>
      </c>
    </row>
    <row r="901" ht="15.75" customHeight="1">
      <c r="B901" s="3" t="s">
        <v>543</v>
      </c>
      <c r="C901" s="2">
        <v>68.048</v>
      </c>
      <c r="D901" s="6">
        <f t="shared" si="2"/>
        <v>140904.231</v>
      </c>
      <c r="E901" s="5">
        <f t="shared" si="1"/>
        <v>0.0004830545988</v>
      </c>
    </row>
    <row r="902" ht="15.75" customHeight="1">
      <c r="B902" s="3" t="s">
        <v>544</v>
      </c>
      <c r="C902" s="2">
        <v>129.937</v>
      </c>
      <c r="D902" s="6">
        <f t="shared" si="2"/>
        <v>141034.168</v>
      </c>
      <c r="E902" s="5">
        <f t="shared" si="1"/>
        <v>0.0009217404203</v>
      </c>
    </row>
    <row r="903" ht="15.75" customHeight="1">
      <c r="B903" s="3" t="s">
        <v>545</v>
      </c>
      <c r="C903" s="2">
        <v>63.573</v>
      </c>
      <c r="D903" s="6">
        <f t="shared" si="2"/>
        <v>141097.741</v>
      </c>
      <c r="E903" s="5">
        <f t="shared" si="1"/>
        <v>0.0004506615455</v>
      </c>
    </row>
    <row r="904" ht="15.75" customHeight="1">
      <c r="B904" s="3">
        <v>44235.0</v>
      </c>
      <c r="C904" s="2">
        <v>343.808</v>
      </c>
      <c r="D904" s="6">
        <f t="shared" si="2"/>
        <v>141441.549</v>
      </c>
      <c r="E904" s="5">
        <f t="shared" si="1"/>
        <v>0.002433701661</v>
      </c>
    </row>
    <row r="905" ht="15.75" customHeight="1">
      <c r="B905" s="3">
        <v>44263.0</v>
      </c>
      <c r="C905" s="2">
        <v>845.953</v>
      </c>
      <c r="D905" s="6">
        <f t="shared" si="2"/>
        <v>142287.502</v>
      </c>
      <c r="E905" s="5">
        <f t="shared" si="1"/>
        <v>0.005963122238</v>
      </c>
    </row>
    <row r="906" ht="15.75" customHeight="1">
      <c r="B906" s="3">
        <v>44294.0</v>
      </c>
      <c r="C906" s="2">
        <v>-47.987</v>
      </c>
      <c r="D906" s="6">
        <f t="shared" si="2"/>
        <v>142239.515</v>
      </c>
      <c r="E906" s="5">
        <f t="shared" si="1"/>
        <v>-0.0003373106776</v>
      </c>
    </row>
    <row r="907" ht="15.75" customHeight="1">
      <c r="B907" s="3">
        <v>44324.0</v>
      </c>
      <c r="C907" s="2">
        <v>-116.384</v>
      </c>
      <c r="D907" s="6">
        <f t="shared" si="2"/>
        <v>142123.131</v>
      </c>
      <c r="E907" s="5">
        <f t="shared" si="1"/>
        <v>-0.0008185604413</v>
      </c>
    </row>
    <row r="908" ht="15.75" customHeight="1">
      <c r="B908" s="3">
        <v>44355.0</v>
      </c>
      <c r="C908" s="2">
        <v>495.536</v>
      </c>
      <c r="D908" s="6">
        <f t="shared" si="2"/>
        <v>142618.667</v>
      </c>
      <c r="E908" s="5">
        <f t="shared" si="1"/>
        <v>0.003480602453</v>
      </c>
    </row>
    <row r="909" ht="15.75" customHeight="1">
      <c r="B909" s="3">
        <v>44447.0</v>
      </c>
      <c r="C909" s="2">
        <v>53.13</v>
      </c>
      <c r="D909" s="6">
        <f t="shared" si="2"/>
        <v>142671.797</v>
      </c>
      <c r="E909" s="5">
        <f t="shared" si="1"/>
        <v>0.0003724625062</v>
      </c>
    </row>
    <row r="910" ht="15.75" customHeight="1">
      <c r="B910" s="3">
        <v>44477.0</v>
      </c>
      <c r="C910" s="2">
        <v>103.528</v>
      </c>
      <c r="D910" s="6">
        <f t="shared" si="2"/>
        <v>142775.325</v>
      </c>
      <c r="E910" s="5">
        <f t="shared" si="1"/>
        <v>0.0007253743097</v>
      </c>
    </row>
    <row r="911" ht="15.75" customHeight="1">
      <c r="B911" s="3">
        <v>44508.0</v>
      </c>
      <c r="C911" s="2">
        <v>110.022</v>
      </c>
      <c r="D911" s="6">
        <f t="shared" si="2"/>
        <v>142885.347</v>
      </c>
      <c r="E911" s="5">
        <f t="shared" si="1"/>
        <v>0.0007702985831</v>
      </c>
    </row>
    <row r="912" ht="15.75" customHeight="1">
      <c r="B912" s="3">
        <v>44538.0</v>
      </c>
      <c r="C912" s="2">
        <v>450.918</v>
      </c>
      <c r="D912" s="6">
        <f t="shared" si="2"/>
        <v>143336.265</v>
      </c>
      <c r="E912" s="5">
        <f t="shared" si="1"/>
        <v>0.003150833858</v>
      </c>
    </row>
    <row r="913" ht="15.75" customHeight="1">
      <c r="B913" s="3" t="s">
        <v>546</v>
      </c>
      <c r="C913" s="2">
        <v>41.561</v>
      </c>
      <c r="D913" s="6">
        <f t="shared" si="2"/>
        <v>143377.826</v>
      </c>
      <c r="E913" s="5">
        <f t="shared" si="1"/>
        <v>0.0002899125058</v>
      </c>
    </row>
    <row r="914" ht="15.75" customHeight="1">
      <c r="B914" s="3" t="s">
        <v>547</v>
      </c>
      <c r="C914" s="2">
        <v>104.7</v>
      </c>
      <c r="D914" s="6">
        <f t="shared" si="2"/>
        <v>143482.526</v>
      </c>
      <c r="E914" s="5">
        <f t="shared" si="1"/>
        <v>0.0007299719457</v>
      </c>
    </row>
    <row r="915" ht="15.75" customHeight="1">
      <c r="B915" s="3" t="s">
        <v>548</v>
      </c>
      <c r="C915" s="2">
        <v>171.469</v>
      </c>
      <c r="D915" s="6">
        <f t="shared" si="2"/>
        <v>143653.995</v>
      </c>
      <c r="E915" s="5">
        <f t="shared" si="1"/>
        <v>0.001194337939</v>
      </c>
    </row>
    <row r="916" ht="15.75" customHeight="1">
      <c r="B916" s="3" t="s">
        <v>549</v>
      </c>
      <c r="C916" s="2">
        <v>238.232</v>
      </c>
      <c r="D916" s="6">
        <f t="shared" si="2"/>
        <v>143892.227</v>
      </c>
      <c r="E916" s="5">
        <f t="shared" si="1"/>
        <v>0.001657000067</v>
      </c>
    </row>
    <row r="917" ht="15.75" customHeight="1">
      <c r="B917" s="3" t="s">
        <v>550</v>
      </c>
      <c r="C917" s="2">
        <v>259.548</v>
      </c>
      <c r="D917" s="6">
        <f t="shared" si="2"/>
        <v>144151.775</v>
      </c>
      <c r="E917" s="5">
        <f t="shared" si="1"/>
        <v>0.001802141815</v>
      </c>
    </row>
    <row r="918" ht="15.75" customHeight="1">
      <c r="B918" s="3" t="s">
        <v>551</v>
      </c>
      <c r="C918" s="2">
        <v>229.981</v>
      </c>
      <c r="D918" s="6">
        <f t="shared" si="2"/>
        <v>144381.756</v>
      </c>
      <c r="E918" s="5">
        <f t="shared" si="1"/>
        <v>0.001594137416</v>
      </c>
    </row>
    <row r="919" ht="15.75" customHeight="1">
      <c r="B919" s="3" t="s">
        <v>552</v>
      </c>
      <c r="C919" s="2">
        <v>16.832</v>
      </c>
      <c r="D919" s="6">
        <f t="shared" si="2"/>
        <v>144398.588</v>
      </c>
      <c r="E919" s="5">
        <f t="shared" si="1"/>
        <v>0.0001165730312</v>
      </c>
    </row>
    <row r="920" ht="15.75" customHeight="1">
      <c r="B920" s="3" t="s">
        <v>553</v>
      </c>
      <c r="C920" s="2">
        <v>273.998</v>
      </c>
      <c r="D920" s="6">
        <f t="shared" si="2"/>
        <v>144672.586</v>
      </c>
      <c r="E920" s="5">
        <f t="shared" si="1"/>
        <v>0.001895713628</v>
      </c>
    </row>
    <row r="921" ht="15.75" customHeight="1">
      <c r="B921" s="3" t="s">
        <v>554</v>
      </c>
      <c r="C921" s="2">
        <v>261.369</v>
      </c>
      <c r="D921" s="6">
        <f t="shared" si="2"/>
        <v>144933.955</v>
      </c>
      <c r="E921" s="5">
        <f t="shared" si="1"/>
        <v>0.001804994252</v>
      </c>
    </row>
    <row r="922" ht="15.75" customHeight="1">
      <c r="B922" s="3" t="s">
        <v>555</v>
      </c>
      <c r="C922" s="2">
        <v>273.435</v>
      </c>
      <c r="D922" s="6">
        <f t="shared" si="2"/>
        <v>145207.39</v>
      </c>
      <c r="E922" s="5">
        <f t="shared" si="1"/>
        <v>0.001884840514</v>
      </c>
    </row>
    <row r="923" ht="15.75" customHeight="1">
      <c r="B923" s="3" t="s">
        <v>556</v>
      </c>
      <c r="C923" s="2">
        <v>304.651</v>
      </c>
      <c r="D923" s="6">
        <f t="shared" si="2"/>
        <v>145512.041</v>
      </c>
      <c r="E923" s="5">
        <f t="shared" si="1"/>
        <v>0.002095842789</v>
      </c>
    </row>
    <row r="924" ht="15.75" customHeight="1">
      <c r="B924" s="3" t="s">
        <v>557</v>
      </c>
      <c r="C924" s="2">
        <v>95.048</v>
      </c>
      <c r="D924" s="6">
        <f t="shared" si="2"/>
        <v>145607.089</v>
      </c>
      <c r="E924" s="5">
        <f t="shared" si="1"/>
        <v>0.000652983563</v>
      </c>
    </row>
    <row r="925" ht="15.75" customHeight="1">
      <c r="B925" s="3" t="s">
        <v>558</v>
      </c>
      <c r="C925" s="2">
        <v>377.701</v>
      </c>
      <c r="D925" s="6">
        <f t="shared" si="2"/>
        <v>145984.79</v>
      </c>
      <c r="E925" s="5">
        <f t="shared" si="1"/>
        <v>0.002590615435</v>
      </c>
    </row>
    <row r="926" ht="15.75" customHeight="1">
      <c r="B926" s="3">
        <v>44205.0</v>
      </c>
      <c r="C926" s="2">
        <v>287.006</v>
      </c>
      <c r="D926" s="6">
        <f t="shared" si="2"/>
        <v>146271.796</v>
      </c>
      <c r="E926" s="5">
        <f t="shared" si="1"/>
        <v>0.001964069287</v>
      </c>
    </row>
    <row r="927" ht="15.75" customHeight="1">
      <c r="B927" s="3">
        <v>44236.0</v>
      </c>
      <c r="C927" s="2">
        <v>20.887</v>
      </c>
      <c r="D927" s="6">
        <f t="shared" si="2"/>
        <v>146292.683</v>
      </c>
      <c r="E927" s="5">
        <f t="shared" si="1"/>
        <v>0.0001427856185</v>
      </c>
    </row>
    <row r="928" ht="15.75" customHeight="1">
      <c r="B928" s="3">
        <v>44264.0</v>
      </c>
      <c r="C928" s="2">
        <v>66.662</v>
      </c>
      <c r="D928" s="6">
        <f t="shared" si="2"/>
        <v>146359.345</v>
      </c>
      <c r="E928" s="5">
        <f t="shared" si="1"/>
        <v>0.0004555717697</v>
      </c>
    </row>
    <row r="929" ht="15.75" customHeight="1">
      <c r="B929" s="3">
        <v>44386.0</v>
      </c>
      <c r="C929" s="2">
        <v>97.671</v>
      </c>
      <c r="D929" s="6">
        <f t="shared" si="2"/>
        <v>146457.016</v>
      </c>
      <c r="E929" s="5">
        <f t="shared" si="1"/>
        <v>0.0006671143872</v>
      </c>
    </row>
    <row r="930" ht="15.75" customHeight="1">
      <c r="B930" s="3">
        <v>44417.0</v>
      </c>
      <c r="C930" s="2">
        <v>87.255</v>
      </c>
      <c r="D930" s="6">
        <f t="shared" si="2"/>
        <v>146544.271</v>
      </c>
      <c r="E930" s="5">
        <f t="shared" si="1"/>
        <v>0.0005955946711</v>
      </c>
    </row>
    <row r="931" ht="15.75" customHeight="1">
      <c r="B931" s="3">
        <v>44448.0</v>
      </c>
      <c r="C931" s="2">
        <v>-48.486</v>
      </c>
      <c r="D931" s="6">
        <f t="shared" si="2"/>
        <v>146495.785</v>
      </c>
      <c r="E931" s="5">
        <f t="shared" si="1"/>
        <v>-0.0003309172207</v>
      </c>
    </row>
    <row r="932" ht="15.75" customHeight="1">
      <c r="B932" s="3">
        <v>44478.0</v>
      </c>
      <c r="C932" s="2">
        <v>156.582</v>
      </c>
      <c r="D932" s="6">
        <f t="shared" si="2"/>
        <v>146652.367</v>
      </c>
      <c r="E932" s="5">
        <f t="shared" si="1"/>
        <v>0.001068279052</v>
      </c>
    </row>
    <row r="933" ht="15.75" customHeight="1">
      <c r="B933" s="3" t="s">
        <v>559</v>
      </c>
      <c r="C933" s="2">
        <v>213.159</v>
      </c>
      <c r="D933" s="6">
        <f t="shared" si="2"/>
        <v>146865.526</v>
      </c>
      <c r="E933" s="5">
        <f t="shared" si="1"/>
        <v>0.001452443224</v>
      </c>
    </row>
    <row r="934" ht="15.75" customHeight="1">
      <c r="B934" s="3" t="s">
        <v>560</v>
      </c>
      <c r="C934" s="2">
        <v>46.474</v>
      </c>
      <c r="D934" s="6">
        <f t="shared" si="2"/>
        <v>146912</v>
      </c>
      <c r="E934" s="5">
        <f t="shared" si="1"/>
        <v>0.0003163890786</v>
      </c>
    </row>
    <row r="935" ht="15.75" customHeight="1">
      <c r="B935" s="3" t="s">
        <v>561</v>
      </c>
      <c r="C935" s="2">
        <v>247.814</v>
      </c>
      <c r="D935" s="6">
        <f t="shared" si="2"/>
        <v>147159.814</v>
      </c>
      <c r="E935" s="5">
        <f t="shared" si="1"/>
        <v>0.001685398239</v>
      </c>
    </row>
    <row r="936" ht="15.75" customHeight="1">
      <c r="B936" s="3" t="s">
        <v>562</v>
      </c>
      <c r="C936" s="2">
        <v>1145.961</v>
      </c>
      <c r="D936" s="6">
        <f t="shared" si="2"/>
        <v>148305.775</v>
      </c>
      <c r="E936" s="5">
        <f t="shared" si="1"/>
        <v>0.007757023415</v>
      </c>
    </row>
    <row r="937" ht="15.75" customHeight="1">
      <c r="B937" s="3" t="s">
        <v>563</v>
      </c>
      <c r="C937" s="2">
        <v>53.743</v>
      </c>
      <c r="D937" s="6">
        <f t="shared" si="2"/>
        <v>148359.518</v>
      </c>
      <c r="E937" s="5">
        <f t="shared" si="1"/>
        <v>0.0003623140411</v>
      </c>
    </row>
    <row r="938" ht="15.75" customHeight="1">
      <c r="B938" s="3" t="s">
        <v>564</v>
      </c>
      <c r="C938" s="2">
        <v>-750.568</v>
      </c>
      <c r="D938" s="6">
        <f t="shared" si="2"/>
        <v>147608.95</v>
      </c>
      <c r="E938" s="5">
        <f t="shared" si="1"/>
        <v>-0.005071956578</v>
      </c>
    </row>
    <row r="939" ht="15.75" customHeight="1">
      <c r="B939" s="3" t="s">
        <v>565</v>
      </c>
      <c r="C939" s="2">
        <v>453.704</v>
      </c>
      <c r="D939" s="6">
        <f t="shared" si="2"/>
        <v>148062.654</v>
      </c>
      <c r="E939" s="5">
        <f t="shared" si="1"/>
        <v>0.003068974835</v>
      </c>
    </row>
    <row r="940" ht="15.75" customHeight="1">
      <c r="B940" s="3" t="s">
        <v>566</v>
      </c>
      <c r="C940" s="2">
        <v>2034.442</v>
      </c>
      <c r="D940" s="6">
        <f t="shared" si="2"/>
        <v>150097.096</v>
      </c>
      <c r="E940" s="5">
        <f t="shared" si="1"/>
        <v>0.01364686933</v>
      </c>
    </row>
    <row r="941" ht="15.75" customHeight="1">
      <c r="B941" s="3" t="s">
        <v>567</v>
      </c>
      <c r="C941" s="2">
        <v>-114.785</v>
      </c>
      <c r="D941" s="6">
        <f t="shared" si="2"/>
        <v>149982.311</v>
      </c>
      <c r="E941" s="5">
        <f t="shared" si="1"/>
        <v>-0.0007650308746</v>
      </c>
    </row>
    <row r="942" ht="15.75" customHeight="1">
      <c r="B942" s="3" t="s">
        <v>568</v>
      </c>
      <c r="C942" s="2">
        <v>262.592</v>
      </c>
      <c r="D942" s="6">
        <f t="shared" si="2"/>
        <v>150244.903</v>
      </c>
      <c r="E942" s="5">
        <f t="shared" si="1"/>
        <v>0.001749288903</v>
      </c>
    </row>
    <row r="943" ht="15.75" customHeight="1">
      <c r="B943" s="3" t="s">
        <v>569</v>
      </c>
      <c r="C943" s="2">
        <v>75.061</v>
      </c>
      <c r="D943" s="6">
        <f t="shared" si="2"/>
        <v>150319.964</v>
      </c>
      <c r="E943" s="5">
        <f t="shared" si="1"/>
        <v>0.0004994662371</v>
      </c>
    </row>
    <row r="944" ht="15.75" customHeight="1">
      <c r="B944" s="3" t="s">
        <v>570</v>
      </c>
      <c r="C944" s="2">
        <v>-1182.036</v>
      </c>
      <c r="D944" s="6">
        <f t="shared" si="2"/>
        <v>149137.928</v>
      </c>
      <c r="E944" s="5">
        <f t="shared" si="1"/>
        <v>-0.007894546583</v>
      </c>
    </row>
    <row r="945" ht="15.75" customHeight="1">
      <c r="B945" s="3" t="s">
        <v>571</v>
      </c>
      <c r="C945" s="2">
        <v>560.762</v>
      </c>
      <c r="D945" s="6">
        <f t="shared" si="2"/>
        <v>149698.69</v>
      </c>
      <c r="E945" s="5">
        <f t="shared" si="1"/>
        <v>0.00375297152</v>
      </c>
    </row>
    <row r="946" ht="15.75" customHeight="1">
      <c r="B946" s="3" t="s">
        <v>572</v>
      </c>
      <c r="C946" s="2">
        <v>169.711</v>
      </c>
      <c r="D946" s="6">
        <f t="shared" si="2"/>
        <v>149868.401</v>
      </c>
      <c r="E946" s="5">
        <f t="shared" si="1"/>
        <v>0.001133041801</v>
      </c>
    </row>
    <row r="947" ht="15.75" customHeight="1">
      <c r="B947" s="3">
        <v>44206.0</v>
      </c>
      <c r="C947" s="2">
        <v>157.836</v>
      </c>
      <c r="D947" s="6">
        <f t="shared" si="2"/>
        <v>150026.237</v>
      </c>
      <c r="E947" s="5">
        <f t="shared" si="1"/>
        <v>0.001052609781</v>
      </c>
    </row>
    <row r="948" ht="15.75" customHeight="1">
      <c r="B948" s="3">
        <v>44296.0</v>
      </c>
      <c r="C948" s="2">
        <v>272.661</v>
      </c>
      <c r="D948" s="6">
        <f t="shared" si="2"/>
        <v>150298.898</v>
      </c>
      <c r="E948" s="5">
        <f t="shared" si="1"/>
        <v>0.001815772595</v>
      </c>
    </row>
    <row r="949" ht="15.75" customHeight="1">
      <c r="B949" s="3">
        <v>44326.0</v>
      </c>
      <c r="C949" s="2">
        <v>365.712</v>
      </c>
      <c r="D949" s="6">
        <f t="shared" si="2"/>
        <v>150664.61</v>
      </c>
      <c r="E949" s="5">
        <f t="shared" si="1"/>
        <v>0.002430275899</v>
      </c>
    </row>
    <row r="950" ht="15.75" customHeight="1">
      <c r="B950" s="3">
        <v>44357.0</v>
      </c>
      <c r="C950" s="2">
        <v>67.631</v>
      </c>
      <c r="D950" s="6">
        <f t="shared" si="2"/>
        <v>150732.241</v>
      </c>
      <c r="E950" s="5">
        <f t="shared" si="1"/>
        <v>0.0004487837276</v>
      </c>
    </row>
    <row r="951" ht="15.75" customHeight="1">
      <c r="B951" s="3">
        <v>44387.0</v>
      </c>
      <c r="C951" s="2">
        <v>232.184</v>
      </c>
      <c r="D951" s="6">
        <f t="shared" si="2"/>
        <v>150964.425</v>
      </c>
      <c r="E951" s="5">
        <f t="shared" si="1"/>
        <v>0.001539188675</v>
      </c>
    </row>
    <row r="952" ht="15.75" customHeight="1">
      <c r="B952" s="3">
        <v>44418.0</v>
      </c>
      <c r="C952" s="2">
        <v>92.665</v>
      </c>
      <c r="D952" s="6">
        <f t="shared" si="2"/>
        <v>151057.09</v>
      </c>
      <c r="E952" s="5">
        <f t="shared" si="1"/>
        <v>0.0006136317998</v>
      </c>
    </row>
    <row r="953" ht="15.75" customHeight="1">
      <c r="B953" s="3">
        <v>44510.0</v>
      </c>
      <c r="C953" s="2">
        <v>68.552</v>
      </c>
      <c r="D953" s="6">
        <f t="shared" si="2"/>
        <v>151125.642</v>
      </c>
      <c r="E953" s="5">
        <f t="shared" si="1"/>
        <v>0.0004537122338</v>
      </c>
    </row>
    <row r="954" ht="15.75" customHeight="1">
      <c r="B954" s="3">
        <v>44540.0</v>
      </c>
      <c r="C954" s="2">
        <v>33.281</v>
      </c>
      <c r="D954" s="6">
        <f t="shared" si="2"/>
        <v>151158.923</v>
      </c>
      <c r="E954" s="5">
        <f t="shared" si="1"/>
        <v>0.0002201964902</v>
      </c>
    </row>
    <row r="955" ht="15.75" customHeight="1">
      <c r="B955" s="3" t="s">
        <v>573</v>
      </c>
      <c r="C955" s="2">
        <v>55.816</v>
      </c>
      <c r="D955" s="6">
        <f t="shared" si="2"/>
        <v>151214.739</v>
      </c>
      <c r="E955" s="5">
        <f t="shared" si="1"/>
        <v>0.0003691855981</v>
      </c>
    </row>
    <row r="956" ht="15.75" customHeight="1">
      <c r="B956" s="3" t="s">
        <v>574</v>
      </c>
      <c r="C956" s="2">
        <v>-14.832</v>
      </c>
      <c r="D956" s="6">
        <f t="shared" si="2"/>
        <v>151199.907</v>
      </c>
      <c r="E956" s="5">
        <f t="shared" si="1"/>
        <v>-0.0000980904874</v>
      </c>
    </row>
    <row r="957" ht="15.75" customHeight="1">
      <c r="B957" s="3" t="s">
        <v>575</v>
      </c>
      <c r="C957" s="2">
        <v>46.061</v>
      </c>
      <c r="D957" s="6">
        <f t="shared" si="2"/>
        <v>151245.968</v>
      </c>
      <c r="E957" s="5">
        <f t="shared" si="1"/>
        <v>0.0003045900385</v>
      </c>
    </row>
    <row r="958" ht="15.75" customHeight="1">
      <c r="B958" s="3" t="s">
        <v>576</v>
      </c>
      <c r="C958" s="2">
        <v>-13.948</v>
      </c>
      <c r="D958" s="6">
        <f t="shared" si="2"/>
        <v>151232.02</v>
      </c>
      <c r="E958" s="5">
        <f t="shared" si="1"/>
        <v>-0.00009222489281</v>
      </c>
    </row>
    <row r="959" ht="15.75" customHeight="1">
      <c r="B959" s="3" t="s">
        <v>577</v>
      </c>
      <c r="C959" s="2">
        <v>343.068</v>
      </c>
      <c r="D959" s="6">
        <f t="shared" si="2"/>
        <v>151575.088</v>
      </c>
      <c r="E959" s="5">
        <f t="shared" si="1"/>
        <v>0.002265918717</v>
      </c>
    </row>
    <row r="960" ht="15.75" customHeight="1">
      <c r="B960" s="3" t="s">
        <v>578</v>
      </c>
      <c r="C960" s="2">
        <v>128.664</v>
      </c>
      <c r="D960" s="6">
        <f t="shared" si="2"/>
        <v>151703.752</v>
      </c>
      <c r="E960" s="5">
        <f t="shared" si="1"/>
        <v>0.000848486546</v>
      </c>
    </row>
    <row r="961" ht="15.75" customHeight="1">
      <c r="B961" s="3" t="s">
        <v>579</v>
      </c>
      <c r="C961" s="2">
        <v>219.384</v>
      </c>
      <c r="D961" s="6">
        <f t="shared" si="2"/>
        <v>151923.136</v>
      </c>
      <c r="E961" s="5">
        <f t="shared" si="1"/>
        <v>0.00144508966</v>
      </c>
    </row>
    <row r="962" ht="15.75" customHeight="1">
      <c r="B962" s="3" t="s">
        <v>580</v>
      </c>
      <c r="C962" s="2">
        <v>23.469</v>
      </c>
      <c r="D962" s="6">
        <f t="shared" si="2"/>
        <v>151946.605</v>
      </c>
      <c r="E962" s="5">
        <f t="shared" si="1"/>
        <v>0.0001544675029</v>
      </c>
    </row>
    <row r="963" ht="15.75" customHeight="1">
      <c r="B963" s="3" t="s">
        <v>581</v>
      </c>
      <c r="C963" s="2">
        <v>185.434</v>
      </c>
      <c r="D963" s="6">
        <f t="shared" si="2"/>
        <v>152132.039</v>
      </c>
      <c r="E963" s="5">
        <f t="shared" si="1"/>
        <v>0.001219645159</v>
      </c>
    </row>
    <row r="964" ht="15.75" customHeight="1">
      <c r="B964" s="3" t="s">
        <v>582</v>
      </c>
      <c r="C964" s="2">
        <v>48.847</v>
      </c>
      <c r="D964" s="6">
        <f t="shared" si="2"/>
        <v>152180.886</v>
      </c>
      <c r="E964" s="5">
        <f t="shared" si="1"/>
        <v>0.0003210313885</v>
      </c>
    </row>
    <row r="965" ht="15.75" customHeight="1">
      <c r="B965" s="3" t="s">
        <v>583</v>
      </c>
      <c r="C965" s="2">
        <v>1305.02</v>
      </c>
      <c r="D965" s="6">
        <f t="shared" si="2"/>
        <v>153485.906</v>
      </c>
      <c r="E965" s="5">
        <f t="shared" si="1"/>
        <v>0.008538892438</v>
      </c>
    </row>
    <row r="966" ht="15.75" customHeight="1">
      <c r="B966" s="3" t="s">
        <v>584</v>
      </c>
      <c r="C966" s="2">
        <v>141.867</v>
      </c>
      <c r="D966" s="6">
        <f t="shared" si="2"/>
        <v>153627.773</v>
      </c>
      <c r="E966" s="5">
        <f t="shared" si="1"/>
        <v>0.0009238729486</v>
      </c>
    </row>
    <row r="967" ht="15.75" customHeight="1">
      <c r="B967" s="3" t="s">
        <v>585</v>
      </c>
      <c r="C967" s="2">
        <v>74.794</v>
      </c>
      <c r="D967" s="6">
        <f t="shared" si="2"/>
        <v>153702.567</v>
      </c>
      <c r="E967" s="5">
        <f t="shared" si="1"/>
        <v>0.0004867336006</v>
      </c>
    </row>
    <row r="968" ht="15.75" customHeight="1">
      <c r="B968" s="3">
        <v>44207.0</v>
      </c>
      <c r="C968" s="2">
        <v>372.758</v>
      </c>
      <c r="D968" s="6">
        <f t="shared" si="2"/>
        <v>154075.325</v>
      </c>
      <c r="E968" s="5">
        <f t="shared" si="1"/>
        <v>0.002422254437</v>
      </c>
    </row>
    <row r="969" ht="15.75" customHeight="1">
      <c r="B969" s="3">
        <v>44238.0</v>
      </c>
      <c r="C969" s="2">
        <v>55.685</v>
      </c>
      <c r="D969" s="6">
        <f t="shared" si="2"/>
        <v>154131.01</v>
      </c>
      <c r="E969" s="5">
        <f t="shared" si="1"/>
        <v>0.0003613488386</v>
      </c>
    </row>
    <row r="970" ht="15.75" customHeight="1">
      <c r="B970" s="3">
        <v>44266.0</v>
      </c>
      <c r="C970" s="2">
        <v>407.035</v>
      </c>
      <c r="D970" s="6">
        <f t="shared" si="2"/>
        <v>154538.045</v>
      </c>
      <c r="E970" s="5">
        <f t="shared" si="1"/>
        <v>0.002637356932</v>
      </c>
    </row>
    <row r="971" ht="15.75" customHeight="1">
      <c r="B971" s="3">
        <v>44297.0</v>
      </c>
      <c r="C971" s="2">
        <v>250.239</v>
      </c>
      <c r="D971" s="6">
        <f t="shared" si="2"/>
        <v>154788.284</v>
      </c>
      <c r="E971" s="5">
        <f t="shared" si="1"/>
        <v>0.001617961558</v>
      </c>
    </row>
    <row r="972" ht="15.75" customHeight="1">
      <c r="B972" s="3">
        <v>44327.0</v>
      </c>
      <c r="C972" s="2">
        <v>260.161</v>
      </c>
      <c r="D972" s="6">
        <f t="shared" si="2"/>
        <v>155048.445</v>
      </c>
      <c r="E972" s="5">
        <f t="shared" si="1"/>
        <v>0.001679342936</v>
      </c>
    </row>
    <row r="973" ht="15.75" customHeight="1">
      <c r="B973" s="3">
        <v>44419.0</v>
      </c>
      <c r="C973" s="2">
        <v>254.733</v>
      </c>
      <c r="D973" s="6">
        <f t="shared" si="2"/>
        <v>155303.178</v>
      </c>
      <c r="E973" s="5">
        <f t="shared" si="1"/>
        <v>0.001641577091</v>
      </c>
    </row>
    <row r="974" ht="15.75" customHeight="1">
      <c r="B974" s="3">
        <v>44450.0</v>
      </c>
      <c r="C974" s="2">
        <v>42.007</v>
      </c>
      <c r="D974" s="6">
        <f t="shared" si="2"/>
        <v>155345.185</v>
      </c>
      <c r="E974" s="5">
        <f t="shared" si="1"/>
        <v>0.0002704472662</v>
      </c>
    </row>
    <row r="975" ht="15.75" customHeight="1">
      <c r="B975" s="3">
        <v>44480.0</v>
      </c>
      <c r="C975" s="2">
        <v>308.899</v>
      </c>
      <c r="D975" s="6">
        <f t="shared" si="2"/>
        <v>155654.084</v>
      </c>
      <c r="E975" s="5">
        <f t="shared" si="1"/>
        <v>0.001986494068</v>
      </c>
    </row>
    <row r="976" ht="15.75" customHeight="1">
      <c r="B976" s="3">
        <v>44511.0</v>
      </c>
      <c r="C976" s="2">
        <v>742.049</v>
      </c>
      <c r="D976" s="6">
        <f t="shared" si="2"/>
        <v>156396.133</v>
      </c>
      <c r="E976" s="5">
        <f t="shared" si="1"/>
        <v>0.004755967843</v>
      </c>
    </row>
    <row r="977" ht="15.75" customHeight="1">
      <c r="B977" s="3">
        <v>44541.0</v>
      </c>
      <c r="C977" s="2">
        <v>382.179</v>
      </c>
      <c r="D977" s="6">
        <f t="shared" si="2"/>
        <v>156778.312</v>
      </c>
      <c r="E977" s="5">
        <f t="shared" si="1"/>
        <v>0.002440679282</v>
      </c>
    </row>
    <row r="978" ht="15.75" customHeight="1">
      <c r="B978" s="3" t="s">
        <v>586</v>
      </c>
      <c r="C978" s="2">
        <v>178.361</v>
      </c>
      <c r="D978" s="6">
        <f t="shared" si="2"/>
        <v>156956.673</v>
      </c>
      <c r="E978" s="5">
        <f t="shared" si="1"/>
        <v>0.001137017086</v>
      </c>
    </row>
    <row r="979" ht="15.75" customHeight="1">
      <c r="B979" s="3" t="s">
        <v>587</v>
      </c>
      <c r="C979" s="2">
        <v>26.012</v>
      </c>
      <c r="D979" s="6">
        <f t="shared" si="2"/>
        <v>156982.685</v>
      </c>
      <c r="E979" s="5">
        <f t="shared" si="1"/>
        <v>0.0001657135329</v>
      </c>
    </row>
    <row r="980" ht="15.75" customHeight="1">
      <c r="B980" s="3" t="s">
        <v>588</v>
      </c>
      <c r="C980" s="2">
        <v>298.695</v>
      </c>
      <c r="D980" s="6">
        <f t="shared" si="2"/>
        <v>157281.38</v>
      </c>
      <c r="E980" s="5">
        <f t="shared" si="1"/>
        <v>0.001900917879</v>
      </c>
    </row>
    <row r="981" ht="15.75" customHeight="1">
      <c r="B981" s="3" t="s">
        <v>589</v>
      </c>
      <c r="C981" s="2">
        <v>255.75</v>
      </c>
      <c r="D981" s="6">
        <f t="shared" si="2"/>
        <v>157537.13</v>
      </c>
      <c r="E981" s="5">
        <f t="shared" si="1"/>
        <v>0.001624745993</v>
      </c>
    </row>
    <row r="982" ht="15.75" customHeight="1">
      <c r="B982" s="3" t="s">
        <v>590</v>
      </c>
      <c r="C982" s="2">
        <v>89.561</v>
      </c>
      <c r="D982" s="6">
        <f t="shared" si="2"/>
        <v>157626.691</v>
      </c>
      <c r="E982" s="5">
        <f t="shared" si="1"/>
        <v>0.0005683457075</v>
      </c>
    </row>
    <row r="983" ht="15.75" customHeight="1">
      <c r="B983" s="3" t="s">
        <v>591</v>
      </c>
      <c r="C983" s="2">
        <v>68.775</v>
      </c>
      <c r="D983" s="6">
        <f t="shared" si="2"/>
        <v>157695.466</v>
      </c>
      <c r="E983" s="5">
        <f t="shared" si="1"/>
        <v>0.0004362205418</v>
      </c>
    </row>
    <row r="984" ht="15.75" customHeight="1">
      <c r="B984" s="3" t="s">
        <v>592</v>
      </c>
      <c r="C984" s="2">
        <v>-150.024</v>
      </c>
      <c r="D984" s="6">
        <f t="shared" si="2"/>
        <v>157545.442</v>
      </c>
      <c r="E984" s="5">
        <f t="shared" si="1"/>
        <v>-0.0009518054765</v>
      </c>
    </row>
    <row r="985" ht="15.75" customHeight="1">
      <c r="B985" s="3" t="s">
        <v>593</v>
      </c>
      <c r="C985" s="2">
        <v>-24.865</v>
      </c>
      <c r="D985" s="6">
        <f t="shared" si="2"/>
        <v>157520.577</v>
      </c>
      <c r="E985" s="5">
        <f t="shared" si="1"/>
        <v>-0.0001578399355</v>
      </c>
    </row>
    <row r="986" ht="15.75" customHeight="1">
      <c r="B986" s="3" t="s">
        <v>594</v>
      </c>
      <c r="C986" s="2">
        <v>2.808</v>
      </c>
      <c r="D986" s="6">
        <f t="shared" si="2"/>
        <v>157523.385</v>
      </c>
      <c r="E986" s="5">
        <f t="shared" si="1"/>
        <v>0.00001782608359</v>
      </c>
    </row>
    <row r="987" ht="15.75" customHeight="1">
      <c r="B987" s="3" t="s">
        <v>595</v>
      </c>
      <c r="C987" s="2">
        <v>-263.098</v>
      </c>
      <c r="D987" s="6">
        <f t="shared" si="2"/>
        <v>157260.287</v>
      </c>
      <c r="E987" s="5">
        <f t="shared" si="1"/>
        <v>-0.00167161187</v>
      </c>
    </row>
    <row r="988" ht="15.75" customHeight="1">
      <c r="B988" s="3" t="s">
        <v>596</v>
      </c>
      <c r="C988" s="2">
        <v>496.154</v>
      </c>
      <c r="D988" s="6">
        <f t="shared" si="2"/>
        <v>157756.441</v>
      </c>
      <c r="E988" s="5">
        <f t="shared" si="1"/>
        <v>0.003150019451</v>
      </c>
    </row>
    <row r="989" ht="15.75" customHeight="1">
      <c r="B989" s="3">
        <v>44208.0</v>
      </c>
      <c r="C989" s="2">
        <v>349.529</v>
      </c>
      <c r="D989" s="6">
        <f t="shared" si="2"/>
        <v>158105.97</v>
      </c>
      <c r="E989" s="5">
        <f t="shared" si="1"/>
        <v>0.002213173398</v>
      </c>
    </row>
    <row r="990" ht="15.75" customHeight="1">
      <c r="B990" s="3">
        <v>44239.0</v>
      </c>
      <c r="C990" s="2">
        <v>719.228</v>
      </c>
      <c r="D990" s="6">
        <f t="shared" si="2"/>
        <v>158825.198</v>
      </c>
      <c r="E990" s="5">
        <f t="shared" si="1"/>
        <v>0.004538709394</v>
      </c>
    </row>
    <row r="991" ht="15.75" customHeight="1">
      <c r="B991" s="3">
        <v>44267.0</v>
      </c>
      <c r="C991" s="2">
        <v>470.413</v>
      </c>
      <c r="D991" s="6">
        <f t="shared" si="2"/>
        <v>159295.611</v>
      </c>
      <c r="E991" s="5">
        <f t="shared" si="1"/>
        <v>0.00295745094</v>
      </c>
    </row>
    <row r="992" ht="15.75" customHeight="1">
      <c r="B992" s="3">
        <v>44359.0</v>
      </c>
      <c r="C992" s="2">
        <v>1544.431</v>
      </c>
      <c r="D992" s="6">
        <f t="shared" si="2"/>
        <v>160840.042</v>
      </c>
      <c r="E992" s="5">
        <f t="shared" si="1"/>
        <v>0.009648678411</v>
      </c>
    </row>
    <row r="993" ht="15.75" customHeight="1">
      <c r="B993" s="3">
        <v>44389.0</v>
      </c>
      <c r="C993" s="2">
        <v>1426.753</v>
      </c>
      <c r="D993" s="6">
        <f t="shared" si="2"/>
        <v>162266.795</v>
      </c>
      <c r="E993" s="5">
        <f t="shared" si="1"/>
        <v>0.008831520166</v>
      </c>
    </row>
    <row r="994" ht="15.75" customHeight="1">
      <c r="B994" s="3">
        <v>44420.0</v>
      </c>
      <c r="C994" s="2">
        <v>-2883.206</v>
      </c>
      <c r="D994" s="6">
        <f t="shared" si="2"/>
        <v>159383.589</v>
      </c>
      <c r="E994" s="5">
        <f t="shared" si="1"/>
        <v>-0.0179280571</v>
      </c>
    </row>
    <row r="995" ht="15.75" customHeight="1">
      <c r="B995" s="3">
        <v>44451.0</v>
      </c>
      <c r="C995" s="2">
        <v>-3020.012</v>
      </c>
      <c r="D995" s="6">
        <f t="shared" si="2"/>
        <v>156363.577</v>
      </c>
      <c r="E995" s="5">
        <f t="shared" si="1"/>
        <v>-0.01912988887</v>
      </c>
    </row>
    <row r="996" ht="15.75" customHeight="1">
      <c r="B996" s="3">
        <v>44481.0</v>
      </c>
      <c r="C996" s="2">
        <v>-5758.578</v>
      </c>
      <c r="D996" s="6">
        <f t="shared" si="2"/>
        <v>150604.999</v>
      </c>
      <c r="E996" s="5">
        <f t="shared" si="1"/>
        <v>-0.03752340865</v>
      </c>
    </row>
    <row r="997" ht="15.75" customHeight="1">
      <c r="B997" s="3" t="s">
        <v>597</v>
      </c>
      <c r="C997" s="2">
        <v>525.479</v>
      </c>
      <c r="D997" s="6">
        <f t="shared" si="2"/>
        <v>151130.478</v>
      </c>
      <c r="E997" s="5">
        <f t="shared" si="1"/>
        <v>0.003483047711</v>
      </c>
    </row>
    <row r="998" ht="15.75" customHeight="1">
      <c r="B998" s="3" t="s">
        <v>598</v>
      </c>
      <c r="C998" s="2">
        <v>141.961</v>
      </c>
      <c r="D998" s="6">
        <f t="shared" si="2"/>
        <v>151272.439</v>
      </c>
      <c r="E998" s="5">
        <f t="shared" si="1"/>
        <v>0.000938886515</v>
      </c>
    </row>
    <row r="999" ht="15.75" customHeight="1">
      <c r="B999" s="3" t="s">
        <v>599</v>
      </c>
      <c r="C999" s="2">
        <v>577.521</v>
      </c>
      <c r="D999" s="6">
        <f t="shared" si="2"/>
        <v>151849.96</v>
      </c>
      <c r="E999" s="5">
        <f t="shared" si="1"/>
        <v>0.003810485142</v>
      </c>
    </row>
    <row r="1000" ht="15.75" customHeight="1">
      <c r="B1000" s="3" t="s">
        <v>600</v>
      </c>
      <c r="C1000" s="2">
        <v>1595.708</v>
      </c>
      <c r="D1000" s="6">
        <f t="shared" si="2"/>
        <v>153445.668</v>
      </c>
      <c r="E1000" s="5">
        <f t="shared" si="1"/>
        <v>0.0104536219</v>
      </c>
    </row>
    <row r="1001" ht="15.75" customHeight="1">
      <c r="B1001" s="3" t="s">
        <v>601</v>
      </c>
      <c r="C1001" s="2">
        <v>404.463</v>
      </c>
      <c r="D1001" s="6">
        <f t="shared" si="2"/>
        <v>153850.131</v>
      </c>
      <c r="E1001" s="5">
        <f t="shared" si="1"/>
        <v>0.002632403273</v>
      </c>
    </row>
    <row r="1002" ht="15.75" customHeight="1">
      <c r="B1002" s="3" t="s">
        <v>602</v>
      </c>
      <c r="C1002" s="2">
        <v>-316.417</v>
      </c>
      <c r="D1002" s="6">
        <f t="shared" si="2"/>
        <v>153533.714</v>
      </c>
      <c r="E1002" s="5">
        <f t="shared" si="1"/>
        <v>-0.002058775156</v>
      </c>
    </row>
    <row r="1003" ht="15.75" customHeight="1">
      <c r="B1003" s="3" t="s">
        <v>603</v>
      </c>
      <c r="C1003" s="2">
        <v>1007.304</v>
      </c>
      <c r="D1003" s="6">
        <f t="shared" si="2"/>
        <v>154541.018</v>
      </c>
      <c r="E1003" s="5">
        <f t="shared" si="1"/>
        <v>0.006539371685</v>
      </c>
    </row>
    <row r="1004" ht="15.75" customHeight="1">
      <c r="B1004" s="3" t="s">
        <v>604</v>
      </c>
      <c r="C1004" s="2">
        <v>42.781</v>
      </c>
      <c r="D1004" s="6">
        <f t="shared" si="2"/>
        <v>154583.799</v>
      </c>
      <c r="E1004" s="5">
        <f t="shared" si="1"/>
        <v>0.0002767878729</v>
      </c>
    </row>
    <row r="1005" ht="15.75" customHeight="1">
      <c r="B1005" s="3" t="s">
        <v>605</v>
      </c>
      <c r="C1005" s="2">
        <v>129.006</v>
      </c>
      <c r="D1005" s="6">
        <f t="shared" si="2"/>
        <v>154712.805</v>
      </c>
      <c r="E1005" s="5">
        <f t="shared" si="1"/>
        <v>0.0008341896148</v>
      </c>
    </row>
    <row r="1006" ht="15.75" customHeight="1">
      <c r="B1006" s="3" t="s">
        <v>606</v>
      </c>
      <c r="C1006" s="2">
        <v>224.689</v>
      </c>
      <c r="D1006" s="6">
        <f t="shared" si="2"/>
        <v>154937.494</v>
      </c>
      <c r="E1006" s="5">
        <f t="shared" si="1"/>
        <v>0.001451243807</v>
      </c>
    </row>
    <row r="1007" ht="15.75" customHeight="1">
      <c r="B1007" s="3" t="s">
        <v>607</v>
      </c>
      <c r="C1007" s="2">
        <v>319.261</v>
      </c>
      <c r="D1007" s="6">
        <f t="shared" si="2"/>
        <v>155256.755</v>
      </c>
      <c r="E1007" s="5">
        <f t="shared" si="1"/>
        <v>0.002058459264</v>
      </c>
    </row>
    <row r="1008" ht="15.75" customHeight="1">
      <c r="B1008" s="3" t="s">
        <v>608</v>
      </c>
      <c r="C1008" s="2">
        <v>245.402</v>
      </c>
      <c r="D1008" s="6">
        <f t="shared" si="2"/>
        <v>155502.157</v>
      </c>
      <c r="E1008" s="5">
        <f t="shared" si="1"/>
        <v>0.001579372572</v>
      </c>
    </row>
    <row r="1009" ht="15.75" customHeight="1">
      <c r="B1009" s="3" t="s">
        <v>609</v>
      </c>
      <c r="C1009" s="2">
        <v>453.885</v>
      </c>
      <c r="D1009" s="6">
        <f t="shared" si="2"/>
        <v>155956.042</v>
      </c>
      <c r="E1009" s="5">
        <f t="shared" si="1"/>
        <v>0.002914582585</v>
      </c>
    </row>
    <row r="1010" ht="15.75" customHeight="1">
      <c r="B1010" s="3" t="s">
        <v>610</v>
      </c>
      <c r="C1010" s="2">
        <v>340.846</v>
      </c>
      <c r="D1010" s="6">
        <f t="shared" si="2"/>
        <v>156296.888</v>
      </c>
      <c r="E1010" s="5">
        <f t="shared" si="1"/>
        <v>0.00218314131</v>
      </c>
    </row>
    <row r="1011" ht="15.75" customHeight="1">
      <c r="B1011" s="3">
        <v>44621.0</v>
      </c>
      <c r="C1011" s="2">
        <v>7.526</v>
      </c>
      <c r="D1011" s="6">
        <f t="shared" si="2"/>
        <v>156304.414</v>
      </c>
      <c r="E1011" s="5">
        <f t="shared" si="1"/>
        <v>0.00004815079114</v>
      </c>
    </row>
    <row r="1012" ht="15.75" customHeight="1">
      <c r="B1012" s="3">
        <v>44652.0</v>
      </c>
      <c r="C1012" s="2">
        <v>-961.572</v>
      </c>
      <c r="D1012" s="6">
        <f t="shared" si="2"/>
        <v>155342.842</v>
      </c>
      <c r="E1012" s="5">
        <f t="shared" si="1"/>
        <v>-0.006170919415</v>
      </c>
    </row>
    <row r="1013" ht="15.75" customHeight="1">
      <c r="B1013" s="3">
        <v>44682.0</v>
      </c>
      <c r="C1013" s="2">
        <v>405.435</v>
      </c>
      <c r="D1013" s="6">
        <f t="shared" si="2"/>
        <v>155748.277</v>
      </c>
      <c r="E1013" s="5">
        <f t="shared" si="1"/>
        <v>0.00260653683</v>
      </c>
    </row>
    <row r="1014" ht="15.75" customHeight="1">
      <c r="B1014" s="3">
        <v>44713.0</v>
      </c>
      <c r="C1014" s="2">
        <v>-548.269</v>
      </c>
      <c r="D1014" s="6">
        <f t="shared" si="2"/>
        <v>155200.008</v>
      </c>
      <c r="E1014" s="5">
        <f t="shared" si="1"/>
        <v>-0.003526435711</v>
      </c>
    </row>
    <row r="1015" ht="15.75" customHeight="1">
      <c r="B1015" s="3">
        <v>44743.0</v>
      </c>
      <c r="C1015" s="2">
        <v>103.934</v>
      </c>
      <c r="D1015" s="6">
        <f t="shared" si="2"/>
        <v>155303.942</v>
      </c>
      <c r="E1015" s="5">
        <f t="shared" si="1"/>
        <v>0.0006694536664</v>
      </c>
    </row>
    <row r="1016" ht="15.75" customHeight="1">
      <c r="B1016" s="3">
        <v>44835.0</v>
      </c>
      <c r="C1016" s="2">
        <v>-308.989</v>
      </c>
      <c r="D1016" s="6">
        <f t="shared" si="2"/>
        <v>154994.953</v>
      </c>
      <c r="E1016" s="5">
        <f t="shared" si="1"/>
        <v>-0.001991557863</v>
      </c>
    </row>
    <row r="1017" ht="15.75" customHeight="1">
      <c r="B1017" s="3">
        <v>44866.0</v>
      </c>
      <c r="C1017" s="2">
        <v>186.895</v>
      </c>
      <c r="D1017" s="6">
        <f t="shared" si="2"/>
        <v>155181.848</v>
      </c>
      <c r="E1017" s="5">
        <f t="shared" si="1"/>
        <v>0.001205087047</v>
      </c>
    </row>
    <row r="1018" ht="15.75" customHeight="1">
      <c r="B1018" s="3">
        <v>44896.0</v>
      </c>
      <c r="C1018" s="2">
        <v>88.536</v>
      </c>
      <c r="D1018" s="6">
        <f t="shared" si="2"/>
        <v>155270.384</v>
      </c>
      <c r="E1018" s="5">
        <f t="shared" si="1"/>
        <v>0.0005703679554</v>
      </c>
    </row>
    <row r="1019" ht="15.75" customHeight="1">
      <c r="B1019" s="3" t="s">
        <v>611</v>
      </c>
      <c r="C1019" s="2">
        <v>231.625</v>
      </c>
      <c r="D1019" s="6">
        <f t="shared" si="2"/>
        <v>155502.009</v>
      </c>
      <c r="E1019" s="5">
        <f t="shared" si="1"/>
        <v>0.001490641049</v>
      </c>
    </row>
    <row r="1020" ht="15.75" customHeight="1">
      <c r="B1020" s="3" t="s">
        <v>612</v>
      </c>
      <c r="C1020" s="2">
        <v>-384.482</v>
      </c>
      <c r="D1020" s="6">
        <f t="shared" si="2"/>
        <v>155117.527</v>
      </c>
      <c r="E1020" s="5">
        <f t="shared" si="1"/>
        <v>-0.002475582839</v>
      </c>
    </row>
    <row r="1021" ht="15.75" customHeight="1">
      <c r="B1021" s="3" t="s">
        <v>613</v>
      </c>
      <c r="C1021" s="2">
        <v>211.641</v>
      </c>
      <c r="D1021" s="6">
        <f t="shared" si="2"/>
        <v>155329.168</v>
      </c>
      <c r="E1021" s="5">
        <f t="shared" si="1"/>
        <v>0.001363461336</v>
      </c>
    </row>
    <row r="1022" ht="15.75" customHeight="1">
      <c r="B1022" s="3" t="s">
        <v>614</v>
      </c>
      <c r="C1022" s="2">
        <v>517.882</v>
      </c>
      <c r="D1022" s="6">
        <f t="shared" si="2"/>
        <v>155847.05</v>
      </c>
      <c r="E1022" s="5">
        <f t="shared" si="1"/>
        <v>0.00332854793</v>
      </c>
    </row>
    <row r="1023" ht="15.75" customHeight="1">
      <c r="B1023" s="3" t="s">
        <v>615</v>
      </c>
      <c r="C1023" s="2">
        <v>252.848</v>
      </c>
      <c r="D1023" s="6">
        <f t="shared" si="2"/>
        <v>156099.898</v>
      </c>
      <c r="E1023" s="5">
        <f t="shared" si="1"/>
        <v>0.001621096517</v>
      </c>
    </row>
    <row r="1024" ht="15.75" customHeight="1">
      <c r="B1024" s="3" t="s">
        <v>616</v>
      </c>
      <c r="C1024" s="2">
        <v>344.058</v>
      </c>
      <c r="D1024" s="6">
        <f t="shared" si="2"/>
        <v>156443.956</v>
      </c>
      <c r="E1024" s="5">
        <f t="shared" si="1"/>
        <v>0.002201663124</v>
      </c>
    </row>
    <row r="1025" ht="15.75" customHeight="1">
      <c r="B1025" s="3" t="s">
        <v>617</v>
      </c>
      <c r="C1025" s="2">
        <v>517.426</v>
      </c>
      <c r="D1025" s="6">
        <f t="shared" si="2"/>
        <v>156961.382</v>
      </c>
      <c r="E1025" s="5">
        <f t="shared" si="1"/>
        <v>0.003301963352</v>
      </c>
    </row>
    <row r="1026" ht="15.75" customHeight="1">
      <c r="B1026" s="3" t="s">
        <v>618</v>
      </c>
      <c r="C1026" s="2">
        <v>921.194</v>
      </c>
      <c r="D1026" s="6">
        <f t="shared" si="2"/>
        <v>157882.576</v>
      </c>
      <c r="E1026" s="5">
        <f t="shared" si="1"/>
        <v>0.005851766282</v>
      </c>
    </row>
    <row r="1027" ht="15.75" customHeight="1">
      <c r="B1027" s="3" t="s">
        <v>619</v>
      </c>
      <c r="C1027" s="2">
        <v>814.086</v>
      </c>
      <c r="D1027" s="6">
        <f t="shared" si="2"/>
        <v>158696.662</v>
      </c>
      <c r="E1027" s="5">
        <f t="shared" si="1"/>
        <v>0.005143027064</v>
      </c>
    </row>
    <row r="1028" ht="15.75" customHeight="1">
      <c r="B1028" s="3" t="s">
        <v>620</v>
      </c>
      <c r="C1028" s="2">
        <v>1407.825</v>
      </c>
      <c r="D1028" s="6">
        <f t="shared" si="2"/>
        <v>160104.487</v>
      </c>
      <c r="E1028" s="5">
        <f t="shared" si="1"/>
        <v>0.008832051929</v>
      </c>
    </row>
    <row r="1029" ht="15.75" customHeight="1">
      <c r="B1029" s="3" t="s">
        <v>621</v>
      </c>
      <c r="C1029" s="2">
        <v>299.938</v>
      </c>
      <c r="D1029" s="6">
        <f t="shared" si="2"/>
        <v>160404.425</v>
      </c>
      <c r="E1029" s="5">
        <f t="shared" si="1"/>
        <v>0.00187163649</v>
      </c>
    </row>
    <row r="1030" ht="15.75" customHeight="1">
      <c r="B1030" s="3" t="s">
        <v>622</v>
      </c>
      <c r="C1030" s="2">
        <v>67.484</v>
      </c>
      <c r="D1030" s="6">
        <f t="shared" si="2"/>
        <v>160471.909</v>
      </c>
      <c r="E1030" s="5">
        <f t="shared" si="1"/>
        <v>0.0004206231114</v>
      </c>
    </row>
    <row r="1031" ht="15.75" customHeight="1">
      <c r="B1031" s="3">
        <v>44563.0</v>
      </c>
      <c r="C1031" s="2">
        <v>234.88</v>
      </c>
      <c r="D1031" s="6">
        <f t="shared" si="2"/>
        <v>160706.789</v>
      </c>
      <c r="E1031" s="5">
        <f t="shared" si="1"/>
        <v>0.001462612828</v>
      </c>
    </row>
    <row r="1032" ht="15.75" customHeight="1">
      <c r="B1032" s="3">
        <v>44594.0</v>
      </c>
      <c r="C1032" s="2">
        <v>5912.828</v>
      </c>
      <c r="D1032" s="6">
        <f t="shared" si="2"/>
        <v>166619.617</v>
      </c>
      <c r="E1032" s="5">
        <f t="shared" si="1"/>
        <v>0.03613195363</v>
      </c>
    </row>
    <row r="1033" ht="15.75" customHeight="1">
      <c r="B1033" s="3">
        <v>44622.0</v>
      </c>
      <c r="C1033" s="2">
        <v>5158.736</v>
      </c>
      <c r="D1033" s="6">
        <f t="shared" si="2"/>
        <v>171778.353</v>
      </c>
      <c r="E1033" s="5">
        <f t="shared" si="1"/>
        <v>0.03049152855</v>
      </c>
    </row>
    <row r="1034" ht="15.75" customHeight="1">
      <c r="B1034" s="3">
        <v>44653.0</v>
      </c>
      <c r="C1034" s="2">
        <v>-1.051</v>
      </c>
      <c r="D1034" s="6">
        <f t="shared" si="2"/>
        <v>171777.302</v>
      </c>
      <c r="E1034" s="5">
        <f t="shared" si="1"/>
        <v>-0.000006118368216</v>
      </c>
    </row>
    <row r="1035" ht="15.75" customHeight="1">
      <c r="B1035" s="3">
        <v>44744.0</v>
      </c>
      <c r="C1035" s="2">
        <v>3077.223</v>
      </c>
      <c r="D1035" s="6">
        <f t="shared" si="2"/>
        <v>174854.525</v>
      </c>
      <c r="E1035" s="5">
        <f t="shared" si="1"/>
        <v>0.01775546042</v>
      </c>
    </row>
    <row r="1036" ht="15.75" customHeight="1">
      <c r="B1036" s="3">
        <v>44775.0</v>
      </c>
      <c r="C1036" s="2">
        <v>-97.474</v>
      </c>
      <c r="D1036" s="6">
        <f t="shared" si="2"/>
        <v>174757.051</v>
      </c>
      <c r="E1036" s="5">
        <f t="shared" si="1"/>
        <v>-0.0005576131296</v>
      </c>
    </row>
    <row r="1037" ht="15.75" customHeight="1">
      <c r="B1037" s="3">
        <v>44806.0</v>
      </c>
      <c r="C1037" s="2">
        <v>178.027</v>
      </c>
      <c r="D1037" s="6">
        <f t="shared" si="2"/>
        <v>174935.078</v>
      </c>
      <c r="E1037" s="5">
        <f t="shared" si="1"/>
        <v>0.001018192865</v>
      </c>
    </row>
    <row r="1038" ht="15.75" customHeight="1">
      <c r="B1038" s="3">
        <v>44836.0</v>
      </c>
      <c r="C1038" s="2">
        <v>47.129</v>
      </c>
      <c r="D1038" s="6">
        <f t="shared" si="2"/>
        <v>174982.207</v>
      </c>
      <c r="E1038" s="5">
        <f t="shared" si="1"/>
        <v>0.0002693722334</v>
      </c>
    </row>
    <row r="1039" ht="15.75" customHeight="1">
      <c r="B1039" s="3">
        <v>44867.0</v>
      </c>
      <c r="C1039" s="2">
        <v>37.902</v>
      </c>
      <c r="D1039" s="6">
        <f t="shared" si="2"/>
        <v>175020.109</v>
      </c>
      <c r="E1039" s="5">
        <f t="shared" si="1"/>
        <v>0.0002165814248</v>
      </c>
    </row>
    <row r="1040" ht="15.75" customHeight="1">
      <c r="B1040" s="3" t="s">
        <v>623</v>
      </c>
      <c r="C1040" s="2">
        <v>-14.629</v>
      </c>
      <c r="D1040" s="6">
        <f t="shared" si="2"/>
        <v>175005.48</v>
      </c>
      <c r="E1040" s="5">
        <f t="shared" si="1"/>
        <v>-0.00008358817451</v>
      </c>
    </row>
    <row r="1041" ht="15.75" customHeight="1">
      <c r="B1041" s="3" t="s">
        <v>624</v>
      </c>
      <c r="C1041" s="2">
        <v>-228.359</v>
      </c>
      <c r="D1041" s="6">
        <f t="shared" si="2"/>
        <v>174777.121</v>
      </c>
      <c r="E1041" s="5">
        <f t="shared" si="1"/>
        <v>-0.001305719792</v>
      </c>
    </row>
    <row r="1042" ht="15.75" customHeight="1">
      <c r="B1042" s="3" t="s">
        <v>625</v>
      </c>
      <c r="C1042" s="2">
        <v>206.443</v>
      </c>
      <c r="D1042" s="6">
        <f t="shared" si="2"/>
        <v>174983.564</v>
      </c>
      <c r="E1042" s="5">
        <f t="shared" si="1"/>
        <v>0.001180481585</v>
      </c>
    </row>
    <row r="1043" ht="15.75" customHeight="1">
      <c r="B1043" s="3" t="s">
        <v>626</v>
      </c>
      <c r="C1043" s="2">
        <v>-238.516</v>
      </c>
      <c r="D1043" s="6">
        <f t="shared" si="2"/>
        <v>174745.048</v>
      </c>
      <c r="E1043" s="5">
        <f t="shared" si="1"/>
        <v>-0.001364006426</v>
      </c>
    </row>
    <row r="1044" ht="15.75" customHeight="1">
      <c r="B1044" s="3" t="s">
        <v>627</v>
      </c>
      <c r="C1044" s="2">
        <v>-75.558</v>
      </c>
      <c r="D1044" s="6">
        <f t="shared" si="2"/>
        <v>174669.49</v>
      </c>
      <c r="E1044" s="5">
        <f t="shared" si="1"/>
        <v>-0.0004324834428</v>
      </c>
    </row>
    <row r="1045" ht="15.75" customHeight="1">
      <c r="B1045" s="3" t="s">
        <v>628</v>
      </c>
      <c r="C1045" s="2">
        <v>96.758</v>
      </c>
      <c r="D1045" s="6">
        <f t="shared" si="2"/>
        <v>174766.248</v>
      </c>
      <c r="E1045" s="5">
        <f t="shared" si="1"/>
        <v>0.000553795688</v>
      </c>
    </row>
    <row r="1046" ht="15.75" customHeight="1">
      <c r="B1046" s="3" t="s">
        <v>629</v>
      </c>
      <c r="C1046" s="2">
        <v>348.641</v>
      </c>
      <c r="D1046" s="6">
        <f t="shared" si="2"/>
        <v>175114.889</v>
      </c>
      <c r="E1046" s="5">
        <f t="shared" si="1"/>
        <v>0.001992911755</v>
      </c>
    </row>
    <row r="1047" ht="15.75" customHeight="1">
      <c r="B1047" s="3" t="s">
        <v>630</v>
      </c>
      <c r="C1047" s="2">
        <v>302.969</v>
      </c>
      <c r="D1047" s="6">
        <f t="shared" si="2"/>
        <v>175417.858</v>
      </c>
      <c r="E1047" s="5">
        <f t="shared" si="1"/>
        <v>0.001728620667</v>
      </c>
    </row>
    <row r="1048" ht="15.75" customHeight="1">
      <c r="B1048" s="3" t="s">
        <v>631</v>
      </c>
      <c r="C1048" s="2">
        <v>337.704</v>
      </c>
      <c r="D1048" s="6">
        <f t="shared" si="2"/>
        <v>175755.562</v>
      </c>
      <c r="E1048" s="5">
        <f t="shared" si="1"/>
        <v>0.001923289662</v>
      </c>
    </row>
    <row r="1049" ht="15.75" customHeight="1">
      <c r="B1049" s="3" t="s">
        <v>632</v>
      </c>
      <c r="C1049" s="2">
        <v>1062.946</v>
      </c>
      <c r="D1049" s="6">
        <f t="shared" si="2"/>
        <v>176818.508</v>
      </c>
      <c r="E1049" s="5">
        <f t="shared" si="1"/>
        <v>0.006029650566</v>
      </c>
    </row>
    <row r="1050" ht="15.75" customHeight="1">
      <c r="B1050" s="3">
        <v>44564.0</v>
      </c>
      <c r="C1050" s="2">
        <v>-43.852</v>
      </c>
      <c r="D1050" s="6">
        <f t="shared" si="2"/>
        <v>176774.656</v>
      </c>
      <c r="E1050" s="5">
        <f t="shared" si="1"/>
        <v>-0.0002480364707</v>
      </c>
    </row>
    <row r="1051" ht="15.75" customHeight="1">
      <c r="B1051" s="3">
        <v>44595.0</v>
      </c>
      <c r="C1051" s="2">
        <v>83.907</v>
      </c>
      <c r="D1051" s="6">
        <f t="shared" si="2"/>
        <v>176858.563</v>
      </c>
      <c r="E1051" s="5">
        <f t="shared" si="1"/>
        <v>0.000474542532</v>
      </c>
    </row>
    <row r="1052" ht="15.75" customHeight="1">
      <c r="B1052" s="3">
        <v>44623.0</v>
      </c>
      <c r="C1052" s="2">
        <v>-13.847</v>
      </c>
      <c r="D1052" s="6">
        <f t="shared" si="2"/>
        <v>176844.716</v>
      </c>
      <c r="E1052" s="5">
        <f t="shared" si="1"/>
        <v>-0.00007829726683</v>
      </c>
    </row>
    <row r="1053" ht="15.75" customHeight="1">
      <c r="B1053" s="3">
        <v>44654.0</v>
      </c>
      <c r="C1053" s="2">
        <v>22.798</v>
      </c>
      <c r="D1053" s="6">
        <f t="shared" si="2"/>
        <v>176867.514</v>
      </c>
      <c r="E1053" s="5">
        <f t="shared" si="1"/>
        <v>0.0001289070498</v>
      </c>
    </row>
    <row r="1054" ht="15.75" customHeight="1">
      <c r="B1054" s="3">
        <v>44745.0</v>
      </c>
      <c r="C1054" s="2">
        <v>174.775</v>
      </c>
      <c r="D1054" s="6">
        <f t="shared" si="2"/>
        <v>177042.289</v>
      </c>
      <c r="E1054" s="5">
        <f t="shared" si="1"/>
        <v>0.0009876811138</v>
      </c>
    </row>
    <row r="1055" ht="15.75" customHeight="1">
      <c r="B1055" s="3">
        <v>44776.0</v>
      </c>
      <c r="C1055" s="2">
        <v>195.521</v>
      </c>
      <c r="D1055" s="6">
        <f t="shared" si="2"/>
        <v>177237.81</v>
      </c>
      <c r="E1055" s="5">
        <f t="shared" si="1"/>
        <v>0.001103765187</v>
      </c>
    </row>
    <row r="1056" ht="15.75" customHeight="1">
      <c r="B1056" s="3">
        <v>44807.0</v>
      </c>
      <c r="C1056" s="2">
        <v>643.683</v>
      </c>
      <c r="D1056" s="6">
        <f t="shared" si="2"/>
        <v>177881.493</v>
      </c>
      <c r="E1056" s="5">
        <f t="shared" si="1"/>
        <v>0.003625168778</v>
      </c>
    </row>
    <row r="1057" ht="15.75" customHeight="1">
      <c r="B1057" s="3">
        <v>44837.0</v>
      </c>
      <c r="C1057" s="2">
        <v>-89.843</v>
      </c>
      <c r="D1057" s="6">
        <f t="shared" si="2"/>
        <v>177791.65</v>
      </c>
      <c r="E1057" s="5">
        <f t="shared" si="1"/>
        <v>-0.0005051998088</v>
      </c>
    </row>
    <row r="1058" ht="15.75" customHeight="1">
      <c r="B1058" s="3">
        <v>44868.0</v>
      </c>
      <c r="C1058" s="2">
        <v>257.145</v>
      </c>
      <c r="D1058" s="6">
        <f t="shared" si="2"/>
        <v>178048.795</v>
      </c>
      <c r="E1058" s="5">
        <f t="shared" si="1"/>
        <v>0.001445282842</v>
      </c>
    </row>
    <row r="1059" ht="15.75" customHeight="1">
      <c r="B1059" s="3" t="s">
        <v>633</v>
      </c>
      <c r="C1059" s="2">
        <v>203.122</v>
      </c>
      <c r="D1059" s="6">
        <f t="shared" si="2"/>
        <v>178251.917</v>
      </c>
      <c r="E1059" s="5">
        <f t="shared" si="1"/>
        <v>0.001140171856</v>
      </c>
    </row>
    <row r="1060" ht="15.75" customHeight="1">
      <c r="B1060" s="3" t="s">
        <v>634</v>
      </c>
      <c r="C1060" s="2">
        <v>-24.297</v>
      </c>
      <c r="D1060" s="6">
        <f t="shared" si="2"/>
        <v>178227.62</v>
      </c>
      <c r="E1060" s="5">
        <f t="shared" si="1"/>
        <v>-0.0001363163801</v>
      </c>
    </row>
    <row r="1061" ht="15.75" customHeight="1">
      <c r="B1061" s="3" t="s">
        <v>635</v>
      </c>
      <c r="C1061" s="2">
        <v>412.801</v>
      </c>
      <c r="D1061" s="6">
        <f t="shared" si="2"/>
        <v>178640.421</v>
      </c>
      <c r="E1061" s="5">
        <f t="shared" si="1"/>
        <v>0.00231346681</v>
      </c>
    </row>
    <row r="1062" ht="15.75" customHeight="1">
      <c r="B1062" s="3" t="s">
        <v>636</v>
      </c>
      <c r="C1062" s="2">
        <v>1163.181</v>
      </c>
      <c r="D1062" s="6">
        <f t="shared" si="2"/>
        <v>179803.602</v>
      </c>
      <c r="E1062" s="5">
        <f t="shared" si="1"/>
        <v>0.006490190983</v>
      </c>
    </row>
    <row r="1063" ht="15.75" customHeight="1">
      <c r="B1063" s="3" t="s">
        <v>637</v>
      </c>
      <c r="C1063" s="2">
        <v>113.484</v>
      </c>
      <c r="D1063" s="6">
        <f t="shared" si="2"/>
        <v>179917.086</v>
      </c>
      <c r="E1063" s="5">
        <f t="shared" si="1"/>
        <v>0.0006309562255</v>
      </c>
    </row>
    <row r="1064" ht="15.75" customHeight="1">
      <c r="B1064" s="3" t="s">
        <v>638</v>
      </c>
      <c r="C1064" s="2">
        <v>-900.074</v>
      </c>
      <c r="D1064" s="6">
        <f t="shared" si="2"/>
        <v>179017.012</v>
      </c>
      <c r="E1064" s="5">
        <f t="shared" si="1"/>
        <v>-0.005015271002</v>
      </c>
    </row>
    <row r="1065" ht="15.75" customHeight="1">
      <c r="B1065" s="3" t="s">
        <v>639</v>
      </c>
      <c r="C1065" s="2">
        <v>186.831</v>
      </c>
      <c r="D1065" s="6">
        <f t="shared" si="2"/>
        <v>179203.843</v>
      </c>
      <c r="E1065" s="5">
        <f t="shared" si="1"/>
        <v>0.001043105192</v>
      </c>
    </row>
    <row r="1066" ht="15.75" customHeight="1">
      <c r="B1066" s="3" t="s">
        <v>640</v>
      </c>
      <c r="C1066" s="2">
        <v>1069.768</v>
      </c>
      <c r="D1066" s="6">
        <f t="shared" si="2"/>
        <v>180273.611</v>
      </c>
      <c r="E1066" s="5">
        <f t="shared" si="1"/>
        <v>0.005951812254</v>
      </c>
    </row>
    <row r="1067" ht="15.75" customHeight="1">
      <c r="B1067" s="3" t="s">
        <v>641</v>
      </c>
      <c r="C1067" s="2">
        <v>153.536</v>
      </c>
      <c r="D1067" s="6">
        <f t="shared" si="2"/>
        <v>180427.147</v>
      </c>
      <c r="E1067" s="5">
        <f t="shared" si="1"/>
        <v>0.000851320691</v>
      </c>
    </row>
    <row r="1068" ht="15.75" customHeight="1">
      <c r="B1068" s="3" t="s">
        <v>642</v>
      </c>
      <c r="C1068" s="2">
        <v>20.698</v>
      </c>
      <c r="D1068" s="6">
        <f t="shared" si="2"/>
        <v>180447.845</v>
      </c>
      <c r="E1068" s="5">
        <f t="shared" si="1"/>
        <v>0.0001147100823</v>
      </c>
    </row>
    <row r="1069" ht="15.75" customHeight="1">
      <c r="B1069" s="3" t="s">
        <v>643</v>
      </c>
      <c r="C1069" s="2">
        <v>-52.006</v>
      </c>
      <c r="D1069" s="6">
        <f t="shared" si="2"/>
        <v>180395.839</v>
      </c>
      <c r="E1069" s="5">
        <f t="shared" si="1"/>
        <v>-0.0002882466989</v>
      </c>
    </row>
    <row r="1070" ht="15.75" customHeight="1">
      <c r="B1070" s="3" t="s">
        <v>644</v>
      </c>
      <c r="C1070" s="2">
        <v>89.492</v>
      </c>
      <c r="D1070" s="6">
        <f t="shared" si="2"/>
        <v>180485.331</v>
      </c>
      <c r="E1070" s="5">
        <f t="shared" si="1"/>
        <v>0.0004959638201</v>
      </c>
    </row>
    <row r="1071" ht="15.75" customHeight="1">
      <c r="B1071" s="3" t="s">
        <v>645</v>
      </c>
      <c r="C1071" s="2">
        <v>401.128</v>
      </c>
      <c r="D1071" s="6">
        <f t="shared" si="2"/>
        <v>180886.459</v>
      </c>
      <c r="E1071" s="5">
        <f t="shared" si="1"/>
        <v>0.002220030317</v>
      </c>
    </row>
    <row r="1072" ht="15.75" customHeight="1">
      <c r="B1072" s="3" t="s">
        <v>646</v>
      </c>
      <c r="C1072" s="2">
        <v>352.15</v>
      </c>
      <c r="D1072" s="6">
        <f t="shared" si="2"/>
        <v>181238.609</v>
      </c>
      <c r="E1072" s="5">
        <f t="shared" si="1"/>
        <v>0.001944908774</v>
      </c>
    </row>
    <row r="1073" ht="15.75" customHeight="1">
      <c r="B1073" s="3">
        <v>44565.0</v>
      </c>
      <c r="C1073" s="2">
        <v>33.21</v>
      </c>
      <c r="D1073" s="6">
        <f t="shared" si="2"/>
        <v>181271.819</v>
      </c>
      <c r="E1073" s="5">
        <f t="shared" si="1"/>
        <v>0.000183222316</v>
      </c>
    </row>
    <row r="1074" ht="15.75" customHeight="1">
      <c r="B1074" s="3">
        <v>44655.0</v>
      </c>
      <c r="C1074" s="2">
        <v>354.786</v>
      </c>
      <c r="D1074" s="6">
        <f t="shared" si="2"/>
        <v>181626.605</v>
      </c>
      <c r="E1074" s="5">
        <f t="shared" si="1"/>
        <v>0.001955291561</v>
      </c>
    </row>
    <row r="1075" ht="15.75" customHeight="1">
      <c r="B1075" s="3">
        <v>44685.0</v>
      </c>
      <c r="C1075" s="2">
        <v>299.306</v>
      </c>
      <c r="D1075" s="6">
        <f t="shared" si="2"/>
        <v>181925.911</v>
      </c>
      <c r="E1075" s="5">
        <f t="shared" si="1"/>
        <v>0.001646563038</v>
      </c>
    </row>
    <row r="1076" ht="15.75" customHeight="1">
      <c r="B1076" s="3">
        <v>44716.0</v>
      </c>
      <c r="C1076" s="2">
        <v>-169.41</v>
      </c>
      <c r="D1076" s="6">
        <f t="shared" si="2"/>
        <v>181756.501</v>
      </c>
      <c r="E1076" s="5">
        <f t="shared" si="1"/>
        <v>-0.0009316370914</v>
      </c>
    </row>
    <row r="1077" ht="15.75" customHeight="1">
      <c r="B1077" s="3">
        <v>44746.0</v>
      </c>
      <c r="C1077" s="2">
        <v>266.819</v>
      </c>
      <c r="D1077" s="6">
        <f t="shared" si="2"/>
        <v>182023.32</v>
      </c>
      <c r="E1077" s="5">
        <f t="shared" si="1"/>
        <v>0.001466926049</v>
      </c>
    </row>
    <row r="1078" ht="15.75" customHeight="1">
      <c r="B1078" s="3">
        <v>44777.0</v>
      </c>
      <c r="C1078" s="2">
        <v>95.727</v>
      </c>
      <c r="D1078" s="6">
        <f t="shared" si="2"/>
        <v>182119.047</v>
      </c>
      <c r="E1078" s="5">
        <f t="shared" si="1"/>
        <v>0.0005257669026</v>
      </c>
    </row>
    <row r="1079" ht="15.75" customHeight="1">
      <c r="B1079" s="3">
        <v>44869.0</v>
      </c>
      <c r="C1079" s="2">
        <v>-2971.121</v>
      </c>
      <c r="D1079" s="6">
        <f t="shared" si="2"/>
        <v>179147.926</v>
      </c>
      <c r="E1079" s="5">
        <f t="shared" si="1"/>
        <v>-0.01644871085</v>
      </c>
    </row>
    <row r="1080" ht="15.75" customHeight="1">
      <c r="B1080" s="3">
        <v>44899.0</v>
      </c>
      <c r="C1080" s="2">
        <v>-19.421</v>
      </c>
      <c r="D1080" s="6">
        <f t="shared" si="2"/>
        <v>179128.505</v>
      </c>
      <c r="E1080" s="5">
        <f t="shared" si="1"/>
        <v>-0.0001084134949</v>
      </c>
    </row>
    <row r="1081" ht="15.75" customHeight="1">
      <c r="B1081" s="3" t="s">
        <v>647</v>
      </c>
      <c r="C1081" s="2">
        <v>324.259</v>
      </c>
      <c r="D1081" s="6">
        <f t="shared" si="2"/>
        <v>179452.764</v>
      </c>
      <c r="E1081" s="5">
        <f t="shared" si="1"/>
        <v>0.001808566796</v>
      </c>
    </row>
    <row r="1082" ht="15.75" customHeight="1">
      <c r="B1082" s="3" t="s">
        <v>648</v>
      </c>
      <c r="C1082" s="2">
        <v>12.546</v>
      </c>
      <c r="D1082" s="6">
        <f t="shared" si="2"/>
        <v>179465.31</v>
      </c>
      <c r="E1082" s="5">
        <f t="shared" si="1"/>
        <v>0.00006991010436</v>
      </c>
    </row>
    <row r="1083" ht="15.75" customHeight="1">
      <c r="B1083" s="3" t="s">
        <v>649</v>
      </c>
      <c r="C1083" s="2">
        <v>-4956.689</v>
      </c>
      <c r="D1083" s="6">
        <f t="shared" si="2"/>
        <v>174508.621</v>
      </c>
      <c r="E1083" s="5">
        <f t="shared" si="1"/>
        <v>-0.02800778576</v>
      </c>
    </row>
    <row r="1084" ht="15.75" customHeight="1">
      <c r="B1084" s="3" t="s">
        <v>650</v>
      </c>
      <c r="C1084" s="2">
        <v>228.919</v>
      </c>
      <c r="D1084" s="6">
        <f t="shared" si="2"/>
        <v>174737.54</v>
      </c>
      <c r="E1084" s="5">
        <f t="shared" si="1"/>
        <v>0.001310932278</v>
      </c>
    </row>
    <row r="1085" ht="15.75" customHeight="1">
      <c r="B1085" s="3" t="s">
        <v>651</v>
      </c>
      <c r="C1085" s="2">
        <v>-4941.257</v>
      </c>
      <c r="D1085" s="6">
        <f t="shared" si="2"/>
        <v>169796.283</v>
      </c>
      <c r="E1085" s="5">
        <f t="shared" si="1"/>
        <v>-0.02868569353</v>
      </c>
    </row>
    <row r="1086" ht="15.75" customHeight="1">
      <c r="B1086" s="3" t="s">
        <v>652</v>
      </c>
      <c r="C1086" s="2">
        <v>54.886</v>
      </c>
      <c r="D1086" s="6">
        <f t="shared" si="2"/>
        <v>169851.169</v>
      </c>
      <c r="E1086" s="5">
        <f t="shared" si="1"/>
        <v>0.000323193948</v>
      </c>
    </row>
    <row r="1087" ht="15.75" customHeight="1">
      <c r="B1087" s="3" t="s">
        <v>653</v>
      </c>
      <c r="C1087" s="2">
        <v>102.358</v>
      </c>
      <c r="D1087" s="6">
        <f t="shared" si="2"/>
        <v>169953.527</v>
      </c>
      <c r="E1087" s="5">
        <f t="shared" si="1"/>
        <v>0.0006024519631</v>
      </c>
    </row>
    <row r="1088" ht="15.75" customHeight="1">
      <c r="B1088" s="3" t="s">
        <v>654</v>
      </c>
      <c r="C1088" s="2">
        <v>299.609</v>
      </c>
      <c r="D1088" s="6">
        <f t="shared" si="2"/>
        <v>170253.136</v>
      </c>
      <c r="E1088" s="5">
        <f t="shared" si="1"/>
        <v>0.001761335741</v>
      </c>
    </row>
    <row r="1089" ht="15.75" customHeight="1">
      <c r="B1089" s="3" t="s">
        <v>655</v>
      </c>
      <c r="C1089" s="2">
        <v>377.431</v>
      </c>
      <c r="D1089" s="6">
        <f t="shared" si="2"/>
        <v>170630.567</v>
      </c>
      <c r="E1089" s="5">
        <f t="shared" si="1"/>
        <v>0.002214427683</v>
      </c>
    </row>
    <row r="1090" ht="15.75" customHeight="1">
      <c r="B1090" s="3" t="s">
        <v>656</v>
      </c>
      <c r="C1090" s="2">
        <v>142.872</v>
      </c>
      <c r="D1090" s="6">
        <f t="shared" si="2"/>
        <v>170773.439</v>
      </c>
      <c r="E1090" s="5">
        <f t="shared" si="1"/>
        <v>0.0008369673808</v>
      </c>
    </row>
    <row r="1091" ht="15.75" customHeight="1">
      <c r="B1091" s="3" t="s">
        <v>657</v>
      </c>
      <c r="C1091" s="2">
        <v>291.096</v>
      </c>
      <c r="D1091" s="6">
        <f t="shared" si="2"/>
        <v>171064.535</v>
      </c>
      <c r="E1091" s="5">
        <f t="shared" si="1"/>
        <v>0.001703123073</v>
      </c>
    </row>
    <row r="1092" ht="15.75" customHeight="1">
      <c r="B1092" s="3" t="s">
        <v>658</v>
      </c>
      <c r="C1092" s="2">
        <v>-325.447</v>
      </c>
      <c r="D1092" s="6">
        <f t="shared" si="2"/>
        <v>170739.088</v>
      </c>
      <c r="E1092" s="5">
        <f t="shared" si="1"/>
        <v>-0.001904292854</v>
      </c>
    </row>
    <row r="1093" ht="15.75" customHeight="1">
      <c r="B1093" s="3">
        <v>44597.0</v>
      </c>
      <c r="C1093" s="2">
        <v>249.779</v>
      </c>
      <c r="D1093" s="6">
        <f t="shared" si="2"/>
        <v>170988.867</v>
      </c>
      <c r="E1093" s="5">
        <f t="shared" si="1"/>
        <v>0.001461859007</v>
      </c>
    </row>
    <row r="1094" ht="15.75" customHeight="1">
      <c r="B1094" s="3">
        <v>44625.0</v>
      </c>
      <c r="C1094" s="2">
        <v>268.265</v>
      </c>
      <c r="D1094" s="6">
        <f t="shared" si="2"/>
        <v>171257.132</v>
      </c>
      <c r="E1094" s="5">
        <f t="shared" si="1"/>
        <v>0.00156767387</v>
      </c>
    </row>
    <row r="1095" ht="15.75" customHeight="1">
      <c r="B1095" s="3">
        <v>44656.0</v>
      </c>
      <c r="C1095" s="2">
        <v>197.545</v>
      </c>
      <c r="D1095" s="6">
        <f t="shared" si="2"/>
        <v>171454.677</v>
      </c>
      <c r="E1095" s="5">
        <f t="shared" si="1"/>
        <v>0.001152834637</v>
      </c>
    </row>
    <row r="1096" ht="15.75" customHeight="1">
      <c r="B1096" s="3">
        <v>44686.0</v>
      </c>
      <c r="C1096" s="2">
        <v>-231.136</v>
      </c>
      <c r="D1096" s="6">
        <f t="shared" si="2"/>
        <v>171223.541</v>
      </c>
      <c r="E1096" s="5">
        <f t="shared" si="1"/>
        <v>-0.001348997531</v>
      </c>
    </row>
    <row r="1097" ht="15.75" customHeight="1">
      <c r="B1097" s="3">
        <v>44717.0</v>
      </c>
      <c r="C1097" s="2">
        <v>-155.08</v>
      </c>
      <c r="D1097" s="6">
        <f t="shared" si="2"/>
        <v>171068.461</v>
      </c>
      <c r="E1097" s="5">
        <f t="shared" si="1"/>
        <v>-0.0009061269893</v>
      </c>
    </row>
    <row r="1098" ht="15.75" customHeight="1">
      <c r="B1098" s="3">
        <v>44809.0</v>
      </c>
      <c r="C1098" s="2">
        <v>708.24</v>
      </c>
      <c r="D1098" s="6">
        <f t="shared" si="2"/>
        <v>171776.701</v>
      </c>
      <c r="E1098" s="5">
        <f t="shared" si="1"/>
        <v>0.00413155025</v>
      </c>
    </row>
    <row r="1099" ht="15.75" customHeight="1">
      <c r="B1099" s="3">
        <v>44839.0</v>
      </c>
      <c r="C1099" s="2">
        <v>270.815</v>
      </c>
      <c r="D1099" s="6">
        <f t="shared" si="2"/>
        <v>172047.516</v>
      </c>
      <c r="E1099" s="5">
        <f t="shared" si="1"/>
        <v>0.001575311119</v>
      </c>
    </row>
    <row r="1100" ht="15.75" customHeight="1">
      <c r="B1100" s="3">
        <v>44870.0</v>
      </c>
      <c r="C1100" s="2">
        <v>-163.496</v>
      </c>
      <c r="D1100" s="6">
        <f t="shared" si="2"/>
        <v>171884.02</v>
      </c>
      <c r="E1100" s="5">
        <f t="shared" si="1"/>
        <v>-0.000950747432</v>
      </c>
    </row>
    <row r="1101" ht="15.75" customHeight="1">
      <c r="B1101" s="3">
        <v>44900.0</v>
      </c>
      <c r="C1101" s="2">
        <v>95.295</v>
      </c>
      <c r="D1101" s="6">
        <f t="shared" si="2"/>
        <v>171979.315</v>
      </c>
      <c r="E1101" s="5">
        <f t="shared" si="1"/>
        <v>0.0005542609097</v>
      </c>
    </row>
    <row r="1102" ht="15.75" customHeight="1">
      <c r="B1102" s="3" t="s">
        <v>659</v>
      </c>
      <c r="C1102" s="2">
        <v>289.691</v>
      </c>
      <c r="D1102" s="6">
        <f t="shared" si="2"/>
        <v>172269.006</v>
      </c>
      <c r="E1102" s="5">
        <f t="shared" si="1"/>
        <v>0.001683035476</v>
      </c>
    </row>
    <row r="1103" ht="15.75" customHeight="1">
      <c r="B1103" s="3" t="s">
        <v>660</v>
      </c>
      <c r="C1103" s="2">
        <v>61.256</v>
      </c>
      <c r="D1103" s="6">
        <f t="shared" si="2"/>
        <v>172330.262</v>
      </c>
      <c r="E1103" s="5">
        <f t="shared" si="1"/>
        <v>0.0003555202018</v>
      </c>
    </row>
    <row r="1104" ht="15.75" customHeight="1">
      <c r="B1104" s="3" t="s">
        <v>661</v>
      </c>
      <c r="C1104" s="2">
        <v>131.957</v>
      </c>
      <c r="D1104" s="6">
        <f t="shared" si="2"/>
        <v>172462.219</v>
      </c>
      <c r="E1104" s="5">
        <f t="shared" si="1"/>
        <v>0.0007654285619</v>
      </c>
    </row>
    <row r="1105" ht="15.75" customHeight="1">
      <c r="B1105" s="3" t="s">
        <v>662</v>
      </c>
      <c r="C1105" s="2">
        <v>66.912</v>
      </c>
      <c r="D1105" s="6">
        <f t="shared" si="2"/>
        <v>172529.131</v>
      </c>
      <c r="E1105" s="5">
        <f t="shared" si="1"/>
        <v>0.0003879053828</v>
      </c>
    </row>
    <row r="1106" ht="15.75" customHeight="1">
      <c r="B1106" s="3" t="s">
        <v>663</v>
      </c>
      <c r="C1106" s="2">
        <v>144.018</v>
      </c>
      <c r="D1106" s="6">
        <f t="shared" si="2"/>
        <v>172673.149</v>
      </c>
      <c r="E1106" s="5">
        <f t="shared" si="1"/>
        <v>0.0008343977818</v>
      </c>
    </row>
    <row r="1107" ht="15.75" customHeight="1">
      <c r="B1107" s="3" t="s">
        <v>664</v>
      </c>
      <c r="C1107" s="2">
        <v>203.527</v>
      </c>
      <c r="D1107" s="6">
        <f t="shared" si="2"/>
        <v>172876.676</v>
      </c>
      <c r="E1107" s="5">
        <f t="shared" si="1"/>
        <v>0.001177989446</v>
      </c>
    </row>
    <row r="1108" ht="15.75" customHeight="1">
      <c r="B1108" s="3" t="s">
        <v>665</v>
      </c>
      <c r="C1108" s="2">
        <v>171.634</v>
      </c>
      <c r="D1108" s="6">
        <f t="shared" si="2"/>
        <v>173048.31</v>
      </c>
      <c r="E1108" s="5">
        <f t="shared" si="1"/>
        <v>0.0009923192659</v>
      </c>
    </row>
    <row r="1109" ht="15.75" customHeight="1">
      <c r="B1109" s="3" t="s">
        <v>666</v>
      </c>
      <c r="C1109" s="2">
        <v>229.503</v>
      </c>
      <c r="D1109" s="6">
        <f t="shared" si="2"/>
        <v>173277.813</v>
      </c>
      <c r="E1109" s="5">
        <f t="shared" si="1"/>
        <v>0.001325357912</v>
      </c>
    </row>
    <row r="1110" ht="15.75" customHeight="1">
      <c r="B1110" s="3" t="s">
        <v>667</v>
      </c>
      <c r="C1110" s="2">
        <v>571.875</v>
      </c>
      <c r="D1110" s="6">
        <f t="shared" si="2"/>
        <v>173849.688</v>
      </c>
      <c r="E1110" s="5">
        <f t="shared" si="1"/>
        <v>0.00329490182</v>
      </c>
    </row>
    <row r="1111" ht="15.75" customHeight="1">
      <c r="B1111" s="3" t="s">
        <v>668</v>
      </c>
      <c r="C1111" s="2">
        <v>178.227</v>
      </c>
      <c r="D1111" s="6">
        <f t="shared" si="2"/>
        <v>174027.915</v>
      </c>
      <c r="E1111" s="5">
        <f t="shared" si="1"/>
        <v>0.00102465358</v>
      </c>
    </row>
    <row r="1112" ht="15.75" customHeight="1">
      <c r="B1112" s="3" t="s">
        <v>669</v>
      </c>
      <c r="C1112" s="2">
        <v>297.925</v>
      </c>
      <c r="D1112" s="6">
        <f t="shared" si="2"/>
        <v>174325.84</v>
      </c>
      <c r="E1112" s="5">
        <f t="shared" si="1"/>
        <v>0.0017104743</v>
      </c>
    </row>
    <row r="1113" ht="15.75" customHeight="1">
      <c r="B1113" s="3" t="s">
        <v>670</v>
      </c>
      <c r="C1113" s="2">
        <v>240.239</v>
      </c>
      <c r="D1113" s="6">
        <f t="shared" si="2"/>
        <v>174566.079</v>
      </c>
      <c r="E1113" s="5">
        <f t="shared" si="1"/>
        <v>0.001377154499</v>
      </c>
    </row>
    <row r="1114" ht="15.75" customHeight="1">
      <c r="B1114" s="3">
        <v>44567.0</v>
      </c>
      <c r="C1114" s="2">
        <v>186.238</v>
      </c>
      <c r="D1114" s="6">
        <f t="shared" si="2"/>
        <v>174752.317</v>
      </c>
      <c r="E1114" s="5">
        <f t="shared" si="1"/>
        <v>0.001066293787</v>
      </c>
    </row>
    <row r="1115" ht="15.75" customHeight="1">
      <c r="B1115" s="3">
        <v>44598.0</v>
      </c>
      <c r="C1115" s="2">
        <v>565.542</v>
      </c>
      <c r="D1115" s="6">
        <f t="shared" si="2"/>
        <v>175317.859</v>
      </c>
      <c r="E1115" s="5">
        <f t="shared" si="1"/>
        <v>0.003231023553</v>
      </c>
    </row>
    <row r="1116" ht="15.75" customHeight="1">
      <c r="B1116" s="3">
        <v>44626.0</v>
      </c>
      <c r="C1116" s="2">
        <v>352.056</v>
      </c>
      <c r="D1116" s="6">
        <f t="shared" si="2"/>
        <v>175669.915</v>
      </c>
      <c r="E1116" s="5">
        <f t="shared" si="1"/>
        <v>0.002006087643</v>
      </c>
    </row>
    <row r="1117" ht="15.75" customHeight="1">
      <c r="B1117" s="3">
        <v>44718.0</v>
      </c>
      <c r="C1117" s="2">
        <v>-52.296</v>
      </c>
      <c r="D1117" s="6">
        <f t="shared" si="2"/>
        <v>175617.619</v>
      </c>
      <c r="E1117" s="5">
        <f t="shared" si="1"/>
        <v>-0.0002977390048</v>
      </c>
    </row>
    <row r="1118" ht="15.75" customHeight="1">
      <c r="B1118" s="3">
        <v>44748.0</v>
      </c>
      <c r="C1118" s="2">
        <v>14.125</v>
      </c>
      <c r="D1118" s="6">
        <f t="shared" si="2"/>
        <v>175631.744</v>
      </c>
      <c r="E1118" s="5">
        <f t="shared" si="1"/>
        <v>0.00008042719216</v>
      </c>
    </row>
    <row r="1119" ht="15.75" customHeight="1">
      <c r="B1119" s="3">
        <v>44779.0</v>
      </c>
      <c r="C1119" s="2">
        <v>4485.526</v>
      </c>
      <c r="D1119" s="6">
        <f t="shared" si="2"/>
        <v>180117.27</v>
      </c>
      <c r="E1119" s="5">
        <f t="shared" si="1"/>
        <v>0.02521869941</v>
      </c>
    </row>
    <row r="1120" ht="15.75" customHeight="1">
      <c r="B1120" s="3">
        <v>44810.0</v>
      </c>
      <c r="C1120" s="2">
        <v>59.971</v>
      </c>
      <c r="D1120" s="6">
        <f t="shared" si="2"/>
        <v>180177.241</v>
      </c>
      <c r="E1120" s="5">
        <f t="shared" si="1"/>
        <v>0.0003328998845</v>
      </c>
    </row>
    <row r="1121" ht="15.75" customHeight="1">
      <c r="B1121" s="3">
        <v>44840.0</v>
      </c>
      <c r="C1121" s="2">
        <v>139.345</v>
      </c>
      <c r="D1121" s="6">
        <f t="shared" si="2"/>
        <v>180316.586</v>
      </c>
      <c r="E1121" s="5">
        <f t="shared" si="1"/>
        <v>0.0007730784635</v>
      </c>
    </row>
    <row r="1122" ht="15.75" customHeight="1">
      <c r="B1122" s="3" t="s">
        <v>671</v>
      </c>
      <c r="C1122" s="2">
        <v>-25.054</v>
      </c>
      <c r="D1122" s="6">
        <f t="shared" si="2"/>
        <v>180291.532</v>
      </c>
      <c r="E1122" s="5">
        <f t="shared" si="1"/>
        <v>-0.0001389541654</v>
      </c>
    </row>
    <row r="1123" ht="15.75" customHeight="1">
      <c r="B1123" s="3" t="s">
        <v>672</v>
      </c>
      <c r="C1123" s="2">
        <v>-92.006</v>
      </c>
      <c r="D1123" s="6">
        <f t="shared" si="2"/>
        <v>180199.526</v>
      </c>
      <c r="E1123" s="5">
        <f t="shared" si="1"/>
        <v>-0.0005104481787</v>
      </c>
    </row>
    <row r="1124" ht="15.75" customHeight="1">
      <c r="B1124" s="3" t="s">
        <v>673</v>
      </c>
      <c r="C1124" s="2">
        <v>113.329</v>
      </c>
      <c r="D1124" s="6">
        <f t="shared" si="2"/>
        <v>180312.855</v>
      </c>
      <c r="E1124" s="5">
        <f t="shared" si="1"/>
        <v>0.0006287107445</v>
      </c>
    </row>
    <row r="1125" ht="15.75" customHeight="1">
      <c r="B1125" s="3" t="s">
        <v>674</v>
      </c>
      <c r="C1125" s="2">
        <v>938.118</v>
      </c>
      <c r="D1125" s="6">
        <f t="shared" si="2"/>
        <v>181250.973</v>
      </c>
      <c r="E1125" s="5">
        <f t="shared" si="1"/>
        <v>0.005189236492</v>
      </c>
    </row>
    <row r="1126" ht="15.75" customHeight="1">
      <c r="B1126" s="3" t="s">
        <v>675</v>
      </c>
      <c r="C1126" s="2">
        <v>163.39</v>
      </c>
      <c r="D1126" s="6">
        <f t="shared" si="2"/>
        <v>181414.363</v>
      </c>
      <c r="E1126" s="5">
        <f t="shared" si="1"/>
        <v>0.0009010511611</v>
      </c>
    </row>
    <row r="1127" ht="15.75" customHeight="1">
      <c r="B1127" s="3" t="s">
        <v>676</v>
      </c>
      <c r="C1127" s="2">
        <v>0.0</v>
      </c>
      <c r="D1127" s="6">
        <f t="shared" si="2"/>
        <v>181414.363</v>
      </c>
      <c r="E1127" s="5">
        <f t="shared" si="1"/>
        <v>0</v>
      </c>
    </row>
    <row r="1128" ht="15.75" customHeight="1">
      <c r="B1128" s="3" t="s">
        <v>677</v>
      </c>
      <c r="C1128" s="2">
        <v>-673.436</v>
      </c>
      <c r="D1128" s="6">
        <f t="shared" si="2"/>
        <v>180740.927</v>
      </c>
      <c r="E1128" s="5">
        <f t="shared" si="1"/>
        <v>-0.003719049782</v>
      </c>
    </row>
    <row r="1129" ht="15.75" customHeight="1">
      <c r="B1129" s="3" t="s">
        <v>678</v>
      </c>
      <c r="C1129" s="2">
        <v>-75.998</v>
      </c>
      <c r="D1129" s="6">
        <f t="shared" si="2"/>
        <v>180664.929</v>
      </c>
      <c r="E1129" s="5">
        <f t="shared" si="1"/>
        <v>-0.000420568731</v>
      </c>
    </row>
    <row r="1130" ht="15.75" customHeight="1">
      <c r="B1130" s="3" t="s">
        <v>679</v>
      </c>
      <c r="C1130" s="2">
        <v>365.016</v>
      </c>
      <c r="D1130" s="6">
        <f t="shared" si="2"/>
        <v>181029.945</v>
      </c>
      <c r="E1130" s="5">
        <f t="shared" si="1"/>
        <v>0.002018364927</v>
      </c>
    </row>
    <row r="1131" ht="15.75" customHeight="1">
      <c r="B1131" s="3" t="s">
        <v>680</v>
      </c>
      <c r="C1131" s="2">
        <v>-121.196</v>
      </c>
      <c r="D1131" s="6">
        <f t="shared" si="2"/>
        <v>180908.749</v>
      </c>
      <c r="E1131" s="5">
        <f t="shared" si="1"/>
        <v>-0.0006697046021</v>
      </c>
    </row>
    <row r="1132" ht="15.75" customHeight="1">
      <c r="B1132" s="3" t="s">
        <v>681</v>
      </c>
      <c r="C1132" s="2">
        <v>402.606</v>
      </c>
      <c r="D1132" s="6">
        <f t="shared" si="2"/>
        <v>181311.355</v>
      </c>
      <c r="E1132" s="5">
        <f t="shared" si="1"/>
        <v>0.002222991829</v>
      </c>
    </row>
    <row r="1133" ht="15.75" customHeight="1">
      <c r="B1133" s="3" t="s">
        <v>682</v>
      </c>
      <c r="C1133" s="2">
        <v>272.511</v>
      </c>
      <c r="D1133" s="6">
        <f t="shared" si="2"/>
        <v>181583.866</v>
      </c>
      <c r="E1133" s="5">
        <f t="shared" si="1"/>
        <v>0.00150187181</v>
      </c>
    </row>
    <row r="1134" ht="15.75" customHeight="1">
      <c r="B1134" s="3" t="s">
        <v>683</v>
      </c>
      <c r="C1134" s="2">
        <v>861.009</v>
      </c>
      <c r="D1134" s="6">
        <f t="shared" si="2"/>
        <v>182444.875</v>
      </c>
      <c r="E1134" s="5">
        <f t="shared" si="1"/>
        <v>0.004730453992</v>
      </c>
    </row>
    <row r="1135" ht="15.75" customHeight="1">
      <c r="B1135" s="3" t="s">
        <v>684</v>
      </c>
      <c r="C1135" s="2">
        <v>-638.221</v>
      </c>
      <c r="D1135" s="6">
        <f t="shared" si="2"/>
        <v>181806.654</v>
      </c>
      <c r="E1135" s="5">
        <f t="shared" si="1"/>
        <v>-0.003504290867</v>
      </c>
    </row>
    <row r="1136" ht="15.75" customHeight="1">
      <c r="B1136" s="3">
        <v>44568.0</v>
      </c>
      <c r="C1136" s="2">
        <v>-138.68</v>
      </c>
      <c r="D1136" s="6">
        <f t="shared" si="2"/>
        <v>181667.974</v>
      </c>
      <c r="E1136" s="5">
        <f t="shared" si="1"/>
        <v>-0.0007630794341</v>
      </c>
    </row>
    <row r="1137" ht="15.75" customHeight="1">
      <c r="B1137" s="3">
        <v>44688.0</v>
      </c>
      <c r="C1137" s="2">
        <v>169.376</v>
      </c>
      <c r="D1137" s="6">
        <f t="shared" si="2"/>
        <v>181837.35</v>
      </c>
      <c r="E1137" s="5">
        <f t="shared" si="1"/>
        <v>0.0009319038874</v>
      </c>
    </row>
    <row r="1138" ht="15.75" customHeight="1">
      <c r="B1138" s="3">
        <v>44719.0</v>
      </c>
      <c r="C1138" s="2">
        <v>570.58</v>
      </c>
      <c r="D1138" s="6">
        <f t="shared" si="2"/>
        <v>182407.93</v>
      </c>
      <c r="E1138" s="5">
        <f t="shared" si="1"/>
        <v>0.003132946385</v>
      </c>
    </row>
    <row r="1139" ht="15.75" customHeight="1">
      <c r="B1139" s="3">
        <v>44749.0</v>
      </c>
      <c r="C1139" s="2">
        <v>311.523</v>
      </c>
      <c r="D1139" s="6">
        <f t="shared" si="2"/>
        <v>182719.453</v>
      </c>
      <c r="E1139" s="5">
        <f t="shared" si="1"/>
        <v>0.001706380239</v>
      </c>
    </row>
    <row r="1140" ht="15.75" customHeight="1">
      <c r="B1140" s="3">
        <v>44780.0</v>
      </c>
      <c r="C1140" s="2">
        <v>-8.038</v>
      </c>
      <c r="D1140" s="6">
        <f t="shared" si="2"/>
        <v>182711.415</v>
      </c>
      <c r="E1140" s="5">
        <f t="shared" si="1"/>
        <v>-0.00004399190493</v>
      </c>
    </row>
    <row r="1141" ht="15.75" customHeight="1">
      <c r="B1141" s="3">
        <v>44872.0</v>
      </c>
      <c r="C1141" s="2">
        <v>484.652</v>
      </c>
      <c r="D1141" s="6">
        <f t="shared" si="2"/>
        <v>183196.067</v>
      </c>
      <c r="E1141" s="5">
        <f t="shared" si="1"/>
        <v>0.002649042762</v>
      </c>
    </row>
    <row r="1142" ht="15.75" customHeight="1">
      <c r="B1142" s="3">
        <v>44902.0</v>
      </c>
      <c r="C1142" s="2">
        <v>1.09</v>
      </c>
      <c r="D1142" s="6">
        <f t="shared" si="2"/>
        <v>183197.157</v>
      </c>
      <c r="E1142" s="5">
        <f t="shared" si="1"/>
        <v>0.000005949891693</v>
      </c>
    </row>
    <row r="1143" ht="15.75" customHeight="1">
      <c r="B1143" s="3" t="s">
        <v>685</v>
      </c>
      <c r="C1143" s="2">
        <v>254.948</v>
      </c>
      <c r="D1143" s="6">
        <f t="shared" si="2"/>
        <v>183452.105</v>
      </c>
      <c r="E1143" s="5">
        <f t="shared" si="1"/>
        <v>0.001390691691</v>
      </c>
    </row>
    <row r="1144" ht="15.75" customHeight="1">
      <c r="B1144" s="3" t="s">
        <v>686</v>
      </c>
      <c r="C1144" s="2">
        <v>-133.412</v>
      </c>
      <c r="D1144" s="6">
        <f t="shared" si="2"/>
        <v>183318.693</v>
      </c>
      <c r="E1144" s="5">
        <f t="shared" si="1"/>
        <v>-0.0007274952456</v>
      </c>
    </row>
    <row r="1145" ht="15.75" customHeight="1">
      <c r="B1145" s="3" t="s">
        <v>687</v>
      </c>
      <c r="C1145" s="2">
        <v>348.442</v>
      </c>
      <c r="D1145" s="6">
        <f t="shared" si="2"/>
        <v>183667.135</v>
      </c>
      <c r="E1145" s="5">
        <f t="shared" si="1"/>
        <v>0.001898940385</v>
      </c>
    </row>
    <row r="1146" ht="15.75" customHeight="1">
      <c r="B1146" s="3" t="s">
        <v>688</v>
      </c>
      <c r="C1146" s="2">
        <v>36.998</v>
      </c>
      <c r="D1146" s="6">
        <f t="shared" si="2"/>
        <v>183704.133</v>
      </c>
      <c r="E1146" s="5">
        <f t="shared" si="1"/>
        <v>0.0002014202163</v>
      </c>
    </row>
    <row r="1147" ht="15.75" customHeight="1">
      <c r="B1147" s="3" t="s">
        <v>689</v>
      </c>
      <c r="C1147" s="2">
        <v>176.152</v>
      </c>
      <c r="D1147" s="6">
        <f t="shared" si="2"/>
        <v>183880.285</v>
      </c>
      <c r="E1147" s="5">
        <f t="shared" si="1"/>
        <v>0.0009584302536</v>
      </c>
    </row>
    <row r="1148" ht="15.75" customHeight="1">
      <c r="B1148" s="3" t="s">
        <v>690</v>
      </c>
      <c r="C1148" s="2">
        <v>146.589</v>
      </c>
      <c r="D1148" s="6">
        <f t="shared" si="2"/>
        <v>184026.874</v>
      </c>
      <c r="E1148" s="5">
        <f t="shared" si="1"/>
        <v>0.0007968804312</v>
      </c>
    </row>
    <row r="1149" ht="15.75" customHeight="1">
      <c r="B1149" s="3" t="s">
        <v>691</v>
      </c>
      <c r="C1149" s="2">
        <v>194.432</v>
      </c>
      <c r="D1149" s="6">
        <f t="shared" si="2"/>
        <v>184221.306</v>
      </c>
      <c r="E1149" s="5">
        <f t="shared" si="1"/>
        <v>0.001055983593</v>
      </c>
    </row>
    <row r="1150" ht="15.75" customHeight="1">
      <c r="B1150" s="3" t="s">
        <v>692</v>
      </c>
      <c r="C1150" s="2">
        <v>184.602</v>
      </c>
      <c r="D1150" s="6">
        <f t="shared" si="2"/>
        <v>184405.908</v>
      </c>
      <c r="E1150" s="5">
        <f t="shared" si="1"/>
        <v>0.00100156477</v>
      </c>
    </row>
    <row r="1151" ht="15.75" customHeight="1">
      <c r="B1151" s="3" t="s">
        <v>693</v>
      </c>
      <c r="C1151" s="2">
        <v>249.114</v>
      </c>
      <c r="D1151" s="6">
        <f t="shared" si="2"/>
        <v>184655.022</v>
      </c>
      <c r="E1151" s="5">
        <f t="shared" si="1"/>
        <v>0.001349988674</v>
      </c>
    </row>
    <row r="1152" ht="15.75" customHeight="1">
      <c r="B1152" s="3" t="s">
        <v>694</v>
      </c>
      <c r="C1152" s="2">
        <v>457.851</v>
      </c>
      <c r="D1152" s="6">
        <f t="shared" si="2"/>
        <v>185112.873</v>
      </c>
      <c r="E1152" s="5">
        <f t="shared" si="1"/>
        <v>0.002476425023</v>
      </c>
    </row>
    <row r="1153" ht="15.75" customHeight="1">
      <c r="B1153" s="3" t="s">
        <v>695</v>
      </c>
      <c r="C1153" s="2">
        <v>156.328</v>
      </c>
      <c r="D1153" s="6">
        <f t="shared" si="2"/>
        <v>185269.201</v>
      </c>
      <c r="E1153" s="5">
        <f t="shared" si="1"/>
        <v>0.0008441445753</v>
      </c>
    </row>
    <row r="1154" ht="15.75" customHeight="1">
      <c r="B1154" s="3" t="s">
        <v>696</v>
      </c>
      <c r="C1154" s="2">
        <v>297.802</v>
      </c>
      <c r="D1154" s="6">
        <f t="shared" si="2"/>
        <v>185567.003</v>
      </c>
      <c r="E1154" s="5">
        <f t="shared" si="1"/>
        <v>0.001606111058</v>
      </c>
    </row>
    <row r="1155" ht="15.75" customHeight="1">
      <c r="B1155" s="3" t="s">
        <v>697</v>
      </c>
      <c r="C1155" s="2">
        <v>11.867</v>
      </c>
      <c r="D1155" s="6">
        <f t="shared" si="2"/>
        <v>185578.87</v>
      </c>
      <c r="E1155" s="5">
        <f t="shared" si="1"/>
        <v>0.00006394790225</v>
      </c>
    </row>
    <row r="1156" ht="15.75" customHeight="1">
      <c r="B1156" s="3">
        <v>44569.0</v>
      </c>
      <c r="C1156" s="2">
        <v>264.709</v>
      </c>
      <c r="D1156" s="6">
        <f t="shared" si="2"/>
        <v>185843.579</v>
      </c>
      <c r="E1156" s="5">
        <f t="shared" si="1"/>
        <v>0.00142537989</v>
      </c>
    </row>
    <row r="1157" ht="15.75" customHeight="1">
      <c r="B1157" s="3">
        <v>44600.0</v>
      </c>
      <c r="C1157" s="2">
        <v>248.954</v>
      </c>
      <c r="D1157" s="6">
        <f t="shared" si="2"/>
        <v>186092.533</v>
      </c>
      <c r="E1157" s="5">
        <f t="shared" si="1"/>
        <v>0.001338692475</v>
      </c>
    </row>
    <row r="1158" ht="15.75" customHeight="1">
      <c r="B1158" s="3">
        <v>44628.0</v>
      </c>
      <c r="C1158" s="2">
        <v>107.364</v>
      </c>
      <c r="D1158" s="6">
        <f t="shared" si="2"/>
        <v>186199.897</v>
      </c>
      <c r="E1158" s="5">
        <f t="shared" si="1"/>
        <v>0.0005767724204</v>
      </c>
    </row>
    <row r="1159" ht="15.75" customHeight="1">
      <c r="B1159" s="3">
        <v>44659.0</v>
      </c>
      <c r="C1159" s="2">
        <v>376.9</v>
      </c>
      <c r="D1159" s="6">
        <f t="shared" si="2"/>
        <v>186576.797</v>
      </c>
      <c r="E1159" s="5">
        <f t="shared" si="1"/>
        <v>0.002022122812</v>
      </c>
    </row>
    <row r="1160" ht="15.75" customHeight="1">
      <c r="B1160" s="3">
        <v>44689.0</v>
      </c>
      <c r="C1160" s="2">
        <v>11.433</v>
      </c>
      <c r="D1160" s="6">
        <f t="shared" si="2"/>
        <v>186588.23</v>
      </c>
      <c r="E1160" s="5">
        <f t="shared" si="1"/>
        <v>0.00006127583871</v>
      </c>
    </row>
    <row r="1161" ht="15.75" customHeight="1">
      <c r="B1161" s="3">
        <v>44781.0</v>
      </c>
      <c r="C1161" s="2">
        <v>381.998</v>
      </c>
      <c r="D1161" s="6">
        <f t="shared" si="2"/>
        <v>186970.228</v>
      </c>
      <c r="E1161" s="5">
        <f t="shared" si="1"/>
        <v>0.002045185298</v>
      </c>
    </row>
    <row r="1162" ht="15.75" customHeight="1">
      <c r="B1162" s="3">
        <v>44812.0</v>
      </c>
      <c r="C1162" s="2">
        <v>280.638</v>
      </c>
      <c r="D1162" s="6">
        <f t="shared" si="2"/>
        <v>187250.866</v>
      </c>
      <c r="E1162" s="5">
        <f t="shared" si="1"/>
        <v>0.001499851596</v>
      </c>
    </row>
    <row r="1163" ht="15.75" customHeight="1">
      <c r="B1163" s="3">
        <v>44842.0</v>
      </c>
      <c r="C1163" s="2">
        <v>72.58</v>
      </c>
      <c r="D1163" s="6">
        <f t="shared" si="2"/>
        <v>187323.446</v>
      </c>
      <c r="E1163" s="5">
        <f t="shared" si="1"/>
        <v>0.0003875332535</v>
      </c>
    </row>
    <row r="1164" ht="15.75" customHeight="1">
      <c r="B1164" s="3">
        <v>44873.0</v>
      </c>
      <c r="C1164" s="2">
        <v>118.081</v>
      </c>
      <c r="D1164" s="6">
        <f t="shared" si="2"/>
        <v>187441.527</v>
      </c>
      <c r="E1164" s="5">
        <f t="shared" si="1"/>
        <v>0.0006301603</v>
      </c>
    </row>
    <row r="1165" ht="15.75" customHeight="1">
      <c r="B1165" s="3">
        <v>44903.0</v>
      </c>
      <c r="C1165" s="2">
        <v>431.228</v>
      </c>
      <c r="D1165" s="6">
        <f t="shared" si="2"/>
        <v>187872.755</v>
      </c>
      <c r="E1165" s="5">
        <f t="shared" si="1"/>
        <v>0.002297957794</v>
      </c>
    </row>
    <row r="1166" ht="15.75" customHeight="1">
      <c r="B1166" s="3" t="s">
        <v>698</v>
      </c>
      <c r="C1166" s="2">
        <v>78.769</v>
      </c>
      <c r="D1166" s="6">
        <f t="shared" si="2"/>
        <v>187951.524</v>
      </c>
      <c r="E1166" s="5">
        <f t="shared" si="1"/>
        <v>0.0004191799495</v>
      </c>
    </row>
    <row r="1167" ht="15.75" customHeight="1">
      <c r="B1167" s="3" t="s">
        <v>699</v>
      </c>
      <c r="C1167" s="2">
        <v>66.594</v>
      </c>
      <c r="D1167" s="6">
        <f t="shared" si="2"/>
        <v>188018.118</v>
      </c>
      <c r="E1167" s="5">
        <f t="shared" si="1"/>
        <v>0.00035425201</v>
      </c>
    </row>
    <row r="1168" ht="15.75" customHeight="1">
      <c r="B1168" s="3" t="s">
        <v>700</v>
      </c>
      <c r="C1168" s="2">
        <v>451.045</v>
      </c>
      <c r="D1168" s="6">
        <f t="shared" si="2"/>
        <v>188469.163</v>
      </c>
      <c r="E1168" s="5">
        <f t="shared" si="1"/>
        <v>0.002396071467</v>
      </c>
    </row>
    <row r="1169" ht="15.75" customHeight="1">
      <c r="B1169" s="3" t="s">
        <v>701</v>
      </c>
      <c r="C1169" s="2">
        <v>-252.346</v>
      </c>
      <c r="D1169" s="6">
        <f t="shared" si="2"/>
        <v>188216.817</v>
      </c>
      <c r="E1169" s="5">
        <f t="shared" si="1"/>
        <v>-0.001339821767</v>
      </c>
    </row>
    <row r="1170" ht="15.75" customHeight="1">
      <c r="B1170" s="3" t="s">
        <v>702</v>
      </c>
      <c r="C1170" s="2">
        <v>288.622</v>
      </c>
      <c r="D1170" s="6">
        <f t="shared" si="2"/>
        <v>188505.439</v>
      </c>
      <c r="E1170" s="5">
        <f t="shared" si="1"/>
        <v>0.001532280357</v>
      </c>
    </row>
    <row r="1171" ht="15.75" customHeight="1">
      <c r="B1171" s="3" t="s">
        <v>703</v>
      </c>
      <c r="C1171" s="2">
        <v>431.215</v>
      </c>
      <c r="D1171" s="6">
        <f t="shared" si="2"/>
        <v>188936.654</v>
      </c>
      <c r="E1171" s="5">
        <f t="shared" si="1"/>
        <v>0.002284934275</v>
      </c>
    </row>
    <row r="1172" ht="15.75" customHeight="1">
      <c r="B1172" s="3" t="s">
        <v>704</v>
      </c>
      <c r="C1172" s="2">
        <v>192.006</v>
      </c>
      <c r="D1172" s="6">
        <f t="shared" si="2"/>
        <v>189128.66</v>
      </c>
      <c r="E1172" s="5">
        <f t="shared" si="1"/>
        <v>0.001015729343</v>
      </c>
    </row>
    <row r="1173" ht="15.75" customHeight="1">
      <c r="B1173" s="3" t="s">
        <v>705</v>
      </c>
      <c r="C1173" s="2">
        <v>4.272</v>
      </c>
      <c r="D1173" s="6">
        <f t="shared" si="2"/>
        <v>189132.932</v>
      </c>
      <c r="E1173" s="5">
        <f t="shared" si="1"/>
        <v>0.00002258754307</v>
      </c>
    </row>
    <row r="1174" ht="15.75" customHeight="1">
      <c r="B1174" s="3" t="s">
        <v>706</v>
      </c>
      <c r="C1174" s="2">
        <v>15.769</v>
      </c>
      <c r="D1174" s="6">
        <f t="shared" si="2"/>
        <v>189148.701</v>
      </c>
      <c r="E1174" s="5">
        <f t="shared" si="1"/>
        <v>0.00008337174546</v>
      </c>
    </row>
    <row r="1175" ht="15.75" customHeight="1">
      <c r="B1175" s="3" t="s">
        <v>707</v>
      </c>
      <c r="C1175" s="2">
        <v>16.881</v>
      </c>
      <c r="D1175" s="6">
        <f t="shared" si="2"/>
        <v>189165.582</v>
      </c>
      <c r="E1175" s="5">
        <f t="shared" si="1"/>
        <v>0.00008924326027</v>
      </c>
    </row>
    <row r="1176" ht="15.75" customHeight="1">
      <c r="B1176" s="3" t="s">
        <v>708</v>
      </c>
      <c r="C1176" s="2">
        <v>68.618</v>
      </c>
      <c r="D1176" s="6">
        <f t="shared" si="2"/>
        <v>189234.2</v>
      </c>
      <c r="E1176" s="5">
        <f t="shared" si="1"/>
        <v>0.0003626746315</v>
      </c>
    </row>
    <row r="1177" ht="15.75" customHeight="1">
      <c r="B1177" s="3" t="s">
        <v>709</v>
      </c>
      <c r="C1177" s="2">
        <v>-102.466</v>
      </c>
      <c r="D1177" s="6">
        <f t="shared" si="2"/>
        <v>189131.734</v>
      </c>
      <c r="E1177" s="5">
        <f t="shared" si="1"/>
        <v>-0.0005416238266</v>
      </c>
    </row>
    <row r="1178" ht="15.75" customHeight="1">
      <c r="B1178" s="3" t="s">
        <v>710</v>
      </c>
      <c r="C1178" s="2">
        <v>68.086</v>
      </c>
      <c r="D1178" s="6">
        <f t="shared" si="2"/>
        <v>189199.82</v>
      </c>
      <c r="E1178" s="5">
        <f t="shared" si="1"/>
        <v>0.0003599276878</v>
      </c>
    </row>
    <row r="1179" ht="15.75" customHeight="1">
      <c r="B1179" s="3">
        <v>44570.0</v>
      </c>
      <c r="C1179" s="2">
        <v>243.263</v>
      </c>
      <c r="D1179" s="6">
        <f t="shared" si="2"/>
        <v>189443.083</v>
      </c>
      <c r="E1179" s="5">
        <f t="shared" si="1"/>
        <v>0.001284920602</v>
      </c>
    </row>
    <row r="1180" ht="15.75" customHeight="1">
      <c r="B1180" s="3">
        <v>44601.0</v>
      </c>
      <c r="C1180" s="2">
        <v>245.119</v>
      </c>
      <c r="D1180" s="6">
        <f t="shared" si="2"/>
        <v>189688.202</v>
      </c>
      <c r="E1180" s="5">
        <f t="shared" si="1"/>
        <v>0.001293056225</v>
      </c>
    </row>
    <row r="1181" ht="15.75" customHeight="1">
      <c r="B1181" s="3">
        <v>44721.0</v>
      </c>
      <c r="C1181" s="2">
        <v>124.376</v>
      </c>
      <c r="D1181" s="6">
        <f t="shared" si="2"/>
        <v>189812.578</v>
      </c>
      <c r="E1181" s="5">
        <f t="shared" si="1"/>
        <v>0.000655471667</v>
      </c>
    </row>
    <row r="1182" ht="15.75" customHeight="1">
      <c r="B1182" s="3">
        <v>44751.0</v>
      </c>
      <c r="C1182" s="2">
        <v>46.33</v>
      </c>
      <c r="D1182" s="6">
        <f t="shared" si="2"/>
        <v>189858.908</v>
      </c>
      <c r="E1182" s="5">
        <f t="shared" si="1"/>
        <v>0.0002440530929</v>
      </c>
    </row>
    <row r="1183" ht="15.75" customHeight="1">
      <c r="B1183" s="3">
        <v>44782.0</v>
      </c>
      <c r="C1183" s="2">
        <v>470.125</v>
      </c>
      <c r="D1183" s="6">
        <f t="shared" si="2"/>
        <v>190329.033</v>
      </c>
      <c r="E1183" s="5">
        <f t="shared" si="1"/>
        <v>0.002473120207</v>
      </c>
    </row>
    <row r="1184" ht="15.75" customHeight="1">
      <c r="B1184" s="3">
        <v>44813.0</v>
      </c>
      <c r="C1184" s="2">
        <v>97.768</v>
      </c>
      <c r="D1184" s="6">
        <f t="shared" si="2"/>
        <v>190426.801</v>
      </c>
      <c r="E1184" s="5">
        <f t="shared" si="1"/>
        <v>0.0005135469685</v>
      </c>
    </row>
    <row r="1185" ht="15.75" customHeight="1">
      <c r="B1185" s="3">
        <v>44904.0</v>
      </c>
      <c r="C1185" s="2">
        <v>177.807</v>
      </c>
      <c r="D1185" s="6">
        <f t="shared" si="2"/>
        <v>190604.608</v>
      </c>
      <c r="E1185" s="5">
        <f t="shared" si="1"/>
        <v>0.0009332932074</v>
      </c>
    </row>
    <row r="1186" ht="15.75" customHeight="1">
      <c r="B1186" s="3" t="s">
        <v>711</v>
      </c>
      <c r="C1186" s="2">
        <v>91.158</v>
      </c>
      <c r="D1186" s="6">
        <f t="shared" si="2"/>
        <v>190695.766</v>
      </c>
      <c r="E1186" s="5">
        <f t="shared" si="1"/>
        <v>0.0004781427345</v>
      </c>
    </row>
    <row r="1187" ht="15.75" customHeight="1">
      <c r="B1187" s="3" t="s">
        <v>712</v>
      </c>
      <c r="C1187" s="2">
        <v>117.19</v>
      </c>
      <c r="D1187" s="6">
        <f t="shared" si="2"/>
        <v>190812.956</v>
      </c>
      <c r="E1187" s="5">
        <f t="shared" si="1"/>
        <v>0.0006143503251</v>
      </c>
    </row>
    <row r="1188" ht="15.75" customHeight="1">
      <c r="B1188" s="3" t="s">
        <v>713</v>
      </c>
      <c r="C1188" s="2">
        <v>1587.814</v>
      </c>
      <c r="D1188" s="6">
        <f t="shared" si="2"/>
        <v>192400.77</v>
      </c>
      <c r="E1188" s="5">
        <f t="shared" si="1"/>
        <v>0.00828688003</v>
      </c>
    </row>
    <row r="1189" ht="15.75" customHeight="1">
      <c r="B1189" s="3" t="s">
        <v>714</v>
      </c>
      <c r="C1189" s="2">
        <v>123.189</v>
      </c>
      <c r="D1189" s="6">
        <f t="shared" si="2"/>
        <v>192523.959</v>
      </c>
      <c r="E1189" s="5">
        <f t="shared" si="1"/>
        <v>0.0006400680181</v>
      </c>
    </row>
    <row r="1190" ht="15.75" customHeight="1">
      <c r="B1190" s="3" t="s">
        <v>715</v>
      </c>
      <c r="C1190" s="2">
        <v>-1086.038</v>
      </c>
      <c r="D1190" s="6">
        <f t="shared" si="2"/>
        <v>191437.921</v>
      </c>
      <c r="E1190" s="5">
        <f t="shared" si="1"/>
        <v>-0.005657024579</v>
      </c>
    </row>
    <row r="1191" ht="15.75" customHeight="1">
      <c r="B1191" s="3" t="s">
        <v>716</v>
      </c>
      <c r="C1191" s="2">
        <v>111.35</v>
      </c>
      <c r="D1191" s="6">
        <f t="shared" si="2"/>
        <v>191549.271</v>
      </c>
      <c r="E1191" s="5">
        <f t="shared" si="1"/>
        <v>0.0005814816028</v>
      </c>
    </row>
    <row r="1192" ht="15.75" customHeight="1">
      <c r="B1192" s="3" t="s">
        <v>717</v>
      </c>
      <c r="C1192" s="2">
        <v>139.651</v>
      </c>
      <c r="D1192" s="6">
        <f t="shared" si="2"/>
        <v>191688.922</v>
      </c>
      <c r="E1192" s="5">
        <f t="shared" si="1"/>
        <v>0.0007287948265</v>
      </c>
    </row>
    <row r="1193" ht="15.75" customHeight="1">
      <c r="B1193" s="3" t="s">
        <v>718</v>
      </c>
      <c r="C1193" s="2">
        <v>5.883</v>
      </c>
      <c r="D1193" s="6">
        <f t="shared" si="2"/>
        <v>191694.805</v>
      </c>
      <c r="E1193" s="5">
        <f t="shared" si="1"/>
        <v>0.0000306898785</v>
      </c>
    </row>
    <row r="1194" ht="15.75" customHeight="1">
      <c r="B1194" s="3" t="s">
        <v>719</v>
      </c>
      <c r="C1194" s="2">
        <v>180.407</v>
      </c>
      <c r="D1194" s="6">
        <f t="shared" si="2"/>
        <v>191875.212</v>
      </c>
      <c r="E1194" s="5">
        <f t="shared" si="1"/>
        <v>0.0009406731773</v>
      </c>
    </row>
    <row r="1195" ht="15.75" customHeight="1">
      <c r="B1195" s="3" t="s">
        <v>720</v>
      </c>
      <c r="C1195" s="2">
        <v>446.024</v>
      </c>
      <c r="D1195" s="6">
        <f t="shared" si="2"/>
        <v>192321.236</v>
      </c>
      <c r="E1195" s="5">
        <f t="shared" si="1"/>
        <v>0.002321854888</v>
      </c>
    </row>
    <row r="1196" ht="15.75" customHeight="1">
      <c r="B1196" s="3" t="s">
        <v>721</v>
      </c>
      <c r="C1196" s="2">
        <v>291.085</v>
      </c>
      <c r="D1196" s="6">
        <f t="shared" si="2"/>
        <v>192612.321</v>
      </c>
      <c r="E1196" s="5">
        <f t="shared" si="1"/>
        <v>0.001512391166</v>
      </c>
    </row>
    <row r="1197" ht="15.75" customHeight="1">
      <c r="B1197" s="3" t="s">
        <v>722</v>
      </c>
      <c r="C1197" s="2">
        <v>461.079</v>
      </c>
      <c r="D1197" s="6">
        <f t="shared" si="2"/>
        <v>193073.4</v>
      </c>
      <c r="E1197" s="5">
        <f t="shared" si="1"/>
        <v>0.002390958205</v>
      </c>
    </row>
    <row r="1198" ht="15.75" customHeight="1">
      <c r="B1198" s="3" t="s">
        <v>723</v>
      </c>
      <c r="C1198" s="2">
        <v>93.624</v>
      </c>
      <c r="D1198" s="6">
        <f t="shared" si="2"/>
        <v>193167.024</v>
      </c>
      <c r="E1198" s="5">
        <f t="shared" si="1"/>
        <v>0.0004847964947</v>
      </c>
    </row>
    <row r="1199" ht="15.75" customHeight="1">
      <c r="B1199" s="3" t="s">
        <v>724</v>
      </c>
      <c r="C1199" s="2">
        <v>-283.314</v>
      </c>
      <c r="D1199" s="6">
        <f t="shared" si="2"/>
        <v>192883.71</v>
      </c>
      <c r="E1199" s="5">
        <f t="shared" si="1"/>
        <v>-0.001467755535</v>
      </c>
    </row>
    <row r="1200" ht="15.75" customHeight="1">
      <c r="B1200" s="3">
        <v>44630.0</v>
      </c>
      <c r="C1200" s="2">
        <v>-260.106</v>
      </c>
      <c r="D1200" s="6">
        <f t="shared" si="2"/>
        <v>192623.604</v>
      </c>
      <c r="E1200" s="5">
        <f t="shared" si="1"/>
        <v>-0.001349422073</v>
      </c>
    </row>
    <row r="1201" ht="15.75" customHeight="1">
      <c r="B1201" s="3">
        <v>44661.0</v>
      </c>
      <c r="C1201" s="2">
        <v>862.554</v>
      </c>
      <c r="D1201" s="6">
        <f t="shared" si="2"/>
        <v>193486.158</v>
      </c>
      <c r="E1201" s="5">
        <f t="shared" si="1"/>
        <v>0.004467928655</v>
      </c>
    </row>
    <row r="1202" ht="15.75" customHeight="1">
      <c r="B1202" s="3">
        <v>44691.0</v>
      </c>
      <c r="C1202" s="2">
        <v>124.317</v>
      </c>
      <c r="D1202" s="6">
        <f t="shared" si="2"/>
        <v>193610.475</v>
      </c>
      <c r="E1202" s="5">
        <f t="shared" si="1"/>
        <v>0.0006423047564</v>
      </c>
    </row>
    <row r="1203" ht="15.75" customHeight="1">
      <c r="B1203" s="3">
        <v>44722.0</v>
      </c>
      <c r="C1203" s="2">
        <v>262.28</v>
      </c>
      <c r="D1203" s="6">
        <f t="shared" si="2"/>
        <v>193872.755</v>
      </c>
      <c r="E1203" s="5">
        <f t="shared" si="1"/>
        <v>0.00135376202</v>
      </c>
    </row>
    <row r="1204" ht="15.75" customHeight="1">
      <c r="B1204" s="3">
        <v>44752.0</v>
      </c>
      <c r="C1204" s="2">
        <v>133.103</v>
      </c>
      <c r="D1204" s="6">
        <f t="shared" si="2"/>
        <v>194005.858</v>
      </c>
      <c r="E1204" s="5">
        <f t="shared" si="1"/>
        <v>0.0006863126801</v>
      </c>
    </row>
    <row r="1205" ht="15.75" customHeight="1">
      <c r="B1205" s="3">
        <v>44844.0</v>
      </c>
      <c r="C1205" s="2">
        <v>305.438</v>
      </c>
      <c r="D1205" s="6">
        <f t="shared" si="2"/>
        <v>194311.296</v>
      </c>
      <c r="E1205" s="5">
        <f t="shared" si="1"/>
        <v>0.001573137111</v>
      </c>
    </row>
    <row r="1206" ht="15.75" customHeight="1">
      <c r="B1206" s="3">
        <v>44875.0</v>
      </c>
      <c r="C1206" s="2">
        <v>114.02</v>
      </c>
      <c r="D1206" s="6">
        <f t="shared" si="2"/>
        <v>194425.316</v>
      </c>
      <c r="E1206" s="5">
        <f t="shared" si="1"/>
        <v>0.0005866182899</v>
      </c>
    </row>
    <row r="1207" ht="15.75" customHeight="1">
      <c r="B1207" s="3">
        <v>44905.0</v>
      </c>
      <c r="C1207" s="2">
        <v>-102.63</v>
      </c>
      <c r="D1207" s="6">
        <f t="shared" si="2"/>
        <v>194322.686</v>
      </c>
      <c r="E1207" s="5">
        <f t="shared" si="1"/>
        <v>-0.000528002726</v>
      </c>
    </row>
    <row r="1208" ht="15.75" customHeight="1">
      <c r="B1208" s="3" t="s">
        <v>725</v>
      </c>
      <c r="C1208" s="2">
        <v>61.036</v>
      </c>
      <c r="D1208" s="6">
        <f t="shared" si="2"/>
        <v>194383.722</v>
      </c>
      <c r="E1208" s="5">
        <f t="shared" si="1"/>
        <v>0.0003140467934</v>
      </c>
    </row>
    <row r="1209" ht="15.75" customHeight="1">
      <c r="B1209" s="3" t="s">
        <v>726</v>
      </c>
      <c r="C1209" s="2">
        <v>78.964</v>
      </c>
      <c r="D1209" s="6">
        <f t="shared" si="2"/>
        <v>194462.686</v>
      </c>
      <c r="E1209" s="5">
        <f t="shared" si="1"/>
        <v>0.0004061449429</v>
      </c>
    </row>
    <row r="1210" ht="15.75" customHeight="1">
      <c r="B1210" s="3" t="s">
        <v>727</v>
      </c>
      <c r="C1210" s="2">
        <v>-124.993</v>
      </c>
      <c r="D1210" s="6">
        <f t="shared" si="2"/>
        <v>194337.693</v>
      </c>
      <c r="E1210" s="5">
        <f t="shared" si="1"/>
        <v>-0.0006429675024</v>
      </c>
    </row>
    <row r="1211" ht="15.75" customHeight="1">
      <c r="B1211" s="3" t="s">
        <v>728</v>
      </c>
      <c r="C1211" s="2">
        <v>-2.448</v>
      </c>
      <c r="D1211" s="6">
        <f t="shared" si="2"/>
        <v>194335.245</v>
      </c>
      <c r="E1211" s="5">
        <f t="shared" si="1"/>
        <v>-0.00001259670927</v>
      </c>
    </row>
    <row r="1212" ht="15.75" customHeight="1">
      <c r="B1212" s="3" t="s">
        <v>729</v>
      </c>
      <c r="C1212" s="2">
        <v>502.885</v>
      </c>
      <c r="D1212" s="6">
        <f t="shared" si="2"/>
        <v>194838.13</v>
      </c>
      <c r="E1212" s="5">
        <f t="shared" si="1"/>
        <v>0.00258437659</v>
      </c>
    </row>
    <row r="1213" ht="15.75" customHeight="1">
      <c r="B1213" s="3" t="s">
        <v>730</v>
      </c>
      <c r="C1213" s="2">
        <v>248.935</v>
      </c>
      <c r="D1213" s="6">
        <f t="shared" si="2"/>
        <v>195087.065</v>
      </c>
      <c r="E1213" s="5">
        <f t="shared" si="1"/>
        <v>0.001276834824</v>
      </c>
    </row>
    <row r="1214" ht="15.75" customHeight="1">
      <c r="B1214" s="3" t="s">
        <v>731</v>
      </c>
      <c r="C1214" s="2">
        <v>404.062</v>
      </c>
      <c r="D1214" s="6">
        <f t="shared" si="2"/>
        <v>195491.127</v>
      </c>
      <c r="E1214" s="5">
        <f t="shared" si="1"/>
        <v>0.002069046109</v>
      </c>
    </row>
    <row r="1215" ht="15.75" customHeight="1">
      <c r="B1215" s="3" t="s">
        <v>732</v>
      </c>
      <c r="C1215" s="2">
        <v>132.927</v>
      </c>
      <c r="D1215" s="6">
        <f t="shared" si="2"/>
        <v>195624.054</v>
      </c>
      <c r="E1215" s="5">
        <f t="shared" si="1"/>
        <v>0.0006797332938</v>
      </c>
    </row>
    <row r="1216" ht="15.75" customHeight="1">
      <c r="B1216" s="3" t="s">
        <v>733</v>
      </c>
      <c r="C1216" s="2">
        <v>-252.492</v>
      </c>
      <c r="D1216" s="6">
        <f t="shared" si="2"/>
        <v>195371.562</v>
      </c>
      <c r="E1216" s="5">
        <f t="shared" si="1"/>
        <v>-0.001291533842</v>
      </c>
    </row>
    <row r="1217" ht="15.75" customHeight="1">
      <c r="B1217" s="3" t="s">
        <v>734</v>
      </c>
      <c r="C1217" s="2">
        <v>278.643</v>
      </c>
      <c r="D1217" s="6">
        <f t="shared" si="2"/>
        <v>195650.205</v>
      </c>
      <c r="E1217" s="5">
        <f t="shared" si="1"/>
        <v>0.001425204787</v>
      </c>
    </row>
    <row r="1218" ht="15.75" customHeight="1">
      <c r="B1218" s="3" t="s">
        <v>735</v>
      </c>
      <c r="C1218" s="2">
        <v>1119.905</v>
      </c>
      <c r="D1218" s="6">
        <f t="shared" si="2"/>
        <v>196770.11</v>
      </c>
      <c r="E1218" s="5">
        <f t="shared" si="1"/>
        <v>0.005707696557</v>
      </c>
    </row>
    <row r="1219" ht="15.75" customHeight="1">
      <c r="B1219" s="3" t="s">
        <v>736</v>
      </c>
      <c r="C1219" s="2">
        <v>-561.853</v>
      </c>
      <c r="D1219" s="6">
        <f t="shared" si="2"/>
        <v>196208.257</v>
      </c>
      <c r="E1219" s="5">
        <f t="shared" si="1"/>
        <v>-0.002859462149</v>
      </c>
    </row>
    <row r="1220" ht="15.75" customHeight="1">
      <c r="B1220" s="3" t="s">
        <v>737</v>
      </c>
      <c r="C1220" s="2">
        <v>163.182</v>
      </c>
      <c r="D1220" s="6">
        <f t="shared" si="2"/>
        <v>196371.439</v>
      </c>
      <c r="E1220" s="5">
        <f t="shared" si="1"/>
        <v>0.0008313318853</v>
      </c>
    </row>
    <row r="1221" ht="15.75" customHeight="1">
      <c r="B1221" s="3">
        <v>44572.0</v>
      </c>
      <c r="C1221" s="2">
        <v>596.368</v>
      </c>
      <c r="D1221" s="6">
        <f t="shared" si="2"/>
        <v>196967.807</v>
      </c>
      <c r="E1221" s="5">
        <f t="shared" si="1"/>
        <v>0.003032336402</v>
      </c>
    </row>
    <row r="1222" ht="15.75" customHeight="1">
      <c r="B1222" s="3">
        <v>44603.0</v>
      </c>
      <c r="C1222" s="2">
        <v>1390.911</v>
      </c>
      <c r="D1222" s="6">
        <f t="shared" si="2"/>
        <v>198358.718</v>
      </c>
      <c r="E1222" s="5">
        <f t="shared" si="1"/>
        <v>0.007036799463</v>
      </c>
    </row>
    <row r="1223" ht="15.75" customHeight="1">
      <c r="B1223" s="3">
        <v>44631.0</v>
      </c>
      <c r="C1223" s="2">
        <v>-125.667</v>
      </c>
      <c r="D1223" s="6">
        <f t="shared" si="2"/>
        <v>198233.051</v>
      </c>
      <c r="E1223" s="5">
        <f t="shared" si="1"/>
        <v>-0.0006337348076</v>
      </c>
    </row>
    <row r="1224" ht="15.75" customHeight="1">
      <c r="B1224" s="3">
        <v>44662.0</v>
      </c>
      <c r="C1224" s="2">
        <v>-441.175</v>
      </c>
      <c r="D1224" s="6">
        <f t="shared" si="2"/>
        <v>197791.876</v>
      </c>
      <c r="E1224" s="5">
        <f t="shared" si="1"/>
        <v>-0.00222801724</v>
      </c>
    </row>
    <row r="1225" ht="15.75" customHeight="1">
      <c r="B1225" s="3">
        <v>44753.0</v>
      </c>
      <c r="C1225" s="2">
        <v>47.924</v>
      </c>
      <c r="D1225" s="6">
        <f t="shared" si="2"/>
        <v>197839.8</v>
      </c>
      <c r="E1225" s="5">
        <f t="shared" si="1"/>
        <v>0.0002422657393</v>
      </c>
    </row>
    <row r="1226" ht="15.75" customHeight="1">
      <c r="B1226" s="3">
        <v>44784.0</v>
      </c>
      <c r="C1226" s="2">
        <v>47.074</v>
      </c>
      <c r="D1226" s="6">
        <f t="shared" si="2"/>
        <v>197886.874</v>
      </c>
      <c r="E1226" s="5">
        <f t="shared" si="1"/>
        <v>0.0002379116866</v>
      </c>
    </row>
    <row r="1227" ht="15.75" customHeight="1">
      <c r="B1227" s="3">
        <v>44815.0</v>
      </c>
      <c r="C1227" s="2">
        <v>120.57</v>
      </c>
      <c r="D1227" s="6">
        <f t="shared" si="2"/>
        <v>198007.444</v>
      </c>
      <c r="E1227" s="5">
        <f t="shared" si="1"/>
        <v>0.0006091019661</v>
      </c>
    </row>
    <row r="1228" ht="15.75" customHeight="1">
      <c r="B1228" s="3">
        <v>44845.0</v>
      </c>
      <c r="C1228" s="2">
        <v>91.656</v>
      </c>
      <c r="D1228" s="6">
        <f t="shared" si="2"/>
        <v>198099.1</v>
      </c>
      <c r="E1228" s="5">
        <f t="shared" si="1"/>
        <v>0.0004627845867</v>
      </c>
    </row>
    <row r="1229" ht="15.75" customHeight="1">
      <c r="B1229" s="3">
        <v>44876.0</v>
      </c>
      <c r="C1229" s="2">
        <v>113.555</v>
      </c>
      <c r="D1229" s="6">
        <f t="shared" si="2"/>
        <v>198212.655</v>
      </c>
      <c r="E1229" s="5">
        <f t="shared" si="1"/>
        <v>0.0005730589702</v>
      </c>
    </row>
    <row r="1230" ht="15.75" customHeight="1">
      <c r="B1230" s="3" t="s">
        <v>738</v>
      </c>
      <c r="C1230" s="2">
        <v>-140.952</v>
      </c>
      <c r="D1230" s="6">
        <f t="shared" si="2"/>
        <v>198071.703</v>
      </c>
      <c r="E1230" s="5">
        <f t="shared" si="1"/>
        <v>-0.0007113680018</v>
      </c>
    </row>
    <row r="1231" ht="15.75" customHeight="1">
      <c r="B1231" s="3" t="s">
        <v>739</v>
      </c>
      <c r="C1231" s="2">
        <v>246.697</v>
      </c>
      <c r="D1231" s="6">
        <f t="shared" si="2"/>
        <v>198318.4</v>
      </c>
      <c r="E1231" s="5">
        <f t="shared" si="1"/>
        <v>0.001244718423</v>
      </c>
    </row>
    <row r="1232" ht="15.75" customHeight="1">
      <c r="B1232" s="3" t="s">
        <v>740</v>
      </c>
      <c r="C1232" s="2">
        <v>478.642</v>
      </c>
      <c r="D1232" s="6">
        <f t="shared" si="2"/>
        <v>198797.042</v>
      </c>
      <c r="E1232" s="5">
        <f t="shared" si="1"/>
        <v>0.002410594911</v>
      </c>
    </row>
    <row r="1233" ht="15.75" customHeight="1">
      <c r="B1233" s="3" t="s">
        <v>741</v>
      </c>
      <c r="C1233" s="2">
        <v>115.354</v>
      </c>
      <c r="D1233" s="6">
        <f t="shared" si="2"/>
        <v>198912.396</v>
      </c>
      <c r="E1233" s="5">
        <f t="shared" si="1"/>
        <v>0.0005800918571</v>
      </c>
    </row>
    <row r="1234" ht="15.75" customHeight="1">
      <c r="B1234" s="3" t="s">
        <v>742</v>
      </c>
      <c r="C1234" s="2">
        <v>68.197</v>
      </c>
      <c r="D1234" s="6">
        <f t="shared" si="2"/>
        <v>198980.593</v>
      </c>
      <c r="E1234" s="5">
        <f t="shared" si="1"/>
        <v>0.0003427906626</v>
      </c>
    </row>
    <row r="1235" ht="15.75" customHeight="1">
      <c r="B1235" s="3" t="s">
        <v>743</v>
      </c>
      <c r="C1235" s="2">
        <v>56.879</v>
      </c>
      <c r="D1235" s="6">
        <f t="shared" si="2"/>
        <v>199037.472</v>
      </c>
      <c r="E1235" s="5">
        <f t="shared" si="1"/>
        <v>0.0002858111497</v>
      </c>
    </row>
    <row r="1236" ht="15.75" customHeight="1">
      <c r="B1236" s="3" t="s">
        <v>744</v>
      </c>
      <c r="C1236" s="2">
        <v>345.836</v>
      </c>
      <c r="D1236" s="6">
        <f t="shared" si="2"/>
        <v>199383.308</v>
      </c>
      <c r="E1236" s="5">
        <f t="shared" si="1"/>
        <v>0.001736034385</v>
      </c>
    </row>
    <row r="1237" ht="15.75" customHeight="1">
      <c r="B1237" s="3" t="s">
        <v>745</v>
      </c>
      <c r="C1237" s="2">
        <v>-4579.298</v>
      </c>
      <c r="D1237" s="6">
        <f t="shared" si="2"/>
        <v>194804.01</v>
      </c>
      <c r="E1237" s="5">
        <f t="shared" si="1"/>
        <v>-0.02323516668</v>
      </c>
    </row>
    <row r="1238" ht="15.75" customHeight="1">
      <c r="B1238" s="3" t="s">
        <v>746</v>
      </c>
      <c r="C1238" s="2">
        <v>81.516</v>
      </c>
      <c r="D1238" s="6">
        <f t="shared" si="2"/>
        <v>194885.526</v>
      </c>
      <c r="E1238" s="5">
        <f t="shared" si="1"/>
        <v>0.0004183638187</v>
      </c>
    </row>
    <row r="1239" ht="15.75" customHeight="1">
      <c r="B1239" s="3" t="s">
        <v>747</v>
      </c>
      <c r="C1239" s="2">
        <v>76.795</v>
      </c>
      <c r="D1239" s="6">
        <f t="shared" si="2"/>
        <v>194962.321</v>
      </c>
      <c r="E1239" s="5">
        <f t="shared" si="1"/>
        <v>0.0003939742214</v>
      </c>
    </row>
    <row r="1240" ht="15.75" customHeight="1">
      <c r="B1240" s="3" t="s">
        <v>748</v>
      </c>
      <c r="C1240" s="2">
        <v>274.427</v>
      </c>
      <c r="D1240" s="6">
        <f t="shared" si="2"/>
        <v>195236.748</v>
      </c>
      <c r="E1240" s="5">
        <f t="shared" si="1"/>
        <v>0.001406600205</v>
      </c>
    </row>
    <row r="1241" ht="15.75" customHeight="1">
      <c r="B1241" s="3" t="s">
        <v>749</v>
      </c>
      <c r="C1241" s="2">
        <v>80.533</v>
      </c>
      <c r="D1241" s="6">
        <f t="shared" si="2"/>
        <v>195317.281</v>
      </c>
      <c r="E1241" s="5">
        <f t="shared" si="1"/>
        <v>0.0004124038938</v>
      </c>
    </row>
    <row r="1242" ht="15.75" customHeight="1">
      <c r="B1242" s="3">
        <v>44573.0</v>
      </c>
      <c r="C1242" s="2">
        <v>-32.284</v>
      </c>
      <c r="D1242" s="6">
        <f t="shared" si="2"/>
        <v>195284.997</v>
      </c>
      <c r="E1242" s="5">
        <f t="shared" si="1"/>
        <v>-0.0001653036958</v>
      </c>
    </row>
    <row r="1243" ht="15.75" customHeight="1">
      <c r="B1243" s="3">
        <v>44604.0</v>
      </c>
      <c r="C1243" s="2">
        <v>266.586</v>
      </c>
      <c r="D1243" s="6">
        <f t="shared" si="2"/>
        <v>195551.583</v>
      </c>
      <c r="E1243" s="5">
        <f t="shared" si="1"/>
        <v>0.00136418163</v>
      </c>
    </row>
    <row r="1244" ht="15.75" customHeight="1">
      <c r="B1244" s="3">
        <v>44693.0</v>
      </c>
      <c r="C1244" s="2">
        <v>264.314</v>
      </c>
      <c r="D1244" s="6">
        <f t="shared" si="2"/>
        <v>195815.897</v>
      </c>
      <c r="E1244" s="5">
        <f t="shared" si="1"/>
        <v>0.001350720505</v>
      </c>
    </row>
    <row r="1245" ht="15.75" customHeight="1">
      <c r="B1245" s="3">
        <v>44724.0</v>
      </c>
      <c r="C1245" s="2">
        <v>215.61</v>
      </c>
      <c r="D1245" s="6">
        <f t="shared" si="2"/>
        <v>196031.507</v>
      </c>
      <c r="E1245" s="5">
        <f t="shared" si="1"/>
        <v>0.001100479521</v>
      </c>
    </row>
    <row r="1246" ht="15.75" customHeight="1">
      <c r="B1246" s="3">
        <v>44754.0</v>
      </c>
      <c r="C1246" s="2">
        <v>8.533</v>
      </c>
      <c r="D1246" s="6">
        <f t="shared" si="2"/>
        <v>196040.04</v>
      </c>
      <c r="E1246" s="5">
        <f t="shared" si="1"/>
        <v>0.0000435277697</v>
      </c>
    </row>
    <row r="1247" ht="15.75" customHeight="1">
      <c r="B1247" s="3">
        <v>44785.0</v>
      </c>
      <c r="C1247" s="2">
        <v>-33.617</v>
      </c>
      <c r="D1247" s="6">
        <f t="shared" si="2"/>
        <v>196006.423</v>
      </c>
      <c r="E1247" s="5">
        <f t="shared" si="1"/>
        <v>-0.0001714949796</v>
      </c>
    </row>
    <row r="1248" ht="15.75" customHeight="1">
      <c r="B1248" s="3">
        <v>44816.0</v>
      </c>
      <c r="C1248" s="2">
        <v>175.014</v>
      </c>
      <c r="D1248" s="6">
        <f t="shared" si="2"/>
        <v>196181.437</v>
      </c>
      <c r="E1248" s="5">
        <f t="shared" si="1"/>
        <v>0.0008925009133</v>
      </c>
    </row>
    <row r="1249" ht="15.75" customHeight="1">
      <c r="B1249" s="3">
        <v>44907.0</v>
      </c>
      <c r="C1249" s="2">
        <v>-291.185</v>
      </c>
      <c r="D1249" s="6">
        <f t="shared" si="2"/>
        <v>195890.252</v>
      </c>
      <c r="E1249" s="5">
        <f t="shared" si="1"/>
        <v>-0.001485366384</v>
      </c>
    </row>
    <row r="1250" ht="15.75" customHeight="1">
      <c r="B1250" s="3" t="s">
        <v>750</v>
      </c>
      <c r="C1250" s="2">
        <v>98.066</v>
      </c>
      <c r="D1250" s="6">
        <f t="shared" si="2"/>
        <v>195988.318</v>
      </c>
      <c r="E1250" s="5">
        <f t="shared" si="1"/>
        <v>0.0005004917827</v>
      </c>
    </row>
    <row r="1251" ht="15.75" customHeight="1">
      <c r="B1251" s="3" t="s">
        <v>751</v>
      </c>
      <c r="C1251" s="2">
        <v>-227.175</v>
      </c>
      <c r="D1251" s="6">
        <f t="shared" si="2"/>
        <v>195761.143</v>
      </c>
      <c r="E1251" s="5">
        <f t="shared" si="1"/>
        <v>-0.001159797514</v>
      </c>
    </row>
    <row r="1252" ht="15.75" customHeight="1">
      <c r="B1252" s="3" t="s">
        <v>752</v>
      </c>
      <c r="C1252" s="2">
        <v>269.814</v>
      </c>
      <c r="D1252" s="6">
        <f t="shared" si="2"/>
        <v>196030.957</v>
      </c>
      <c r="E1252" s="5">
        <f t="shared" si="1"/>
        <v>0.001377332737</v>
      </c>
    </row>
    <row r="1253" ht="15.75" customHeight="1">
      <c r="B1253" s="3" t="s">
        <v>753</v>
      </c>
      <c r="C1253" s="2">
        <v>363.941</v>
      </c>
      <c r="D1253" s="6">
        <f t="shared" si="2"/>
        <v>196394.898</v>
      </c>
      <c r="E1253" s="5">
        <f t="shared" si="1"/>
        <v>0.00185482735</v>
      </c>
    </row>
    <row r="1254" ht="15.75" customHeight="1">
      <c r="B1254" s="3" t="s">
        <v>754</v>
      </c>
      <c r="C1254" s="2">
        <v>-395.412</v>
      </c>
      <c r="D1254" s="6">
        <f t="shared" si="2"/>
        <v>195999.486</v>
      </c>
      <c r="E1254" s="5">
        <f t="shared" si="1"/>
        <v>-0.002015381208</v>
      </c>
    </row>
    <row r="1255" ht="15.75" customHeight="1">
      <c r="B1255" s="3" t="s">
        <v>755</v>
      </c>
      <c r="C1255" s="2">
        <v>315.931</v>
      </c>
      <c r="D1255" s="6">
        <f t="shared" si="2"/>
        <v>196315.417</v>
      </c>
      <c r="E1255" s="5">
        <f t="shared" si="1"/>
        <v>0.001610599372</v>
      </c>
    </row>
    <row r="1256" ht="15.75" customHeight="1">
      <c r="B1256" s="3" t="s">
        <v>756</v>
      </c>
      <c r="C1256" s="2">
        <v>17.481</v>
      </c>
      <c r="D1256" s="6">
        <f t="shared" si="2"/>
        <v>196332.898</v>
      </c>
      <c r="E1256" s="5">
        <f t="shared" si="1"/>
        <v>0.00008904151295</v>
      </c>
    </row>
    <row r="1257" ht="15.75" customHeight="1">
      <c r="B1257" s="3" t="s">
        <v>757</v>
      </c>
      <c r="C1257" s="2">
        <v>-275.017</v>
      </c>
      <c r="D1257" s="6">
        <f t="shared" si="2"/>
        <v>196057.881</v>
      </c>
      <c r="E1257" s="5">
        <f t="shared" si="1"/>
        <v>-0.001401750804</v>
      </c>
    </row>
    <row r="1258" ht="15.75" customHeight="1">
      <c r="B1258" s="3" t="s">
        <v>758</v>
      </c>
      <c r="C1258" s="2">
        <v>560.685</v>
      </c>
      <c r="D1258" s="6">
        <f t="shared" si="2"/>
        <v>196618.566</v>
      </c>
      <c r="E1258" s="5">
        <f t="shared" si="1"/>
        <v>0.002855711797</v>
      </c>
    </row>
    <row r="1259" ht="15.75" customHeight="1">
      <c r="B1259" s="3" t="s">
        <v>759</v>
      </c>
      <c r="C1259" s="2">
        <v>-2.226</v>
      </c>
      <c r="D1259" s="6">
        <f t="shared" si="2"/>
        <v>196616.34</v>
      </c>
      <c r="E1259" s="5">
        <f t="shared" si="1"/>
        <v>-0.00001132147714</v>
      </c>
    </row>
    <row r="1260" ht="15.75" customHeight="1">
      <c r="B1260" s="3" t="s">
        <v>760</v>
      </c>
      <c r="C1260" s="2">
        <v>-49.34</v>
      </c>
      <c r="D1260" s="6">
        <f t="shared" si="2"/>
        <v>196567</v>
      </c>
      <c r="E1260" s="5">
        <f t="shared" si="1"/>
        <v>-0.0002509770646</v>
      </c>
    </row>
    <row r="1261" ht="15.75" customHeight="1">
      <c r="B1261" s="3" t="s">
        <v>761</v>
      </c>
      <c r="C1261" s="2">
        <v>-308.137</v>
      </c>
      <c r="D1261" s="6">
        <f t="shared" si="2"/>
        <v>196258.863</v>
      </c>
      <c r="E1261" s="5">
        <f t="shared" si="1"/>
        <v>-0.001568822688</v>
      </c>
    </row>
    <row r="1262" ht="15.75" customHeight="1">
      <c r="B1262" s="3">
        <v>44986.0</v>
      </c>
      <c r="C1262" s="2">
        <v>-59.971</v>
      </c>
      <c r="D1262" s="6">
        <f t="shared" si="2"/>
        <v>196198.892</v>
      </c>
      <c r="E1262" s="5">
        <f t="shared" si="1"/>
        <v>-0.0003056176096</v>
      </c>
    </row>
    <row r="1263" ht="15.75" customHeight="1">
      <c r="B1263" s="3">
        <v>45017.0</v>
      </c>
      <c r="C1263" s="2">
        <v>80.252</v>
      </c>
      <c r="D1263" s="6">
        <f t="shared" si="2"/>
        <v>196279.144</v>
      </c>
      <c r="E1263" s="5">
        <f t="shared" si="1"/>
        <v>0.0004089502788</v>
      </c>
    </row>
    <row r="1264" ht="15.75" customHeight="1">
      <c r="B1264" s="3">
        <v>45047.0</v>
      </c>
      <c r="C1264" s="2">
        <v>48.953</v>
      </c>
      <c r="D1264" s="6">
        <f t="shared" si="2"/>
        <v>196328.097</v>
      </c>
      <c r="E1264" s="5">
        <f t="shared" si="1"/>
        <v>0.0002493739042</v>
      </c>
    </row>
    <row r="1265" ht="15.75" customHeight="1">
      <c r="B1265" s="3">
        <v>45078.0</v>
      </c>
      <c r="C1265" s="2">
        <v>89.988</v>
      </c>
      <c r="D1265" s="6">
        <f t="shared" si="2"/>
        <v>196418.085</v>
      </c>
      <c r="E1265" s="5">
        <f t="shared" si="1"/>
        <v>0.0004582501661</v>
      </c>
    </row>
    <row r="1266" ht="15.75" customHeight="1">
      <c r="B1266" s="3">
        <v>45170.0</v>
      </c>
      <c r="C1266" s="2">
        <v>175.056</v>
      </c>
      <c r="D1266" s="6">
        <f t="shared" si="2"/>
        <v>196593.141</v>
      </c>
      <c r="E1266" s="5">
        <f t="shared" si="1"/>
        <v>0.000890844841</v>
      </c>
    </row>
    <row r="1267" ht="15.75" customHeight="1">
      <c r="B1267" s="3">
        <v>45200.0</v>
      </c>
      <c r="C1267" s="2">
        <v>225.989</v>
      </c>
      <c r="D1267" s="6">
        <f t="shared" si="2"/>
        <v>196819.13</v>
      </c>
      <c r="E1267" s="5">
        <f t="shared" si="1"/>
        <v>0.001148866172</v>
      </c>
    </row>
    <row r="1268" ht="15.75" customHeight="1">
      <c r="B1268" s="3">
        <v>45231.0</v>
      </c>
      <c r="C1268" s="2">
        <v>-118.854</v>
      </c>
      <c r="D1268" s="6">
        <f t="shared" si="2"/>
        <v>196700.276</v>
      </c>
      <c r="E1268" s="5">
        <f t="shared" si="1"/>
        <v>-0.0006040566325</v>
      </c>
    </row>
    <row r="1269" ht="15.75" customHeight="1">
      <c r="B1269" s="3">
        <v>45261.0</v>
      </c>
      <c r="C1269" s="2">
        <v>-5.437</v>
      </c>
      <c r="D1269" s="6">
        <f t="shared" si="2"/>
        <v>196694.839</v>
      </c>
      <c r="E1269" s="5">
        <f t="shared" si="1"/>
        <v>-0.00002764142102</v>
      </c>
    </row>
    <row r="1270" ht="15.75" customHeight="1">
      <c r="B1270" s="3" t="s">
        <v>762</v>
      </c>
      <c r="C1270" s="2">
        <v>41.882</v>
      </c>
      <c r="D1270" s="6">
        <f t="shared" si="2"/>
        <v>196736.721</v>
      </c>
      <c r="E1270" s="5">
        <f t="shared" si="1"/>
        <v>0.000212906154</v>
      </c>
    </row>
    <row r="1271" ht="15.75" customHeight="1">
      <c r="B1271" s="3" t="s">
        <v>763</v>
      </c>
      <c r="C1271" s="2">
        <v>316.034</v>
      </c>
      <c r="D1271" s="6">
        <f t="shared" si="2"/>
        <v>197052.755</v>
      </c>
      <c r="E1271" s="5">
        <f t="shared" si="1"/>
        <v>0.001605091487</v>
      </c>
    </row>
    <row r="1272" ht="15.75" customHeight="1">
      <c r="B1272" s="3" t="s">
        <v>764</v>
      </c>
      <c r="C1272" s="2">
        <v>139.814</v>
      </c>
      <c r="D1272" s="6">
        <f t="shared" si="2"/>
        <v>197192.569</v>
      </c>
      <c r="E1272" s="5">
        <f t="shared" si="1"/>
        <v>0.0007092741364</v>
      </c>
    </row>
    <row r="1273" ht="15.75" customHeight="1">
      <c r="B1273" s="3" t="s">
        <v>765</v>
      </c>
      <c r="C1273" s="2">
        <v>-127.155</v>
      </c>
      <c r="D1273" s="6">
        <f t="shared" si="2"/>
        <v>197065.414</v>
      </c>
      <c r="E1273" s="5">
        <f t="shared" si="1"/>
        <v>-0.00064503452</v>
      </c>
    </row>
    <row r="1274" ht="15.75" customHeight="1">
      <c r="B1274" s="3" t="s">
        <v>766</v>
      </c>
      <c r="C1274" s="2">
        <v>-89.531</v>
      </c>
      <c r="D1274" s="6">
        <f t="shared" si="2"/>
        <v>196975.883</v>
      </c>
      <c r="E1274" s="5">
        <f t="shared" si="1"/>
        <v>-0.0004544244587</v>
      </c>
    </row>
    <row r="1275" ht="15.75" customHeight="1">
      <c r="B1275" s="3" t="s">
        <v>767</v>
      </c>
      <c r="C1275" s="2">
        <v>-13.901</v>
      </c>
      <c r="D1275" s="6">
        <f t="shared" si="2"/>
        <v>196961.982</v>
      </c>
      <c r="E1275" s="5">
        <f t="shared" si="1"/>
        <v>-0.00007057458163</v>
      </c>
    </row>
    <row r="1276" ht="15.75" customHeight="1">
      <c r="B1276" s="3" t="s">
        <v>768</v>
      </c>
      <c r="C1276" s="2">
        <v>29.567</v>
      </c>
      <c r="D1276" s="6">
        <f t="shared" si="2"/>
        <v>196991.549</v>
      </c>
      <c r="E1276" s="5">
        <f t="shared" si="1"/>
        <v>0.0001501039982</v>
      </c>
    </row>
    <row r="1277" ht="15.75" customHeight="1">
      <c r="B1277" s="3" t="s">
        <v>769</v>
      </c>
      <c r="C1277" s="2">
        <v>-89.116</v>
      </c>
      <c r="D1277" s="6">
        <f t="shared" si="2"/>
        <v>196902.433</v>
      </c>
      <c r="E1277" s="5">
        <f t="shared" si="1"/>
        <v>-0.0004524872458</v>
      </c>
    </row>
    <row r="1278" ht="15.75" customHeight="1">
      <c r="B1278" s="3" t="s">
        <v>770</v>
      </c>
      <c r="C1278" s="2">
        <v>-16.62</v>
      </c>
      <c r="D1278" s="6">
        <f t="shared" si="2"/>
        <v>196885.813</v>
      </c>
      <c r="E1278" s="5">
        <f t="shared" si="1"/>
        <v>-0.00008441084862</v>
      </c>
    </row>
    <row r="1279" ht="15.75" customHeight="1">
      <c r="B1279" s="3" t="s">
        <v>771</v>
      </c>
      <c r="C1279" s="2">
        <v>-294.561</v>
      </c>
      <c r="D1279" s="6">
        <f t="shared" si="2"/>
        <v>196591.252</v>
      </c>
      <c r="E1279" s="5">
        <f t="shared" si="1"/>
        <v>-0.001497220963</v>
      </c>
    </row>
    <row r="1280" ht="15.75" customHeight="1">
      <c r="B1280" s="3" t="s">
        <v>772</v>
      </c>
      <c r="C1280" s="2">
        <v>42.378</v>
      </c>
      <c r="D1280" s="6">
        <f t="shared" si="2"/>
        <v>196633.63</v>
      </c>
      <c r="E1280" s="5">
        <f t="shared" si="1"/>
        <v>0.0002155407865</v>
      </c>
    </row>
    <row r="1281" ht="15.75" customHeight="1">
      <c r="B1281" s="3" t="s">
        <v>773</v>
      </c>
      <c r="C1281" s="2">
        <v>109.79</v>
      </c>
      <c r="D1281" s="6">
        <f t="shared" si="2"/>
        <v>196743.42</v>
      </c>
      <c r="E1281" s="5">
        <f t="shared" si="1"/>
        <v>0.000558192212</v>
      </c>
    </row>
    <row r="1282" ht="15.75" customHeight="1">
      <c r="B1282" s="3">
        <v>44928.0</v>
      </c>
      <c r="C1282" s="2">
        <v>348.927</v>
      </c>
      <c r="D1282" s="6">
        <f t="shared" si="2"/>
        <v>197092.347</v>
      </c>
      <c r="E1282" s="5">
        <f t="shared" si="1"/>
        <v>0.001771942117</v>
      </c>
    </row>
    <row r="1283" ht="15.75" customHeight="1">
      <c r="B1283" s="3">
        <v>44959.0</v>
      </c>
      <c r="C1283" s="2">
        <v>-174.698</v>
      </c>
      <c r="D1283" s="6">
        <f t="shared" si="2"/>
        <v>196917.649</v>
      </c>
      <c r="E1283" s="5">
        <f t="shared" si="1"/>
        <v>-0.0008867694384</v>
      </c>
    </row>
    <row r="1284" ht="15.75" customHeight="1">
      <c r="B1284" s="3">
        <v>44987.0</v>
      </c>
      <c r="C1284" s="2">
        <v>68.812</v>
      </c>
      <c r="D1284" s="6">
        <f t="shared" si="2"/>
        <v>196986.461</v>
      </c>
      <c r="E1284" s="5">
        <f t="shared" si="1"/>
        <v>0.0003493845276</v>
      </c>
    </row>
    <row r="1285" ht="15.75" customHeight="1">
      <c r="B1285" s="3">
        <v>45079.0</v>
      </c>
      <c r="C1285" s="2">
        <v>-346.625</v>
      </c>
      <c r="D1285" s="6">
        <f t="shared" si="2"/>
        <v>196639.836</v>
      </c>
      <c r="E1285" s="5">
        <f t="shared" si="1"/>
        <v>-0.001761188682</v>
      </c>
    </row>
    <row r="1286" ht="15.75" customHeight="1">
      <c r="B1286" s="3">
        <v>45109.0</v>
      </c>
      <c r="C1286" s="2">
        <v>35.442</v>
      </c>
      <c r="D1286" s="6">
        <f t="shared" si="2"/>
        <v>196675.278</v>
      </c>
      <c r="E1286" s="5">
        <f t="shared" si="1"/>
        <v>0.0001802219077</v>
      </c>
    </row>
    <row r="1287" ht="15.75" customHeight="1">
      <c r="B1287" s="3">
        <v>45140.0</v>
      </c>
      <c r="C1287" s="2">
        <v>93.138</v>
      </c>
      <c r="D1287" s="6">
        <f t="shared" si="2"/>
        <v>196768.416</v>
      </c>
      <c r="E1287" s="5">
        <f t="shared" si="1"/>
        <v>0.00047345022</v>
      </c>
    </row>
    <row r="1288" ht="15.75" customHeight="1">
      <c r="B1288" s="3">
        <v>45171.0</v>
      </c>
      <c r="C1288" s="2">
        <v>90.861</v>
      </c>
      <c r="D1288" s="6">
        <f t="shared" si="2"/>
        <v>196859.277</v>
      </c>
      <c r="E1288" s="5">
        <f t="shared" si="1"/>
        <v>0.0004616595998</v>
      </c>
    </row>
    <row r="1289" ht="15.75" customHeight="1">
      <c r="B1289" s="3">
        <v>45201.0</v>
      </c>
      <c r="C1289" s="2">
        <v>144.528</v>
      </c>
      <c r="D1289" s="6">
        <f t="shared" si="2"/>
        <v>197003.805</v>
      </c>
      <c r="E1289" s="5">
        <f t="shared" si="1"/>
        <v>0.0007338997387</v>
      </c>
    </row>
    <row r="1290" ht="15.75" customHeight="1">
      <c r="B1290" s="3" t="s">
        <v>774</v>
      </c>
      <c r="C1290" s="2">
        <v>546.173</v>
      </c>
      <c r="D1290" s="6">
        <f t="shared" si="2"/>
        <v>197549.978</v>
      </c>
      <c r="E1290" s="5">
        <f t="shared" si="1"/>
        <v>0.002768562221</v>
      </c>
    </row>
    <row r="1291" ht="15.75" customHeight="1">
      <c r="B1291" s="3" t="s">
        <v>775</v>
      </c>
      <c r="C1291" s="2">
        <v>-61.564</v>
      </c>
      <c r="D1291" s="6">
        <f t="shared" si="2"/>
        <v>197488.414</v>
      </c>
      <c r="E1291" s="5">
        <f t="shared" si="1"/>
        <v>-0.0003116861639</v>
      </c>
    </row>
    <row r="1292" ht="15.75" customHeight="1">
      <c r="B1292" s="3" t="s">
        <v>776</v>
      </c>
      <c r="C1292" s="2">
        <v>401.11</v>
      </c>
      <c r="D1292" s="6">
        <f t="shared" si="2"/>
        <v>197889.524</v>
      </c>
      <c r="E1292" s="5">
        <f t="shared" si="1"/>
        <v>0.002028996052</v>
      </c>
    </row>
    <row r="1293" ht="15.75" customHeight="1">
      <c r="B1293" s="3" t="s">
        <v>777</v>
      </c>
      <c r="C1293" s="2">
        <v>87.851</v>
      </c>
      <c r="D1293" s="6">
        <f t="shared" si="2"/>
        <v>197977.375</v>
      </c>
      <c r="E1293" s="5">
        <f t="shared" si="1"/>
        <v>0.0004438411075</v>
      </c>
    </row>
    <row r="1294" ht="15.75" customHeight="1">
      <c r="B1294" s="3" t="s">
        <v>778</v>
      </c>
      <c r="C1294" s="2">
        <v>46.088</v>
      </c>
      <c r="D1294" s="6">
        <f t="shared" si="2"/>
        <v>198023.463</v>
      </c>
      <c r="E1294" s="5">
        <f t="shared" si="1"/>
        <v>0.0002327671852</v>
      </c>
    </row>
    <row r="1295" ht="15.75" customHeight="1">
      <c r="B1295" s="3" t="s">
        <v>779</v>
      </c>
      <c r="C1295" s="2">
        <v>100.814</v>
      </c>
      <c r="D1295" s="6">
        <f t="shared" si="2"/>
        <v>198124.277</v>
      </c>
      <c r="E1295" s="5">
        <f t="shared" si="1"/>
        <v>0.0005089717396</v>
      </c>
    </row>
    <row r="1296" ht="15.75" customHeight="1">
      <c r="B1296" s="3" t="s">
        <v>780</v>
      </c>
      <c r="C1296" s="2">
        <v>-125.373</v>
      </c>
      <c r="D1296" s="6">
        <f t="shared" si="2"/>
        <v>197998.904</v>
      </c>
      <c r="E1296" s="5">
        <f t="shared" si="1"/>
        <v>-0.0006330000879</v>
      </c>
    </row>
    <row r="1297" ht="15.75" customHeight="1">
      <c r="B1297" s="3" t="s">
        <v>781</v>
      </c>
      <c r="C1297" s="2">
        <v>255.968</v>
      </c>
      <c r="D1297" s="6">
        <f t="shared" si="2"/>
        <v>198254.872</v>
      </c>
      <c r="E1297" s="5">
        <f t="shared" si="1"/>
        <v>0.001291939919</v>
      </c>
    </row>
    <row r="1298" ht="15.75" customHeight="1">
      <c r="B1298" s="3" t="s">
        <v>782</v>
      </c>
      <c r="C1298" s="2">
        <v>133.829</v>
      </c>
      <c r="D1298" s="6">
        <f t="shared" si="2"/>
        <v>198388.701</v>
      </c>
      <c r="E1298" s="5">
        <f t="shared" si="1"/>
        <v>0.0006748073797</v>
      </c>
    </row>
    <row r="1299" ht="15.75" customHeight="1">
      <c r="B1299" s="3" t="s">
        <v>783</v>
      </c>
      <c r="C1299" s="2">
        <v>5.412</v>
      </c>
      <c r="D1299" s="6">
        <f t="shared" si="2"/>
        <v>198394.113</v>
      </c>
      <c r="E1299" s="5">
        <f t="shared" si="1"/>
        <v>0.00002727940732</v>
      </c>
    </row>
    <row r="1300" ht="15.75" customHeight="1">
      <c r="B1300" s="3" t="s">
        <v>784</v>
      </c>
      <c r="C1300" s="2">
        <v>2.956</v>
      </c>
      <c r="D1300" s="6">
        <f t="shared" si="2"/>
        <v>198397.069</v>
      </c>
      <c r="E1300" s="5">
        <f t="shared" si="1"/>
        <v>0.00001489952466</v>
      </c>
    </row>
    <row r="1301" ht="15.75" customHeight="1">
      <c r="B1301" s="3">
        <v>44929.0</v>
      </c>
      <c r="C1301" s="2">
        <v>237.463</v>
      </c>
      <c r="D1301" s="6">
        <f t="shared" si="2"/>
        <v>198634.532</v>
      </c>
      <c r="E1301" s="5">
        <f t="shared" si="1"/>
        <v>0.00119619208</v>
      </c>
    </row>
    <row r="1302" ht="15.75" customHeight="1">
      <c r="B1302" s="3">
        <v>44960.0</v>
      </c>
      <c r="C1302" s="2">
        <v>10.663</v>
      </c>
      <c r="D1302" s="6">
        <f t="shared" si="2"/>
        <v>198645.195</v>
      </c>
      <c r="E1302" s="5">
        <f t="shared" si="1"/>
        <v>0.00005368006106</v>
      </c>
    </row>
    <row r="1303" ht="15.75" customHeight="1">
      <c r="B1303" s="3">
        <v>44988.0</v>
      </c>
      <c r="C1303" s="2">
        <v>25.97</v>
      </c>
      <c r="D1303" s="6">
        <f t="shared" si="2"/>
        <v>198671.165</v>
      </c>
      <c r="E1303" s="5">
        <f t="shared" si="1"/>
        <v>0.0001307270611</v>
      </c>
    </row>
    <row r="1304" ht="15.75" customHeight="1">
      <c r="B1304" s="3">
        <v>45080.0</v>
      </c>
      <c r="C1304" s="2">
        <v>-83.967</v>
      </c>
      <c r="D1304" s="6">
        <f t="shared" si="2"/>
        <v>198587.198</v>
      </c>
      <c r="E1304" s="5">
        <f t="shared" si="1"/>
        <v>-0.0004227324536</v>
      </c>
    </row>
    <row r="1305" ht="15.75" customHeight="1">
      <c r="B1305" s="3">
        <v>45110.0</v>
      </c>
      <c r="C1305" s="2">
        <v>216.228</v>
      </c>
      <c r="D1305" s="6">
        <f t="shared" si="2"/>
        <v>198803.426</v>
      </c>
      <c r="E1305" s="5">
        <f t="shared" si="1"/>
        <v>0.00108823917</v>
      </c>
    </row>
    <row r="1306" ht="15.75" customHeight="1">
      <c r="B1306" s="3">
        <v>45141.0</v>
      </c>
      <c r="C1306" s="2">
        <v>19.151</v>
      </c>
      <c r="D1306" s="6">
        <f t="shared" si="2"/>
        <v>198822.577</v>
      </c>
      <c r="E1306" s="5">
        <f t="shared" si="1"/>
        <v>0.00009632669831</v>
      </c>
    </row>
    <row r="1307" ht="15.75" customHeight="1">
      <c r="B1307" s="3">
        <v>45172.0</v>
      </c>
      <c r="C1307" s="2">
        <v>242.271</v>
      </c>
      <c r="D1307" s="6">
        <f t="shared" si="2"/>
        <v>199064.848</v>
      </c>
      <c r="E1307" s="5">
        <f t="shared" si="1"/>
        <v>0.001217786815</v>
      </c>
    </row>
    <row r="1308" ht="15.75" customHeight="1">
      <c r="B1308" s="3">
        <v>45202.0</v>
      </c>
      <c r="C1308" s="2">
        <v>22.111</v>
      </c>
      <c r="D1308" s="6">
        <f t="shared" si="2"/>
        <v>199086.959</v>
      </c>
      <c r="E1308" s="5">
        <f t="shared" si="1"/>
        <v>0.0001110681887</v>
      </c>
    </row>
    <row r="1309" ht="15.75" customHeight="1">
      <c r="B1309" s="3" t="s">
        <v>785</v>
      </c>
      <c r="C1309" s="2">
        <v>-211.852</v>
      </c>
      <c r="D1309" s="6">
        <f t="shared" si="2"/>
        <v>198875.107</v>
      </c>
      <c r="E1309" s="5">
        <f t="shared" si="1"/>
        <v>-0.001064684492</v>
      </c>
    </row>
    <row r="1310" ht="15.75" customHeight="1">
      <c r="B1310" s="3" t="s">
        <v>786</v>
      </c>
      <c r="C1310" s="2">
        <v>174.753</v>
      </c>
      <c r="D1310" s="6">
        <f t="shared" si="2"/>
        <v>199049.86</v>
      </c>
      <c r="E1310" s="5">
        <f t="shared" si="1"/>
        <v>0.000878321421</v>
      </c>
    </row>
    <row r="1311" ht="15.75" customHeight="1">
      <c r="B1311" s="3" t="s">
        <v>787</v>
      </c>
      <c r="C1311" s="2">
        <v>-124.175</v>
      </c>
      <c r="D1311" s="6">
        <f t="shared" si="2"/>
        <v>198925.685</v>
      </c>
      <c r="E1311" s="5">
        <f t="shared" si="1"/>
        <v>-0.0006240333387</v>
      </c>
    </row>
    <row r="1312" ht="15.75" customHeight="1">
      <c r="B1312" s="3" t="s">
        <v>788</v>
      </c>
      <c r="C1312" s="2">
        <v>540.937</v>
      </c>
      <c r="D1312" s="6">
        <f t="shared" si="2"/>
        <v>199466.622</v>
      </c>
      <c r="E1312" s="5">
        <f t="shared" si="1"/>
        <v>0.002715601295</v>
      </c>
    </row>
    <row r="1313" ht="15.75" customHeight="1">
      <c r="B1313" s="3" t="s">
        <v>789</v>
      </c>
      <c r="C1313" s="2">
        <v>166.256</v>
      </c>
      <c r="D1313" s="6">
        <f t="shared" si="2"/>
        <v>199632.878</v>
      </c>
      <c r="E1313" s="5">
        <f t="shared" si="1"/>
        <v>0.0008331556898</v>
      </c>
    </row>
    <row r="1314" ht="15.75" customHeight="1">
      <c r="B1314" s="3" t="s">
        <v>790</v>
      </c>
      <c r="C1314" s="2">
        <v>-44.135</v>
      </c>
      <c r="D1314" s="6">
        <f t="shared" si="2"/>
        <v>199588.743</v>
      </c>
      <c r="E1314" s="5">
        <f t="shared" si="1"/>
        <v>-0.0002211052601</v>
      </c>
    </row>
    <row r="1315" ht="15.75" customHeight="1">
      <c r="B1315" s="3" t="s">
        <v>791</v>
      </c>
      <c r="C1315" s="2">
        <v>77.482</v>
      </c>
      <c r="D1315" s="6">
        <f t="shared" si="2"/>
        <v>199666.225</v>
      </c>
      <c r="E1315" s="5">
        <f t="shared" si="1"/>
        <v>0.0003881329335</v>
      </c>
    </row>
    <row r="1316" ht="15.75" customHeight="1">
      <c r="B1316" s="3" t="s">
        <v>792</v>
      </c>
      <c r="C1316" s="2">
        <v>67.406</v>
      </c>
      <c r="D1316" s="6">
        <f t="shared" si="2"/>
        <v>199733.631</v>
      </c>
      <c r="E1316" s="5">
        <f t="shared" si="1"/>
        <v>0.0003375364294</v>
      </c>
    </row>
    <row r="1317" ht="15.75" customHeight="1">
      <c r="B1317" s="3" t="s">
        <v>793</v>
      </c>
      <c r="C1317" s="2">
        <v>-38.9</v>
      </c>
      <c r="D1317" s="6">
        <f t="shared" si="2"/>
        <v>199694.731</v>
      </c>
      <c r="E1317" s="5">
        <f t="shared" si="1"/>
        <v>-0.0001947783574</v>
      </c>
    </row>
    <row r="1318" ht="15.75" customHeight="1">
      <c r="B1318" s="3" t="s">
        <v>794</v>
      </c>
      <c r="C1318" s="2">
        <v>616.896</v>
      </c>
      <c r="D1318" s="6">
        <f t="shared" si="2"/>
        <v>200311.627</v>
      </c>
      <c r="E1318" s="5">
        <f t="shared" si="1"/>
        <v>0.003084433418</v>
      </c>
    </row>
    <row r="1319" ht="15.75" customHeight="1">
      <c r="B1319" s="3" t="s">
        <v>795</v>
      </c>
      <c r="C1319" s="2">
        <v>172.634</v>
      </c>
      <c r="D1319" s="6">
        <f t="shared" si="2"/>
        <v>200484.261</v>
      </c>
      <c r="E1319" s="5">
        <f t="shared" si="1"/>
        <v>0.0008614559972</v>
      </c>
    </row>
    <row r="1320" ht="15.75" customHeight="1">
      <c r="B1320" s="3" t="s">
        <v>796</v>
      </c>
      <c r="C1320" s="2">
        <v>45.613</v>
      </c>
      <c r="D1320" s="6">
        <f t="shared" si="2"/>
        <v>200529.874</v>
      </c>
      <c r="E1320" s="5">
        <f t="shared" si="1"/>
        <v>0.0002274882415</v>
      </c>
    </row>
    <row r="1321" ht="15.75" customHeight="1">
      <c r="B1321" s="3" t="s">
        <v>797</v>
      </c>
      <c r="C1321" s="2">
        <v>205.26</v>
      </c>
      <c r="D1321" s="6">
        <f t="shared" si="2"/>
        <v>200735.134</v>
      </c>
      <c r="E1321" s="5">
        <f t="shared" si="1"/>
        <v>0.001023064627</v>
      </c>
    </row>
    <row r="1322" ht="15.75" customHeight="1">
      <c r="B1322" s="3" t="s">
        <v>798</v>
      </c>
      <c r="C1322" s="2">
        <v>3.405</v>
      </c>
      <c r="D1322" s="6">
        <f t="shared" si="2"/>
        <v>200738.539</v>
      </c>
      <c r="E1322" s="5">
        <f t="shared" si="1"/>
        <v>0.00001696250703</v>
      </c>
    </row>
    <row r="1323" ht="15.75" customHeight="1">
      <c r="B1323" s="3" t="s">
        <v>799</v>
      </c>
      <c r="C1323" s="2">
        <v>114.023</v>
      </c>
      <c r="D1323" s="6">
        <f t="shared" si="2"/>
        <v>200852.562</v>
      </c>
      <c r="E1323" s="5">
        <f t="shared" si="1"/>
        <v>0.0005678562238</v>
      </c>
    </row>
    <row r="1324" ht="15.75" customHeight="1">
      <c r="B1324" s="3">
        <v>44989.0</v>
      </c>
      <c r="C1324" s="2">
        <v>429.154</v>
      </c>
      <c r="D1324" s="6">
        <f t="shared" si="2"/>
        <v>201281.716</v>
      </c>
      <c r="E1324" s="5">
        <f t="shared" si="1"/>
        <v>0.002134382401</v>
      </c>
    </row>
    <row r="1325" ht="15.75" customHeight="1">
      <c r="B1325" s="3">
        <v>45020.0</v>
      </c>
      <c r="C1325" s="2">
        <v>163.78</v>
      </c>
      <c r="D1325" s="6">
        <f t="shared" si="2"/>
        <v>201445.496</v>
      </c>
      <c r="E1325" s="5">
        <f t="shared" si="1"/>
        <v>0.0008133545693</v>
      </c>
    </row>
    <row r="1326" ht="15.75" customHeight="1">
      <c r="B1326" s="3">
        <v>45050.0</v>
      </c>
      <c r="C1326" s="2">
        <v>50.968</v>
      </c>
      <c r="D1326" s="6">
        <f t="shared" si="2"/>
        <v>201496.464</v>
      </c>
      <c r="E1326" s="5">
        <f t="shared" si="1"/>
        <v>0.0002529793634</v>
      </c>
    </row>
    <row r="1327" ht="15.75" customHeight="1">
      <c r="B1327" s="3">
        <v>45081.0</v>
      </c>
      <c r="C1327" s="2">
        <v>51.224</v>
      </c>
      <c r="D1327" s="6">
        <f t="shared" si="2"/>
        <v>201547.688</v>
      </c>
      <c r="E1327" s="5">
        <f t="shared" si="1"/>
        <v>0.0002541855527</v>
      </c>
    </row>
    <row r="1328" ht="15.75" customHeight="1">
      <c r="B1328" s="3">
        <v>45203.0</v>
      </c>
      <c r="C1328" s="2">
        <v>106.317</v>
      </c>
      <c r="D1328" s="6">
        <f t="shared" si="2"/>
        <v>201654.005</v>
      </c>
      <c r="E1328" s="5">
        <f t="shared" si="1"/>
        <v>0.0005273638693</v>
      </c>
    </row>
    <row r="1329" ht="15.75" customHeight="1">
      <c r="B1329" s="3">
        <v>45234.0</v>
      </c>
      <c r="C1329" s="2">
        <v>158.644</v>
      </c>
      <c r="D1329" s="6">
        <f t="shared" si="2"/>
        <v>201812.649</v>
      </c>
      <c r="E1329" s="5">
        <f t="shared" si="1"/>
        <v>0.0007864045596</v>
      </c>
    </row>
    <row r="1330" ht="15.75" customHeight="1">
      <c r="B1330" s="3">
        <v>45264.0</v>
      </c>
      <c r="C1330" s="2">
        <v>190.421</v>
      </c>
      <c r="D1330" s="6">
        <f t="shared" si="2"/>
        <v>202003.07</v>
      </c>
      <c r="E1330" s="5">
        <f t="shared" si="1"/>
        <v>0.0009431084782</v>
      </c>
    </row>
    <row r="1331" ht="15.75" customHeight="1">
      <c r="B1331" s="3" t="s">
        <v>800</v>
      </c>
      <c r="C1331" s="2">
        <v>332.201</v>
      </c>
      <c r="D1331" s="6">
        <f t="shared" si="2"/>
        <v>202335.271</v>
      </c>
      <c r="E1331" s="5">
        <f t="shared" si="1"/>
        <v>0.001643183646</v>
      </c>
    </row>
    <row r="1332" ht="15.75" customHeight="1">
      <c r="B1332" s="3" t="s">
        <v>801</v>
      </c>
      <c r="C1332" s="2">
        <v>55.583</v>
      </c>
      <c r="D1332" s="6">
        <f t="shared" si="2"/>
        <v>202390.854</v>
      </c>
      <c r="E1332" s="5">
        <f t="shared" si="1"/>
        <v>0.0002746696935</v>
      </c>
    </row>
    <row r="1333" ht="15.75" customHeight="1">
      <c r="B1333" s="3" t="s">
        <v>802</v>
      </c>
      <c r="C1333" s="2">
        <v>141.813</v>
      </c>
      <c r="D1333" s="6">
        <f t="shared" si="2"/>
        <v>202532.667</v>
      </c>
      <c r="E1333" s="5">
        <f t="shared" si="1"/>
        <v>0.0007004434094</v>
      </c>
    </row>
    <row r="1334" ht="15.75" customHeight="1">
      <c r="B1334" s="3" t="s">
        <v>803</v>
      </c>
      <c r="C1334" s="2">
        <v>80.059</v>
      </c>
      <c r="D1334" s="6">
        <f t="shared" si="2"/>
        <v>202612.726</v>
      </c>
      <c r="E1334" s="5">
        <f t="shared" si="1"/>
        <v>0.0003952112127</v>
      </c>
    </row>
    <row r="1335" ht="15.75" customHeight="1">
      <c r="B1335" s="3" t="s">
        <v>804</v>
      </c>
      <c r="C1335" s="2">
        <v>255.756</v>
      </c>
      <c r="D1335" s="6">
        <f t="shared" si="2"/>
        <v>202868.482</v>
      </c>
      <c r="E1335" s="5">
        <f t="shared" si="1"/>
        <v>0.001261493894</v>
      </c>
    </row>
    <row r="1336" ht="15.75" customHeight="1">
      <c r="B1336" s="3" t="s">
        <v>805</v>
      </c>
      <c r="C1336" s="2">
        <v>117.971</v>
      </c>
      <c r="D1336" s="6">
        <f t="shared" si="2"/>
        <v>202986.453</v>
      </c>
      <c r="E1336" s="5">
        <f t="shared" si="1"/>
        <v>0.0005813456639</v>
      </c>
    </row>
    <row r="1337" ht="15.75" customHeight="1">
      <c r="B1337" s="3" t="s">
        <v>806</v>
      </c>
      <c r="C1337" s="2">
        <v>267.544</v>
      </c>
      <c r="D1337" s="6">
        <f t="shared" si="2"/>
        <v>203253.997</v>
      </c>
      <c r="E1337" s="5">
        <f t="shared" si="1"/>
        <v>0.001317170846</v>
      </c>
    </row>
    <row r="1338" ht="15.75" customHeight="1">
      <c r="B1338" s="3" t="s">
        <v>807</v>
      </c>
      <c r="C1338" s="2">
        <v>67.032</v>
      </c>
      <c r="D1338" s="6">
        <f t="shared" si="2"/>
        <v>203321.029</v>
      </c>
      <c r="E1338" s="5">
        <f t="shared" si="1"/>
        <v>0.0003297398823</v>
      </c>
    </row>
    <row r="1339" ht="15.75" customHeight="1">
      <c r="B1339" s="3" t="s">
        <v>808</v>
      </c>
      <c r="C1339" s="2">
        <v>116.703</v>
      </c>
      <c r="D1339" s="6">
        <f t="shared" si="2"/>
        <v>203437.732</v>
      </c>
      <c r="E1339" s="5">
        <f t="shared" si="1"/>
        <v>0.0005738192481</v>
      </c>
    </row>
    <row r="1340" ht="15.75" customHeight="1">
      <c r="B1340" s="3" t="s">
        <v>809</v>
      </c>
      <c r="C1340" s="2">
        <v>135.498</v>
      </c>
      <c r="D1340" s="6">
        <f t="shared" si="2"/>
        <v>203573.23</v>
      </c>
      <c r="E1340" s="5">
        <f t="shared" si="1"/>
        <v>0.0006658199295</v>
      </c>
    </row>
    <row r="1341" ht="15.75" customHeight="1">
      <c r="B1341" s="3" t="s">
        <v>810</v>
      </c>
      <c r="C1341" s="2">
        <v>116.699</v>
      </c>
      <c r="D1341" s="6">
        <f t="shared" si="2"/>
        <v>203689.929</v>
      </c>
      <c r="E1341" s="5">
        <f t="shared" si="1"/>
        <v>0.000573088926</v>
      </c>
    </row>
    <row r="1342" ht="15.75" customHeight="1">
      <c r="B1342" s="3" t="s">
        <v>811</v>
      </c>
      <c r="C1342" s="2">
        <v>162.468</v>
      </c>
      <c r="D1342" s="6">
        <f t="shared" si="2"/>
        <v>203852.397</v>
      </c>
      <c r="E1342" s="5">
        <f t="shared" si="1"/>
        <v>0.0007973061851</v>
      </c>
    </row>
    <row r="1343" ht="15.75" customHeight="1">
      <c r="B1343" s="3">
        <v>44931.0</v>
      </c>
      <c r="C1343" s="2">
        <v>319.626</v>
      </c>
      <c r="D1343" s="6">
        <f t="shared" si="2"/>
        <v>204172.023</v>
      </c>
      <c r="E1343" s="5">
        <f t="shared" si="1"/>
        <v>0.001566700666</v>
      </c>
    </row>
    <row r="1344" ht="15.75" customHeight="1">
      <c r="B1344" s="3">
        <v>44962.0</v>
      </c>
      <c r="C1344" s="2">
        <v>139.143</v>
      </c>
      <c r="D1344" s="6">
        <f t="shared" si="2"/>
        <v>204311.166</v>
      </c>
      <c r="E1344" s="5">
        <f t="shared" si="1"/>
        <v>0.0006812667406</v>
      </c>
    </row>
    <row r="1345" ht="15.75" customHeight="1">
      <c r="B1345" s="3">
        <v>44990.0</v>
      </c>
      <c r="C1345" s="2">
        <v>79.291</v>
      </c>
      <c r="D1345" s="6">
        <f t="shared" si="2"/>
        <v>204390.457</v>
      </c>
      <c r="E1345" s="5">
        <f t="shared" si="1"/>
        <v>0.0003880141234</v>
      </c>
    </row>
    <row r="1346" ht="15.75" customHeight="1">
      <c r="B1346" s="3">
        <v>45021.0</v>
      </c>
      <c r="C1346" s="2">
        <v>98.568</v>
      </c>
      <c r="D1346" s="6">
        <f t="shared" si="2"/>
        <v>204489.025</v>
      </c>
      <c r="E1346" s="5">
        <f t="shared" si="1"/>
        <v>0.0004821371883</v>
      </c>
    </row>
    <row r="1347" ht="15.75" customHeight="1">
      <c r="B1347" s="3">
        <v>45051.0</v>
      </c>
      <c r="C1347" s="2">
        <v>-11.706</v>
      </c>
      <c r="D1347" s="6">
        <f t="shared" si="2"/>
        <v>204477.319</v>
      </c>
      <c r="E1347" s="5">
        <f t="shared" si="1"/>
        <v>-0.00005724676456</v>
      </c>
    </row>
    <row r="1348" ht="15.75" customHeight="1">
      <c r="B1348" s="3">
        <v>45143.0</v>
      </c>
      <c r="C1348" s="2">
        <v>221.195</v>
      </c>
      <c r="D1348" s="6">
        <f t="shared" si="2"/>
        <v>204698.514</v>
      </c>
      <c r="E1348" s="5">
        <f t="shared" si="1"/>
        <v>0.00108117344</v>
      </c>
    </row>
    <row r="1349" ht="15.75" customHeight="1">
      <c r="B1349" s="3">
        <v>45174.0</v>
      </c>
      <c r="C1349" s="2">
        <v>-125.72</v>
      </c>
      <c r="D1349" s="6">
        <f t="shared" si="2"/>
        <v>204572.794</v>
      </c>
      <c r="E1349" s="5">
        <f t="shared" si="1"/>
        <v>-0.0006143602129</v>
      </c>
    </row>
    <row r="1350" ht="15.75" customHeight="1">
      <c r="B1350" s="3">
        <v>45204.0</v>
      </c>
      <c r="C1350" s="2">
        <v>31.204</v>
      </c>
      <c r="D1350" s="6">
        <f t="shared" si="2"/>
        <v>204603.998</v>
      </c>
      <c r="E1350" s="5">
        <f t="shared" si="1"/>
        <v>0.0001525208696</v>
      </c>
    </row>
    <row r="1351" ht="15.75" customHeight="1">
      <c r="B1351" s="3">
        <v>45235.0</v>
      </c>
      <c r="C1351" s="2">
        <v>-35.575</v>
      </c>
      <c r="D1351" s="6">
        <f t="shared" si="2"/>
        <v>204568.423</v>
      </c>
      <c r="E1351" s="5">
        <f t="shared" si="1"/>
        <v>-0.0001738875753</v>
      </c>
    </row>
    <row r="1352" ht="15.75" customHeight="1">
      <c r="B1352" s="3">
        <v>45265.0</v>
      </c>
      <c r="C1352" s="2">
        <v>64.334</v>
      </c>
      <c r="D1352" s="6">
        <f t="shared" si="2"/>
        <v>204632.757</v>
      </c>
      <c r="E1352" s="5">
        <f t="shared" si="1"/>
        <v>0.0003144370235</v>
      </c>
    </row>
    <row r="1353" ht="15.75" customHeight="1">
      <c r="B1353" s="3" t="s">
        <v>812</v>
      </c>
      <c r="C1353" s="2">
        <v>11.31</v>
      </c>
      <c r="D1353" s="6">
        <f t="shared" si="2"/>
        <v>204644.067</v>
      </c>
      <c r="E1353" s="5">
        <f t="shared" si="1"/>
        <v>0.00005526821623</v>
      </c>
    </row>
    <row r="1354" ht="15.75" customHeight="1">
      <c r="B1354" s="3" t="s">
        <v>813</v>
      </c>
      <c r="C1354" s="2">
        <v>231.641</v>
      </c>
      <c r="D1354" s="6">
        <f t="shared" si="2"/>
        <v>204875.708</v>
      </c>
      <c r="E1354" s="5">
        <f t="shared" si="1"/>
        <v>0.001131281266</v>
      </c>
    </row>
    <row r="1355" ht="15.75" customHeight="1">
      <c r="B1355" s="3" t="s">
        <v>814</v>
      </c>
      <c r="C1355" s="2">
        <v>124.801</v>
      </c>
      <c r="D1355" s="6">
        <f t="shared" si="2"/>
        <v>205000.509</v>
      </c>
      <c r="E1355" s="5">
        <f t="shared" si="1"/>
        <v>0.0006089692384</v>
      </c>
    </row>
    <row r="1356" ht="15.75" customHeight="1">
      <c r="B1356" s="3" t="s">
        <v>815</v>
      </c>
      <c r="C1356" s="2">
        <v>-40.389</v>
      </c>
      <c r="D1356" s="6">
        <f t="shared" si="2"/>
        <v>204960.12</v>
      </c>
      <c r="E1356" s="5">
        <f t="shared" si="1"/>
        <v>-0.0001970384338</v>
      </c>
    </row>
    <row r="1357" ht="15.75" customHeight="1">
      <c r="B1357" s="3" t="s">
        <v>816</v>
      </c>
      <c r="C1357" s="2">
        <v>194.153</v>
      </c>
      <c r="D1357" s="6">
        <f t="shared" si="2"/>
        <v>205154.273</v>
      </c>
      <c r="E1357" s="5">
        <f t="shared" si="1"/>
        <v>0.0009468237049</v>
      </c>
    </row>
    <row r="1358" ht="15.75" customHeight="1">
      <c r="B1358" s="3" t="s">
        <v>817</v>
      </c>
      <c r="C1358" s="2">
        <v>99.082</v>
      </c>
      <c r="D1358" s="6">
        <f t="shared" si="2"/>
        <v>205253.355</v>
      </c>
      <c r="E1358" s="5">
        <f t="shared" si="1"/>
        <v>0.0004828467853</v>
      </c>
    </row>
    <row r="1359" ht="15.75" customHeight="1">
      <c r="B1359" s="3" t="s">
        <v>818</v>
      </c>
      <c r="C1359" s="2">
        <v>39.88</v>
      </c>
      <c r="D1359" s="6">
        <f t="shared" si="2"/>
        <v>205293.235</v>
      </c>
      <c r="E1359" s="5">
        <f t="shared" si="1"/>
        <v>0.0001942775855</v>
      </c>
    </row>
    <row r="1360" ht="15.75" customHeight="1">
      <c r="B1360" s="3" t="s">
        <v>819</v>
      </c>
      <c r="C1360" s="2">
        <v>52.096</v>
      </c>
      <c r="D1360" s="6">
        <f t="shared" si="2"/>
        <v>205345.331</v>
      </c>
      <c r="E1360" s="5">
        <f t="shared" si="1"/>
        <v>0.0002537316492</v>
      </c>
    </row>
    <row r="1361" ht="15.75" customHeight="1">
      <c r="B1361" s="3" t="s">
        <v>820</v>
      </c>
      <c r="C1361" s="2">
        <v>155.71</v>
      </c>
      <c r="D1361" s="6">
        <f t="shared" si="2"/>
        <v>205501.041</v>
      </c>
      <c r="E1361" s="5">
        <f t="shared" si="1"/>
        <v>0.0007579962637</v>
      </c>
    </row>
    <row r="1362" ht="15.75" customHeight="1">
      <c r="B1362" s="3" t="s">
        <v>821</v>
      </c>
      <c r="C1362" s="2">
        <v>92.117</v>
      </c>
      <c r="D1362" s="6">
        <f t="shared" si="2"/>
        <v>205593.158</v>
      </c>
      <c r="E1362" s="5">
        <f t="shared" si="1"/>
        <v>0.0004481552003</v>
      </c>
    </row>
    <row r="1363" ht="15.75" customHeight="1">
      <c r="B1363" s="3" t="s">
        <v>822</v>
      </c>
      <c r="C1363" s="2">
        <v>3.025</v>
      </c>
      <c r="D1363" s="6">
        <f t="shared" si="2"/>
        <v>205596.183</v>
      </c>
      <c r="E1363" s="5">
        <f t="shared" si="1"/>
        <v>0.00001471341642</v>
      </c>
    </row>
    <row r="1364" ht="15.75" customHeight="1">
      <c r="B1364" s="3" t="s">
        <v>823</v>
      </c>
      <c r="C1364" s="2">
        <v>156.73</v>
      </c>
      <c r="D1364" s="6">
        <f t="shared" si="2"/>
        <v>205752.913</v>
      </c>
      <c r="E1364" s="5">
        <f t="shared" si="1"/>
        <v>0.0007620291821</v>
      </c>
    </row>
    <row r="1365" ht="15.75" customHeight="1">
      <c r="B1365" s="3">
        <v>44932.0</v>
      </c>
      <c r="C1365" s="2">
        <v>205.038</v>
      </c>
      <c r="D1365" s="6">
        <f t="shared" si="2"/>
        <v>205957.951</v>
      </c>
      <c r="E1365" s="5">
        <f t="shared" si="1"/>
        <v>0.0009960291791</v>
      </c>
    </row>
    <row r="1366" ht="15.75" customHeight="1">
      <c r="B1366" s="3">
        <v>44963.0</v>
      </c>
      <c r="C1366" s="2">
        <v>169.71</v>
      </c>
      <c r="D1366" s="6">
        <f t="shared" si="2"/>
        <v>206127.661</v>
      </c>
      <c r="E1366" s="5">
        <f t="shared" si="1"/>
        <v>0.0008236638439</v>
      </c>
    </row>
    <row r="1367" ht="15.75" customHeight="1">
      <c r="B1367" s="3">
        <v>45052.0</v>
      </c>
      <c r="C1367" s="2">
        <v>495.371</v>
      </c>
      <c r="D1367" s="6">
        <f t="shared" si="2"/>
        <v>206623.032</v>
      </c>
      <c r="E1367" s="5">
        <f t="shared" si="1"/>
        <v>0.002400341156</v>
      </c>
    </row>
    <row r="1368" ht="15.75" customHeight="1">
      <c r="B1368" s="3">
        <v>45083.0</v>
      </c>
      <c r="C1368" s="2">
        <v>601.704</v>
      </c>
      <c r="D1368" s="6">
        <f t="shared" si="2"/>
        <v>207224.736</v>
      </c>
      <c r="E1368" s="5">
        <f t="shared" si="1"/>
        <v>0.002907853904</v>
      </c>
    </row>
    <row r="1369" ht="15.75" customHeight="1">
      <c r="B1369" s="3">
        <v>45113.0</v>
      </c>
      <c r="C1369" s="2">
        <v>330.762</v>
      </c>
      <c r="D1369" s="6">
        <f t="shared" si="2"/>
        <v>207555.498</v>
      </c>
      <c r="E1369" s="5">
        <f t="shared" si="1"/>
        <v>0.001594878651</v>
      </c>
    </row>
    <row r="1370" ht="15.75" customHeight="1">
      <c r="B1370" s="3">
        <v>45144.0</v>
      </c>
      <c r="C1370" s="2">
        <v>238.882</v>
      </c>
      <c r="D1370" s="6">
        <f t="shared" si="2"/>
        <v>207794.38</v>
      </c>
      <c r="E1370" s="5">
        <f t="shared" si="1"/>
        <v>0.001150268913</v>
      </c>
    </row>
    <row r="1371" ht="15.75" customHeight="1">
      <c r="B1371" s="3">
        <v>45175.0</v>
      </c>
      <c r="C1371" s="2">
        <v>-358.372</v>
      </c>
      <c r="D1371" s="6">
        <f t="shared" si="2"/>
        <v>207436.008</v>
      </c>
      <c r="E1371" s="5">
        <f t="shared" si="1"/>
        <v>-0.001726136137</v>
      </c>
    </row>
    <row r="1372" ht="15.75" customHeight="1">
      <c r="B1372" s="3">
        <v>45266.0</v>
      </c>
      <c r="C1372" s="2">
        <v>190.831</v>
      </c>
      <c r="D1372" s="6">
        <f t="shared" si="2"/>
        <v>207626.839</v>
      </c>
      <c r="E1372" s="5">
        <f t="shared" si="1"/>
        <v>0.0009195282826</v>
      </c>
    </row>
    <row r="1373" ht="15.75" customHeight="1">
      <c r="B1373" s="3" t="s">
        <v>824</v>
      </c>
      <c r="C1373" s="2">
        <v>443.04</v>
      </c>
      <c r="D1373" s="6">
        <f t="shared" si="2"/>
        <v>208069.879</v>
      </c>
      <c r="E1373" s="5">
        <f t="shared" si="1"/>
        <v>0.002131554802</v>
      </c>
    </row>
    <row r="1374" ht="15.75" customHeight="1">
      <c r="B1374" s="3" t="s">
        <v>825</v>
      </c>
      <c r="C1374" s="2">
        <v>194.7</v>
      </c>
      <c r="D1374" s="6">
        <f t="shared" si="2"/>
        <v>208264.579</v>
      </c>
      <c r="E1374" s="5">
        <f t="shared" si="1"/>
        <v>0.0009353057882</v>
      </c>
    </row>
    <row r="1375" ht="15.75" customHeight="1">
      <c r="B1375" s="3" t="s">
        <v>826</v>
      </c>
      <c r="C1375" s="2">
        <v>843.924</v>
      </c>
      <c r="D1375" s="6">
        <f t="shared" si="2"/>
        <v>209108.503</v>
      </c>
      <c r="E1375" s="5">
        <f t="shared" si="1"/>
        <v>0.004043984562</v>
      </c>
    </row>
    <row r="1376" ht="15.75" customHeight="1">
      <c r="B1376" s="3" t="s">
        <v>827</v>
      </c>
      <c r="C1376" s="2">
        <v>461.362</v>
      </c>
      <c r="D1376" s="6">
        <f t="shared" si="2"/>
        <v>209569.865</v>
      </c>
      <c r="E1376" s="5">
        <f t="shared" si="1"/>
        <v>0.002203897894</v>
      </c>
    </row>
    <row r="1377" ht="15.75" customHeight="1">
      <c r="B1377" s="3" t="s">
        <v>828</v>
      </c>
      <c r="C1377" s="2">
        <v>0.0</v>
      </c>
      <c r="D1377" s="6">
        <f t="shared" si="2"/>
        <v>209569.865</v>
      </c>
      <c r="E1377" s="5">
        <f t="shared" si="1"/>
        <v>0</v>
      </c>
    </row>
    <row r="1378" ht="15.75" customHeight="1">
      <c r="B1378" s="3" t="s">
        <v>829</v>
      </c>
      <c r="C1378" s="2">
        <v>-370.665</v>
      </c>
      <c r="D1378" s="6">
        <f t="shared" si="2"/>
        <v>209199.2</v>
      </c>
      <c r="E1378" s="5">
        <f t="shared" si="1"/>
        <v>-0.001770260164</v>
      </c>
    </row>
    <row r="1379" ht="15.75" customHeight="1">
      <c r="B1379" s="3" t="s">
        <v>830</v>
      </c>
      <c r="C1379" s="2">
        <v>85.489</v>
      </c>
      <c r="D1379" s="6">
        <f t="shared" si="2"/>
        <v>209284.689</v>
      </c>
      <c r="E1379" s="5">
        <f t="shared" si="1"/>
        <v>0.0004085653161</v>
      </c>
    </row>
    <row r="1380" ht="15.75" customHeight="1">
      <c r="B1380" s="3" t="s">
        <v>831</v>
      </c>
      <c r="C1380" s="2">
        <v>152.196</v>
      </c>
      <c r="D1380" s="6">
        <f t="shared" si="2"/>
        <v>209436.885</v>
      </c>
      <c r="E1380" s="5">
        <f t="shared" si="1"/>
        <v>0.0007269556486</v>
      </c>
    </row>
    <row r="1381" ht="15.75" customHeight="1">
      <c r="B1381" s="3" t="s">
        <v>832</v>
      </c>
      <c r="C1381" s="2">
        <v>125.347</v>
      </c>
      <c r="D1381" s="6">
        <f t="shared" si="2"/>
        <v>209562.232</v>
      </c>
      <c r="E1381" s="5">
        <f t="shared" si="1"/>
        <v>0.0005983163145</v>
      </c>
    </row>
    <row r="1382" ht="15.75" customHeight="1">
      <c r="B1382" s="3" t="s">
        <v>833</v>
      </c>
      <c r="C1382" s="2">
        <v>447.611</v>
      </c>
      <c r="D1382" s="6">
        <f t="shared" si="2"/>
        <v>210009.843</v>
      </c>
      <c r="E1382" s="5">
        <f t="shared" si="1"/>
        <v>0.002133655677</v>
      </c>
    </row>
    <row r="1383" ht="15.75" customHeight="1">
      <c r="B1383" s="3" t="s">
        <v>834</v>
      </c>
      <c r="C1383" s="2">
        <v>165.55</v>
      </c>
      <c r="D1383" s="6">
        <f t="shared" si="2"/>
        <v>210175.393</v>
      </c>
      <c r="E1383" s="5">
        <f t="shared" si="1"/>
        <v>0.0007879858423</v>
      </c>
    </row>
    <row r="1384" ht="15.75" customHeight="1">
      <c r="B1384" s="3" t="s">
        <v>835</v>
      </c>
      <c r="C1384" s="2">
        <v>1249.752</v>
      </c>
      <c r="D1384" s="6">
        <f t="shared" si="2"/>
        <v>211425.145</v>
      </c>
      <c r="E1384" s="5">
        <f t="shared" si="1"/>
        <v>0.0059286246</v>
      </c>
    </row>
    <row r="1385" ht="15.75" customHeight="1">
      <c r="B1385" s="3" t="s">
        <v>836</v>
      </c>
      <c r="C1385" s="2">
        <v>2584.199</v>
      </c>
      <c r="D1385" s="6">
        <f t="shared" si="2"/>
        <v>214009.344</v>
      </c>
      <c r="E1385" s="5">
        <f t="shared" si="1"/>
        <v>0.01214866613</v>
      </c>
    </row>
    <row r="1386" ht="15.75" customHeight="1">
      <c r="B1386" s="3" t="s">
        <v>837</v>
      </c>
      <c r="C1386" s="2">
        <v>3008.603</v>
      </c>
      <c r="D1386" s="6">
        <f t="shared" si="2"/>
        <v>217017.947</v>
      </c>
      <c r="E1386" s="5">
        <f t="shared" si="1"/>
        <v>0.01396037757</v>
      </c>
    </row>
    <row r="1387" ht="15.75" customHeight="1">
      <c r="B1387" s="3">
        <v>44992.0</v>
      </c>
      <c r="C1387" s="2">
        <v>20.371</v>
      </c>
      <c r="D1387" s="6">
        <f t="shared" si="2"/>
        <v>217038.318</v>
      </c>
      <c r="E1387" s="5">
        <f t="shared" si="1"/>
        <v>0.00009386340739</v>
      </c>
    </row>
    <row r="1388" ht="15.75" customHeight="1">
      <c r="B1388" s="3">
        <v>45053.0</v>
      </c>
      <c r="C1388" s="2">
        <v>-247.852</v>
      </c>
      <c r="D1388" s="6">
        <f t="shared" si="2"/>
        <v>216790.466</v>
      </c>
      <c r="E1388" s="5">
        <f t="shared" si="1"/>
        <v>-0.001142626013</v>
      </c>
    </row>
    <row r="1389" ht="15.75" customHeight="1">
      <c r="B1389" s="3">
        <v>45084.0</v>
      </c>
      <c r="C1389" s="2">
        <v>240.013</v>
      </c>
      <c r="D1389" s="6">
        <f t="shared" si="2"/>
        <v>217030.479</v>
      </c>
      <c r="E1389" s="5">
        <f t="shared" si="1"/>
        <v>0.001106507315</v>
      </c>
    </row>
    <row r="1390" ht="15.75" customHeight="1">
      <c r="B1390" s="3">
        <v>45114.0</v>
      </c>
      <c r="C1390" s="2">
        <v>201.011</v>
      </c>
      <c r="D1390" s="6">
        <f t="shared" si="2"/>
        <v>217231.49</v>
      </c>
      <c r="E1390" s="5">
        <f t="shared" si="1"/>
        <v>0.0009257592362</v>
      </c>
    </row>
    <row r="1391" ht="15.75" customHeight="1">
      <c r="B1391" s="3">
        <v>45206.0</v>
      </c>
      <c r="C1391" s="2">
        <v>104.215</v>
      </c>
      <c r="D1391" s="6">
        <f t="shared" si="2"/>
        <v>217335.705</v>
      </c>
      <c r="E1391" s="5">
        <f t="shared" si="1"/>
        <v>0.0004796266409</v>
      </c>
    </row>
    <row r="1392" ht="15.75" customHeight="1">
      <c r="B1392" s="3">
        <v>45237.0</v>
      </c>
      <c r="C1392" s="2">
        <v>34.38</v>
      </c>
      <c r="D1392" s="6">
        <f t="shared" si="2"/>
        <v>217370.085</v>
      </c>
      <c r="E1392" s="5">
        <f t="shared" si="1"/>
        <v>0.0001581759473</v>
      </c>
    </row>
    <row r="1393" ht="15.75" customHeight="1">
      <c r="B1393" s="3">
        <v>45267.0</v>
      </c>
      <c r="C1393" s="2">
        <v>308.918</v>
      </c>
      <c r="D1393" s="6">
        <f t="shared" si="2"/>
        <v>217679.003</v>
      </c>
      <c r="E1393" s="5">
        <f t="shared" si="1"/>
        <v>0.001420152624</v>
      </c>
    </row>
    <row r="1394" ht="15.75" customHeight="1">
      <c r="B1394" s="3" t="s">
        <v>838</v>
      </c>
      <c r="C1394" s="2">
        <v>89.467</v>
      </c>
      <c r="D1394" s="6">
        <f t="shared" si="2"/>
        <v>217768.47</v>
      </c>
      <c r="E1394" s="5">
        <f t="shared" si="1"/>
        <v>0.0004109198322</v>
      </c>
    </row>
    <row r="1395" ht="15.75" customHeight="1">
      <c r="B1395" s="3" t="s">
        <v>839</v>
      </c>
      <c r="C1395" s="2">
        <v>392.237</v>
      </c>
      <c r="D1395" s="6">
        <f t="shared" si="2"/>
        <v>218160.707</v>
      </c>
      <c r="E1395" s="5">
        <f t="shared" si="1"/>
        <v>0.001799545094</v>
      </c>
    </row>
    <row r="1396" ht="15.75" customHeight="1">
      <c r="B1396" s="3" t="s">
        <v>840</v>
      </c>
      <c r="C1396" s="2">
        <v>1677.985</v>
      </c>
      <c r="D1396" s="6">
        <f t="shared" si="2"/>
        <v>219838.692</v>
      </c>
      <c r="E1396" s="5">
        <f t="shared" si="1"/>
        <v>0.007662079962</v>
      </c>
    </row>
    <row r="1397" ht="15.75" customHeight="1">
      <c r="B1397" s="3" t="s">
        <v>841</v>
      </c>
      <c r="C1397" s="2">
        <v>189.141</v>
      </c>
      <c r="D1397" s="6">
        <f t="shared" si="2"/>
        <v>220027.833</v>
      </c>
      <c r="E1397" s="5">
        <f t="shared" si="1"/>
        <v>0.0008599927519</v>
      </c>
    </row>
    <row r="1398" ht="15.75" customHeight="1">
      <c r="B1398" s="3" t="s">
        <v>842</v>
      </c>
      <c r="C1398" s="2">
        <v>-1495.667</v>
      </c>
      <c r="D1398" s="6">
        <f t="shared" si="2"/>
        <v>218532.166</v>
      </c>
      <c r="E1398" s="5">
        <f t="shared" si="1"/>
        <v>-0.006820835471</v>
      </c>
    </row>
    <row r="1399" ht="15.75" customHeight="1">
      <c r="B1399" s="3" t="s">
        <v>843</v>
      </c>
      <c r="C1399" s="2">
        <v>254.991</v>
      </c>
      <c r="D1399" s="6">
        <f t="shared" si="2"/>
        <v>218787.157</v>
      </c>
      <c r="E1399" s="5">
        <f t="shared" si="1"/>
        <v>0.001166154869</v>
      </c>
    </row>
    <row r="1400" ht="15.75" customHeight="1">
      <c r="B1400" s="3" t="s">
        <v>844</v>
      </c>
      <c r="C1400" s="2">
        <v>334.607</v>
      </c>
      <c r="D1400" s="6">
        <f t="shared" si="2"/>
        <v>219121.764</v>
      </c>
      <c r="E1400" s="5">
        <f t="shared" si="1"/>
        <v>0.001528203921</v>
      </c>
    </row>
    <row r="1401" ht="15.75" customHeight="1">
      <c r="B1401" s="3" t="s">
        <v>845</v>
      </c>
      <c r="C1401" s="2">
        <v>91.159</v>
      </c>
      <c r="D1401" s="6">
        <f t="shared" si="2"/>
        <v>219212.923</v>
      </c>
      <c r="E1401" s="5">
        <f t="shared" si="1"/>
        <v>0.0004159333223</v>
      </c>
    </row>
    <row r="1402" ht="15.75" customHeight="1">
      <c r="B1402" s="3" t="s">
        <v>846</v>
      </c>
      <c r="C1402" s="2">
        <v>266.956</v>
      </c>
      <c r="D1402" s="6">
        <f t="shared" si="2"/>
        <v>219479.879</v>
      </c>
      <c r="E1402" s="5">
        <f t="shared" si="1"/>
        <v>0.00121705226</v>
      </c>
    </row>
    <row r="1403" ht="15.75" customHeight="1">
      <c r="B1403" s="3" t="s">
        <v>847</v>
      </c>
      <c r="C1403" s="2">
        <v>650.782</v>
      </c>
      <c r="D1403" s="6">
        <f t="shared" si="2"/>
        <v>220130.661</v>
      </c>
      <c r="E1403" s="5">
        <f t="shared" si="1"/>
        <v>0.002960722804</v>
      </c>
    </row>
    <row r="1404" ht="15.75" customHeight="1">
      <c r="B1404" s="3" t="s">
        <v>848</v>
      </c>
      <c r="C1404" s="2">
        <v>589.994</v>
      </c>
      <c r="D1404" s="6">
        <f t="shared" si="2"/>
        <v>220720.655</v>
      </c>
      <c r="E1404" s="5">
        <f t="shared" si="1"/>
        <v>0.002676613774</v>
      </c>
    </row>
    <row r="1405" ht="15.75" customHeight="1">
      <c r="B1405" s="3" t="s">
        <v>849</v>
      </c>
      <c r="C1405" s="2">
        <v>244.343</v>
      </c>
      <c r="D1405" s="6">
        <f t="shared" si="2"/>
        <v>220964.998</v>
      </c>
      <c r="E1405" s="5">
        <f t="shared" si="1"/>
        <v>0.001106411418</v>
      </c>
    </row>
    <row r="1406" ht="15.75" customHeight="1">
      <c r="B1406" s="3" t="s">
        <v>850</v>
      </c>
      <c r="C1406" s="2">
        <v>78.45</v>
      </c>
      <c r="D1406" s="6">
        <f t="shared" si="2"/>
        <v>221043.448</v>
      </c>
      <c r="E1406" s="5">
        <f t="shared" si="1"/>
        <v>0.0003549705963</v>
      </c>
    </row>
    <row r="1407" ht="15.75" customHeight="1">
      <c r="B1407" s="3">
        <v>44934.0</v>
      </c>
      <c r="C1407" s="2">
        <v>343.558</v>
      </c>
      <c r="D1407" s="6">
        <f t="shared" si="2"/>
        <v>221387.006</v>
      </c>
      <c r="E1407" s="5">
        <f t="shared" si="1"/>
        <v>0.001553048919</v>
      </c>
    </row>
    <row r="1408" ht="15.75" customHeight="1">
      <c r="B1408" s="3">
        <v>44965.0</v>
      </c>
      <c r="C1408" s="2">
        <v>116.818</v>
      </c>
      <c r="D1408" s="6">
        <f t="shared" si="2"/>
        <v>221503.824</v>
      </c>
      <c r="E1408" s="5">
        <f t="shared" si="1"/>
        <v>0.0005275250459</v>
      </c>
    </row>
    <row r="1409" ht="15.75" customHeight="1">
      <c r="B1409" s="3">
        <v>44993.0</v>
      </c>
      <c r="C1409" s="2">
        <v>27.467</v>
      </c>
      <c r="D1409" s="6">
        <f t="shared" si="2"/>
        <v>221531.291</v>
      </c>
      <c r="E1409" s="5">
        <f t="shared" si="1"/>
        <v>0.0001239946862</v>
      </c>
    </row>
    <row r="1410" ht="15.75" customHeight="1">
      <c r="B1410" s="3">
        <v>45024.0</v>
      </c>
      <c r="C1410" s="2">
        <v>101.198</v>
      </c>
      <c r="D1410" s="6">
        <f t="shared" si="2"/>
        <v>221632.489</v>
      </c>
      <c r="E1410" s="5">
        <f t="shared" si="1"/>
        <v>0.0004567070069</v>
      </c>
    </row>
    <row r="1411" ht="15.75" customHeight="1">
      <c r="B1411" s="3">
        <v>45115.0</v>
      </c>
      <c r="C1411" s="2">
        <v>147.521</v>
      </c>
      <c r="D1411" s="6">
        <f t="shared" si="2"/>
        <v>221780.01</v>
      </c>
      <c r="E1411" s="5">
        <f t="shared" si="1"/>
        <v>0.0006653894772</v>
      </c>
    </row>
    <row r="1412" ht="15.75" customHeight="1">
      <c r="B1412" s="3">
        <v>45146.0</v>
      </c>
      <c r="C1412" s="2">
        <v>-203.581</v>
      </c>
      <c r="D1412" s="6">
        <f t="shared" si="2"/>
        <v>221576.429</v>
      </c>
      <c r="E1412" s="5">
        <f t="shared" si="1"/>
        <v>-0.0009183627276</v>
      </c>
    </row>
    <row r="1413" ht="15.75" customHeight="1">
      <c r="B1413" s="3">
        <v>45177.0</v>
      </c>
      <c r="C1413" s="2">
        <v>353.034</v>
      </c>
      <c r="D1413" s="6">
        <f t="shared" si="2"/>
        <v>221929.463</v>
      </c>
      <c r="E1413" s="5">
        <f t="shared" si="1"/>
        <v>0.001592015263</v>
      </c>
    </row>
    <row r="1414" ht="15.75" customHeight="1">
      <c r="B1414" s="3">
        <v>45207.0</v>
      </c>
      <c r="C1414" s="2">
        <v>23.348</v>
      </c>
      <c r="D1414" s="6">
        <f t="shared" si="2"/>
        <v>221952.811</v>
      </c>
      <c r="E1414" s="5">
        <f t="shared" si="1"/>
        <v>0.0001051990647</v>
      </c>
    </row>
    <row r="1415" ht="15.75" customHeight="1">
      <c r="B1415" s="3">
        <v>45238.0</v>
      </c>
      <c r="C1415" s="2">
        <v>-58.2</v>
      </c>
      <c r="D1415" s="6">
        <f t="shared" si="2"/>
        <v>221894.611</v>
      </c>
      <c r="E1415" s="5">
        <f t="shared" si="1"/>
        <v>-0.0002622522851</v>
      </c>
    </row>
    <row r="1416" ht="15.75" customHeight="1">
      <c r="B1416" s="3" t="s">
        <v>851</v>
      </c>
      <c r="C1416" s="2">
        <v>109.896</v>
      </c>
      <c r="D1416" s="6">
        <f t="shared" si="2"/>
        <v>222004.507</v>
      </c>
      <c r="E1416" s="5">
        <f t="shared" si="1"/>
        <v>0.0004951395386</v>
      </c>
    </row>
    <row r="1417" ht="15.75" customHeight="1">
      <c r="B1417" s="3" t="s">
        <v>852</v>
      </c>
      <c r="C1417" s="2">
        <v>211.351</v>
      </c>
      <c r="D1417" s="6">
        <f t="shared" si="2"/>
        <v>222215.858</v>
      </c>
      <c r="E1417" s="5">
        <f t="shared" si="1"/>
        <v>0.0009515593278</v>
      </c>
    </row>
    <row r="1418" ht="15.75" customHeight="1">
      <c r="B1418" s="3" t="s">
        <v>853</v>
      </c>
      <c r="C1418" s="2">
        <v>363.776</v>
      </c>
      <c r="D1418" s="6">
        <f t="shared" si="2"/>
        <v>222579.634</v>
      </c>
      <c r="E1418" s="5">
        <f t="shared" si="1"/>
        <v>0.001635700396</v>
      </c>
    </row>
    <row r="1419" ht="15.75" customHeight="1">
      <c r="B1419" s="3" t="s">
        <v>854</v>
      </c>
      <c r="C1419" s="2">
        <v>103.177</v>
      </c>
      <c r="D1419" s="6">
        <f t="shared" si="2"/>
        <v>222682.811</v>
      </c>
      <c r="E1419" s="5">
        <f t="shared" si="1"/>
        <v>0.0004634435399</v>
      </c>
    </row>
    <row r="1420" ht="15.75" customHeight="1">
      <c r="B1420" s="3" t="s">
        <v>855</v>
      </c>
      <c r="C1420" s="2">
        <v>-137.08</v>
      </c>
      <c r="D1420" s="6">
        <f t="shared" si="2"/>
        <v>222545.731</v>
      </c>
      <c r="E1420" s="5">
        <f t="shared" si="1"/>
        <v>-0.0006157736596</v>
      </c>
    </row>
    <row r="1421" ht="15.75" customHeight="1">
      <c r="B1421" s="3" t="s">
        <v>856</v>
      </c>
      <c r="C1421" s="2">
        <v>-601.438</v>
      </c>
      <c r="D1421" s="6">
        <f t="shared" si="2"/>
        <v>221944.293</v>
      </c>
      <c r="E1421" s="5">
        <f t="shared" si="1"/>
        <v>-0.002706195121</v>
      </c>
    </row>
    <row r="1422" ht="15.75" customHeight="1">
      <c r="B1422" s="3" t="s">
        <v>857</v>
      </c>
      <c r="C1422" s="2">
        <v>-23.494</v>
      </c>
      <c r="D1422" s="6">
        <f t="shared" si="2"/>
        <v>221920.799</v>
      </c>
      <c r="E1422" s="5">
        <f t="shared" si="1"/>
        <v>-0.0001058609945</v>
      </c>
    </row>
    <row r="1423" ht="15.75" customHeight="1">
      <c r="B1423" s="3" t="s">
        <v>858</v>
      </c>
      <c r="C1423" s="2">
        <v>37.544</v>
      </c>
      <c r="D1423" s="6">
        <f t="shared" si="2"/>
        <v>221958.343</v>
      </c>
      <c r="E1423" s="5">
        <f t="shared" si="1"/>
        <v>0.0001691631642</v>
      </c>
    </row>
    <row r="1424" ht="15.75" customHeight="1">
      <c r="B1424" s="3" t="s">
        <v>859</v>
      </c>
      <c r="C1424" s="2">
        <v>33.719</v>
      </c>
      <c r="D1424" s="6">
        <f t="shared" si="2"/>
        <v>221992.062</v>
      </c>
      <c r="E1424" s="5">
        <f t="shared" si="1"/>
        <v>0.0001519043555</v>
      </c>
    </row>
    <row r="1425" ht="15.75" customHeight="1">
      <c r="B1425" s="3" t="s">
        <v>860</v>
      </c>
      <c r="C1425" s="2">
        <v>305.462</v>
      </c>
      <c r="D1425" s="6">
        <f t="shared" si="2"/>
        <v>222297.524</v>
      </c>
      <c r="E1425" s="5">
        <f t="shared" si="1"/>
        <v>0.00137505833</v>
      </c>
    </row>
    <row r="1426" ht="15.75" customHeight="1">
      <c r="B1426" s="3" t="s">
        <v>861</v>
      </c>
      <c r="C1426" s="2">
        <v>116.752</v>
      </c>
      <c r="D1426" s="6">
        <f t="shared" si="2"/>
        <v>222414.276</v>
      </c>
      <c r="E1426" s="5">
        <f t="shared" si="1"/>
        <v>0.0005250681573</v>
      </c>
    </row>
    <row r="1427" ht="15.75" customHeight="1">
      <c r="B1427" s="3" t="s">
        <v>862</v>
      </c>
      <c r="C1427" s="2">
        <v>287.304</v>
      </c>
      <c r="D1427" s="6">
        <f t="shared" si="2"/>
        <v>222701.58</v>
      </c>
      <c r="E1427" s="5">
        <f t="shared" si="1"/>
        <v>0.001290918021</v>
      </c>
    </row>
    <row r="1428" ht="15.75" customHeight="1">
      <c r="B1428" s="3" t="s">
        <v>863</v>
      </c>
      <c r="C1428" s="2">
        <v>270.222</v>
      </c>
      <c r="D1428" s="6">
        <f t="shared" si="2"/>
        <v>222971.802</v>
      </c>
      <c r="E1428" s="5">
        <f t="shared" si="1"/>
        <v>0.00121264605</v>
      </c>
    </row>
    <row r="1429" ht="15.75" customHeight="1">
      <c r="B1429" s="3" t="s">
        <v>864</v>
      </c>
      <c r="C1429" s="2">
        <v>507.112</v>
      </c>
      <c r="D1429" s="6">
        <f t="shared" si="2"/>
        <v>223478.914</v>
      </c>
      <c r="E1429" s="5">
        <f t="shared" si="1"/>
        <v>0.00227175005</v>
      </c>
    </row>
    <row r="1430" ht="15.75" customHeight="1">
      <c r="B1430" s="3">
        <v>44935.0</v>
      </c>
      <c r="C1430" s="2">
        <v>2233.382</v>
      </c>
      <c r="D1430" s="6">
        <f t="shared" si="2"/>
        <v>225712.296</v>
      </c>
      <c r="E1430" s="5">
        <f t="shared" si="1"/>
        <v>0.009944096653</v>
      </c>
    </row>
    <row r="1431" ht="15.75" customHeight="1">
      <c r="B1431" s="3">
        <v>45055.0</v>
      </c>
      <c r="C1431" s="2">
        <v>193.276</v>
      </c>
      <c r="D1431" s="6">
        <f t="shared" si="2"/>
        <v>225905.572</v>
      </c>
      <c r="E1431" s="5">
        <f t="shared" si="1"/>
        <v>0.0008559272141</v>
      </c>
    </row>
    <row r="1432" ht="15.75" customHeight="1">
      <c r="B1432" s="3">
        <v>45086.0</v>
      </c>
      <c r="C1432" s="2">
        <v>675.173</v>
      </c>
      <c r="D1432" s="6">
        <f t="shared" si="2"/>
        <v>226580.745</v>
      </c>
      <c r="E1432" s="5">
        <f t="shared" si="1"/>
        <v>0.002984282511</v>
      </c>
    </row>
    <row r="1433" ht="15.75" customHeight="1">
      <c r="B1433" s="3">
        <v>45116.0</v>
      </c>
      <c r="C1433" s="2">
        <v>386.944</v>
      </c>
      <c r="D1433" s="6">
        <f t="shared" si="2"/>
        <v>226967.689</v>
      </c>
      <c r="E1433" s="5">
        <f t="shared" si="1"/>
        <v>0.001706296681</v>
      </c>
    </row>
    <row r="1434" ht="15.75" customHeight="1">
      <c r="B1434" s="3">
        <v>45147.0</v>
      </c>
      <c r="C1434" s="2">
        <v>36.514</v>
      </c>
      <c r="D1434" s="6">
        <f t="shared" si="2"/>
        <v>227004.203</v>
      </c>
      <c r="E1434" s="5">
        <f t="shared" si="1"/>
        <v>0.0001608645853</v>
      </c>
    </row>
    <row r="1435" ht="15.75" customHeight="1">
      <c r="B1435" s="3">
        <v>45239.0</v>
      </c>
      <c r="C1435" s="2">
        <v>274.516</v>
      </c>
      <c r="D1435" s="6">
        <f t="shared" si="2"/>
        <v>227278.719</v>
      </c>
      <c r="E1435" s="5">
        <f t="shared" si="1"/>
        <v>0.001208568582</v>
      </c>
    </row>
    <row r="1436" ht="15.75" customHeight="1">
      <c r="B1436" s="3">
        <v>45269.0</v>
      </c>
      <c r="C1436" s="2">
        <v>-1239.929</v>
      </c>
      <c r="D1436" s="6">
        <f t="shared" si="2"/>
        <v>226038.79</v>
      </c>
      <c r="E1436" s="5">
        <f t="shared" si="1"/>
        <v>-0.005470479598</v>
      </c>
    </row>
    <row r="1437" ht="15.75" customHeight="1">
      <c r="B1437" s="3" t="s">
        <v>865</v>
      </c>
      <c r="C1437" s="2">
        <v>-1857.71</v>
      </c>
      <c r="D1437" s="6">
        <f t="shared" si="2"/>
        <v>224181.08</v>
      </c>
      <c r="E1437" s="5">
        <f t="shared" si="1"/>
        <v>-0.008252503574</v>
      </c>
    </row>
    <row r="1438" ht="15.75" customHeight="1">
      <c r="B1438" s="3" t="s">
        <v>866</v>
      </c>
      <c r="C1438" s="2">
        <v>1326.211</v>
      </c>
      <c r="D1438" s="6">
        <f t="shared" si="2"/>
        <v>225507.291</v>
      </c>
      <c r="E1438" s="5">
        <f t="shared" si="1"/>
        <v>0.005898372876</v>
      </c>
    </row>
    <row r="1439" ht="15.75" customHeight="1">
      <c r="B1439" s="3" t="s">
        <v>867</v>
      </c>
      <c r="C1439" s="2">
        <v>221.166</v>
      </c>
      <c r="D1439" s="6">
        <f t="shared" si="2"/>
        <v>225728.457</v>
      </c>
      <c r="E1439" s="5">
        <f t="shared" si="1"/>
        <v>0.0009802681578</v>
      </c>
    </row>
    <row r="1440" ht="15.75" customHeight="1">
      <c r="B1440" s="3" t="s">
        <v>868</v>
      </c>
      <c r="C1440" s="2">
        <v>-1029.64</v>
      </c>
      <c r="D1440" s="6">
        <f t="shared" si="2"/>
        <v>224698.817</v>
      </c>
      <c r="E1440" s="5">
        <f t="shared" si="1"/>
        <v>-0.004571844792</v>
      </c>
    </row>
    <row r="1441" ht="15.75" customHeight="1">
      <c r="B1441" s="3" t="s">
        <v>869</v>
      </c>
      <c r="C1441" s="2">
        <v>270.201</v>
      </c>
      <c r="D1441" s="6">
        <f t="shared" si="2"/>
        <v>224969.018</v>
      </c>
      <c r="E1441" s="5">
        <f t="shared" si="1"/>
        <v>0.001201780566</v>
      </c>
    </row>
    <row r="1442" ht="15.75" customHeight="1">
      <c r="B1442" s="3" t="s">
        <v>870</v>
      </c>
      <c r="C1442" s="2">
        <v>394.294</v>
      </c>
      <c r="D1442" s="6">
        <f t="shared" si="2"/>
        <v>225363.312</v>
      </c>
      <c r="E1442" s="5">
        <f t="shared" si="1"/>
        <v>0.001751125</v>
      </c>
    </row>
    <row r="1443" ht="15.75" customHeight="1">
      <c r="B1443" s="3" t="s">
        <v>871</v>
      </c>
      <c r="C1443" s="2">
        <v>196.922</v>
      </c>
      <c r="D1443" s="6">
        <f t="shared" si="2"/>
        <v>225560.234</v>
      </c>
      <c r="E1443" s="5">
        <f t="shared" si="1"/>
        <v>0.0008734164107</v>
      </c>
    </row>
    <row r="1444" ht="15.75" customHeight="1">
      <c r="B1444" s="3" t="s">
        <v>872</v>
      </c>
      <c r="C1444" s="2">
        <v>473.577</v>
      </c>
      <c r="D1444" s="6">
        <f t="shared" si="2"/>
        <v>226033.811</v>
      </c>
      <c r="E1444" s="5">
        <f t="shared" si="1"/>
        <v>0.002097357921</v>
      </c>
    </row>
    <row r="1445" ht="15.75" customHeight="1">
      <c r="B1445" s="3" t="s">
        <v>873</v>
      </c>
      <c r="C1445" s="2">
        <v>-188.461</v>
      </c>
      <c r="D1445" s="6">
        <f t="shared" si="2"/>
        <v>225845.35</v>
      </c>
      <c r="E1445" s="5">
        <f t="shared" si="1"/>
        <v>-0.0008341212749</v>
      </c>
    </row>
    <row r="1446" ht="15.75" customHeight="1">
      <c r="B1446" s="3" t="s">
        <v>874</v>
      </c>
      <c r="C1446" s="2">
        <v>-26.275</v>
      </c>
      <c r="D1446" s="6">
        <f t="shared" si="2"/>
        <v>225819.075</v>
      </c>
      <c r="E1446" s="5">
        <f t="shared" si="1"/>
        <v>-0.000116347441</v>
      </c>
    </row>
    <row r="1447" ht="15.75" customHeight="1">
      <c r="B1447" s="3" t="s">
        <v>875</v>
      </c>
      <c r="C1447" s="2">
        <v>64.085</v>
      </c>
      <c r="D1447" s="6">
        <f t="shared" si="2"/>
        <v>225883.16</v>
      </c>
      <c r="E1447" s="5">
        <f t="shared" si="1"/>
        <v>0.0002837488747</v>
      </c>
    </row>
    <row r="1448" ht="15.75" customHeight="1">
      <c r="B1448" s="3" t="s">
        <v>876</v>
      </c>
      <c r="C1448" s="2">
        <v>585.003</v>
      </c>
      <c r="D1448" s="6">
        <f t="shared" si="2"/>
        <v>226468.163</v>
      </c>
      <c r="E1448" s="5">
        <f t="shared" si="1"/>
        <v>0.002586499901</v>
      </c>
    </row>
    <row r="1449" ht="15.75" customHeight="1">
      <c r="B1449" s="3" t="s">
        <v>877</v>
      </c>
      <c r="C1449" s="2">
        <v>-344.418</v>
      </c>
      <c r="D1449" s="6">
        <f t="shared" si="2"/>
        <v>226123.745</v>
      </c>
      <c r="E1449" s="5">
        <f t="shared" si="1"/>
        <v>-0.001521980665</v>
      </c>
    </row>
    <row r="1450" ht="15.75" customHeight="1">
      <c r="B1450" s="3">
        <v>44967.0</v>
      </c>
      <c r="C1450" s="2">
        <v>127.582</v>
      </c>
      <c r="D1450" s="6">
        <f t="shared" si="2"/>
        <v>226251.327</v>
      </c>
      <c r="E1450" s="5">
        <f t="shared" si="1"/>
        <v>0.0005640540838</v>
      </c>
    </row>
    <row r="1451" ht="15.75" customHeight="1">
      <c r="B1451" s="3">
        <v>44995.0</v>
      </c>
      <c r="C1451" s="2">
        <v>297.729</v>
      </c>
      <c r="D1451" s="6">
        <f t="shared" si="2"/>
        <v>226549.056</v>
      </c>
      <c r="E1451" s="5">
        <f t="shared" si="1"/>
        <v>0.001315056498</v>
      </c>
    </row>
    <row r="1452" ht="15.75" customHeight="1">
      <c r="B1452" s="3">
        <v>45026.0</v>
      </c>
      <c r="C1452" s="2">
        <v>1140.055</v>
      </c>
      <c r="D1452" s="6">
        <f t="shared" si="2"/>
        <v>227689.111</v>
      </c>
      <c r="E1452" s="5">
        <f t="shared" si="1"/>
        <v>0.005019645977</v>
      </c>
    </row>
    <row r="1453" ht="15.75" customHeight="1">
      <c r="B1453" s="3">
        <v>45056.0</v>
      </c>
      <c r="C1453" s="2">
        <v>307.184</v>
      </c>
      <c r="D1453" s="6">
        <f t="shared" si="2"/>
        <v>227996.295</v>
      </c>
      <c r="E1453" s="5">
        <f t="shared" si="1"/>
        <v>0.001348228591</v>
      </c>
    </row>
    <row r="1454" ht="15.75" customHeight="1">
      <c r="B1454" s="3">
        <v>45087.0</v>
      </c>
      <c r="C1454" s="2">
        <v>188.2</v>
      </c>
      <c r="D1454" s="6">
        <f t="shared" si="2"/>
        <v>228184.495</v>
      </c>
      <c r="E1454" s="5">
        <f t="shared" si="1"/>
        <v>0.0008251115119</v>
      </c>
    </row>
    <row r="1455" ht="15.75" customHeight="1">
      <c r="B1455" s="3">
        <v>45179.0</v>
      </c>
      <c r="C1455" s="2">
        <v>248.669</v>
      </c>
      <c r="D1455" s="6">
        <f t="shared" si="2"/>
        <v>228433.164</v>
      </c>
      <c r="E1455" s="5">
        <f t="shared" si="1"/>
        <v>0.001089178308</v>
      </c>
    </row>
    <row r="1456" ht="15.75" customHeight="1">
      <c r="B1456" s="3">
        <v>45209.0</v>
      </c>
      <c r="C1456" s="2">
        <v>-17.372</v>
      </c>
      <c r="D1456" s="6">
        <f t="shared" si="2"/>
        <v>228415.792</v>
      </c>
      <c r="E1456" s="5">
        <f t="shared" si="1"/>
        <v>-0.00007605139414</v>
      </c>
    </row>
    <row r="1457" ht="15.75" customHeight="1">
      <c r="B1457" s="3">
        <v>45240.0</v>
      </c>
      <c r="C1457" s="2">
        <v>214.707</v>
      </c>
      <c r="D1457" s="6">
        <f t="shared" si="2"/>
        <v>228630.499</v>
      </c>
      <c r="E1457" s="5">
        <f t="shared" si="1"/>
        <v>0.0009395416614</v>
      </c>
    </row>
    <row r="1458" ht="15.75" customHeight="1">
      <c r="B1458" s="3">
        <v>45270.0</v>
      </c>
      <c r="C1458" s="2">
        <v>-166.259</v>
      </c>
      <c r="D1458" s="6">
        <f t="shared" si="2"/>
        <v>228464.24</v>
      </c>
      <c r="E1458" s="5">
        <f t="shared" si="1"/>
        <v>-0.0007274597284</v>
      </c>
    </row>
    <row r="1459" ht="15.75" customHeight="1">
      <c r="B1459" s="3" t="s">
        <v>878</v>
      </c>
      <c r="C1459" s="2">
        <v>1657.373</v>
      </c>
      <c r="D1459" s="6">
        <f t="shared" si="2"/>
        <v>230121.613</v>
      </c>
      <c r="E1459" s="5">
        <f t="shared" si="1"/>
        <v>0.007228222176</v>
      </c>
    </row>
    <row r="1460" ht="15.75" customHeight="1">
      <c r="B1460" s="3" t="s">
        <v>879</v>
      </c>
      <c r="C1460" s="2">
        <v>-1425.409</v>
      </c>
      <c r="D1460" s="6">
        <f t="shared" si="2"/>
        <v>228696.204</v>
      </c>
      <c r="E1460" s="5">
        <f t="shared" si="1"/>
        <v>-0.006213418629</v>
      </c>
    </row>
    <row r="1461" ht="15.75" customHeight="1">
      <c r="B1461" s="3" t="s">
        <v>880</v>
      </c>
      <c r="C1461" s="2">
        <v>-14.716</v>
      </c>
      <c r="D1461" s="6">
        <f t="shared" si="2"/>
        <v>228681.488</v>
      </c>
      <c r="E1461" s="5">
        <f t="shared" si="1"/>
        <v>-0.00006434944363</v>
      </c>
    </row>
    <row r="1462" ht="15.75" customHeight="1">
      <c r="B1462" s="3" t="s">
        <v>881</v>
      </c>
      <c r="C1462" s="2">
        <v>95.144</v>
      </c>
      <c r="D1462" s="6">
        <f t="shared" si="2"/>
        <v>228776.632</v>
      </c>
      <c r="E1462" s="5">
        <f t="shared" si="1"/>
        <v>0.0004159681388</v>
      </c>
    </row>
    <row r="1463" ht="15.75" customHeight="1">
      <c r="B1463" s="3" t="s">
        <v>882</v>
      </c>
      <c r="C1463" s="2">
        <v>-433.115</v>
      </c>
      <c r="D1463" s="6">
        <f t="shared" si="2"/>
        <v>228343.517</v>
      </c>
      <c r="E1463" s="5">
        <f t="shared" si="1"/>
        <v>-0.001894972823</v>
      </c>
    </row>
    <row r="1464" ht="15.75" customHeight="1">
      <c r="B1464" s="3" t="s">
        <v>883</v>
      </c>
      <c r="C1464" s="2">
        <v>-144.877</v>
      </c>
      <c r="D1464" s="6">
        <f t="shared" si="2"/>
        <v>228198.64</v>
      </c>
      <c r="E1464" s="5">
        <f t="shared" si="1"/>
        <v>-0.0006346708738</v>
      </c>
    </row>
    <row r="1465" ht="15.75" customHeight="1">
      <c r="B1465" s="3" t="s">
        <v>884</v>
      </c>
      <c r="C1465" s="2">
        <v>27.265</v>
      </c>
      <c r="D1465" s="6">
        <f t="shared" si="2"/>
        <v>228225.905</v>
      </c>
      <c r="E1465" s="5">
        <f t="shared" si="1"/>
        <v>0.0001194721026</v>
      </c>
    </row>
    <row r="1466" ht="15.75" customHeight="1">
      <c r="B1466" s="3" t="s">
        <v>885</v>
      </c>
      <c r="C1466" s="2">
        <v>135.411</v>
      </c>
      <c r="D1466" s="6">
        <f t="shared" si="2"/>
        <v>228361.316</v>
      </c>
      <c r="E1466" s="5">
        <f t="shared" si="1"/>
        <v>0.0005931440818</v>
      </c>
    </row>
    <row r="1467" ht="15.75" customHeight="1">
      <c r="B1467" s="3" t="s">
        <v>886</v>
      </c>
      <c r="C1467" s="2">
        <v>-91.242</v>
      </c>
      <c r="D1467" s="6">
        <f t="shared" si="2"/>
        <v>228270.074</v>
      </c>
      <c r="E1467" s="5">
        <f t="shared" si="1"/>
        <v>-0.0003996308761</v>
      </c>
    </row>
    <row r="1468" ht="15.75" customHeight="1">
      <c r="B1468" s="3" t="s">
        <v>887</v>
      </c>
      <c r="C1468" s="2">
        <v>301.373</v>
      </c>
      <c r="D1468" s="6">
        <f t="shared" si="2"/>
        <v>228571.447</v>
      </c>
      <c r="E1468" s="5">
        <f t="shared" si="1"/>
        <v>0.001319376764</v>
      </c>
    </row>
    <row r="1469" ht="15.75" customHeight="1">
      <c r="B1469" s="3" t="s">
        <v>888</v>
      </c>
      <c r="C1469" s="2">
        <v>126.21</v>
      </c>
      <c r="D1469" s="6">
        <f t="shared" si="2"/>
        <v>228697.657</v>
      </c>
      <c r="E1469" s="5">
        <f t="shared" si="1"/>
        <v>0.0005520163164</v>
      </c>
    </row>
    <row r="1470" ht="15.75" customHeight="1">
      <c r="B1470" s="3" t="s">
        <v>889</v>
      </c>
      <c r="C1470" s="2">
        <v>45.112</v>
      </c>
      <c r="D1470" s="6">
        <f t="shared" si="2"/>
        <v>228742.769</v>
      </c>
      <c r="E1470" s="5">
        <f t="shared" si="1"/>
        <v>0.000197236613</v>
      </c>
    </row>
    <row r="1471" ht="15.75" customHeight="1">
      <c r="B1471" s="3" t="s">
        <v>890</v>
      </c>
      <c r="C1471" s="2">
        <v>142.639</v>
      </c>
      <c r="D1471" s="6">
        <f t="shared" si="2"/>
        <v>228885.408</v>
      </c>
      <c r="E1471" s="5">
        <f t="shared" si="1"/>
        <v>0.0006233838377</v>
      </c>
    </row>
    <row r="1472" ht="15.75" customHeight="1">
      <c r="B1472" s="3">
        <v>44937.0</v>
      </c>
      <c r="C1472" s="2">
        <v>592.848</v>
      </c>
      <c r="D1472" s="6">
        <f t="shared" si="2"/>
        <v>229478.256</v>
      </c>
      <c r="E1472" s="5">
        <f t="shared" si="1"/>
        <v>0.002586803349</v>
      </c>
    </row>
    <row r="1473" ht="15.75" customHeight="1">
      <c r="B1473" s="3">
        <v>44968.0</v>
      </c>
      <c r="C1473" s="2">
        <v>399.882</v>
      </c>
      <c r="D1473" s="6">
        <f t="shared" si="2"/>
        <v>229878.138</v>
      </c>
      <c r="E1473" s="5">
        <f t="shared" si="1"/>
        <v>0.001741053815</v>
      </c>
    </row>
    <row r="1474" ht="15.75" customHeight="1">
      <c r="B1474" s="3">
        <v>44996.0</v>
      </c>
      <c r="C1474" s="2">
        <v>612.042</v>
      </c>
      <c r="D1474" s="6">
        <f t="shared" si="2"/>
        <v>230490.18</v>
      </c>
      <c r="E1474" s="5">
        <f t="shared" si="1"/>
        <v>0.002658924764</v>
      </c>
    </row>
    <row r="1475" ht="15.75" customHeight="1">
      <c r="B1475" s="3">
        <v>45088.0</v>
      </c>
      <c r="C1475" s="2">
        <v>833.852</v>
      </c>
      <c r="D1475" s="6">
        <f t="shared" si="2"/>
        <v>231324.032</v>
      </c>
      <c r="E1475" s="5">
        <f t="shared" si="1"/>
        <v>0.003611205045</v>
      </c>
    </row>
    <row r="1476" ht="15.75" customHeight="1">
      <c r="B1476" s="3">
        <v>45118.0</v>
      </c>
      <c r="C1476" s="2">
        <v>494.306</v>
      </c>
      <c r="D1476" s="6">
        <f t="shared" si="2"/>
        <v>231818.338</v>
      </c>
      <c r="E1476" s="5">
        <f t="shared" si="1"/>
        <v>0.002134575542</v>
      </c>
    </row>
    <row r="1477" ht="15.75" customHeight="1">
      <c r="B1477" s="3">
        <v>45149.0</v>
      </c>
      <c r="C1477" s="2">
        <v>143.785</v>
      </c>
      <c r="D1477" s="6">
        <f t="shared" si="2"/>
        <v>231962.123</v>
      </c>
      <c r="E1477" s="5">
        <f t="shared" si="1"/>
        <v>0.0006200563271</v>
      </c>
    </row>
    <row r="1478" ht="15.75" customHeight="1">
      <c r="B1478" s="3">
        <v>45180.0</v>
      </c>
      <c r="C1478" s="2">
        <v>97.717</v>
      </c>
      <c r="D1478" s="6">
        <f t="shared" si="2"/>
        <v>232059.84</v>
      </c>
      <c r="E1478" s="5">
        <f t="shared" si="1"/>
        <v>0.0004211740359</v>
      </c>
    </row>
    <row r="1479" ht="15.75" customHeight="1">
      <c r="B1479" s="3">
        <v>45210.0</v>
      </c>
      <c r="C1479" s="2">
        <v>97.119</v>
      </c>
      <c r="D1479" s="6">
        <f t="shared" si="2"/>
        <v>232156.959</v>
      </c>
      <c r="E1479" s="5">
        <f t="shared" si="1"/>
        <v>0.0004184208828</v>
      </c>
    </row>
    <row r="1480" ht="15.75" customHeight="1">
      <c r="B1480" s="3" t="s">
        <v>891</v>
      </c>
      <c r="C1480" s="2">
        <v>309.472</v>
      </c>
      <c r="D1480" s="6">
        <f t="shared" si="2"/>
        <v>232466.431</v>
      </c>
      <c r="E1480" s="5">
        <f t="shared" si="1"/>
        <v>0.001332141482</v>
      </c>
    </row>
    <row r="1481" ht="15.75" customHeight="1">
      <c r="B1481" s="3" t="s">
        <v>892</v>
      </c>
      <c r="C1481" s="2">
        <v>153.039</v>
      </c>
      <c r="D1481" s="6">
        <f t="shared" si="2"/>
        <v>232619.47</v>
      </c>
      <c r="E1481" s="5">
        <f t="shared" si="1"/>
        <v>0.0006581107068</v>
      </c>
    </row>
    <row r="1482" ht="15.75" customHeight="1">
      <c r="B1482" s="3" t="s">
        <v>893</v>
      </c>
      <c r="C1482" s="2">
        <v>542.198</v>
      </c>
      <c r="D1482" s="6">
        <f t="shared" si="2"/>
        <v>233161.668</v>
      </c>
      <c r="E1482" s="5">
        <f t="shared" si="1"/>
        <v>0.002328124523</v>
      </c>
    </row>
    <row r="1483" ht="15.75" customHeight="1">
      <c r="B1483" s="3" t="s">
        <v>894</v>
      </c>
      <c r="C1483" s="2">
        <v>283.412</v>
      </c>
      <c r="D1483" s="6">
        <f t="shared" si="2"/>
        <v>233445.08</v>
      </c>
      <c r="E1483" s="5">
        <f t="shared" si="1"/>
        <v>0.001214778981</v>
      </c>
    </row>
    <row r="1484" ht="15.75" customHeight="1">
      <c r="B1484" s="3" t="s">
        <v>895</v>
      </c>
      <c r="C1484" s="2">
        <v>337.601</v>
      </c>
      <c r="D1484" s="6">
        <f t="shared" si="2"/>
        <v>233782.681</v>
      </c>
      <c r="E1484" s="5">
        <f t="shared" si="1"/>
        <v>0.001445124143</v>
      </c>
    </row>
    <row r="1485" ht="15.75" customHeight="1">
      <c r="B1485" s="3" t="s">
        <v>896</v>
      </c>
      <c r="C1485" s="2">
        <v>534.061</v>
      </c>
      <c r="D1485" s="6">
        <f t="shared" si="2"/>
        <v>234316.742</v>
      </c>
      <c r="E1485" s="5">
        <f t="shared" si="1"/>
        <v>0.002281828199</v>
      </c>
    </row>
    <row r="1486" ht="15.75" customHeight="1">
      <c r="B1486" s="3" t="s">
        <v>897</v>
      </c>
      <c r="C1486" s="2">
        <v>354.917</v>
      </c>
      <c r="D1486" s="6">
        <f t="shared" si="2"/>
        <v>234671.659</v>
      </c>
      <c r="E1486" s="5">
        <f t="shared" si="1"/>
        <v>0.001513543051</v>
      </c>
    </row>
    <row r="1487" ht="15.75" customHeight="1">
      <c r="B1487" s="3" t="s">
        <v>898</v>
      </c>
      <c r="C1487" s="2">
        <v>-34.335</v>
      </c>
      <c r="D1487" s="6">
        <f t="shared" si="2"/>
        <v>234637.324</v>
      </c>
      <c r="E1487" s="5">
        <f t="shared" si="1"/>
        <v>-0.0001463215123</v>
      </c>
    </row>
    <row r="1488" ht="15.75" customHeight="1">
      <c r="B1488" s="3" t="s">
        <v>899</v>
      </c>
      <c r="C1488" s="2">
        <v>69.569</v>
      </c>
      <c r="D1488" s="6">
        <f t="shared" si="2"/>
        <v>234706.893</v>
      </c>
      <c r="E1488" s="5">
        <f t="shared" si="1"/>
        <v>0.0002964519344</v>
      </c>
    </row>
    <row r="1489" ht="15.75" customHeight="1">
      <c r="B1489" s="3" t="s">
        <v>900</v>
      </c>
      <c r="C1489" s="2">
        <v>53.864</v>
      </c>
      <c r="D1489" s="6">
        <f t="shared" si="2"/>
        <v>234760.757</v>
      </c>
      <c r="E1489" s="5">
        <f t="shared" si="1"/>
        <v>0.0002294684212</v>
      </c>
    </row>
    <row r="1490" ht="15.75" customHeight="1">
      <c r="B1490" s="3" t="s">
        <v>901</v>
      </c>
      <c r="C1490" s="2">
        <v>149.83</v>
      </c>
      <c r="D1490" s="6">
        <f t="shared" si="2"/>
        <v>234910.587</v>
      </c>
      <c r="E1490" s="5">
        <f t="shared" si="1"/>
        <v>0.0006380206372</v>
      </c>
    </row>
    <row r="1491" ht="15.75" customHeight="1">
      <c r="B1491" s="3" t="s">
        <v>902</v>
      </c>
      <c r="C1491" s="2">
        <v>92.043</v>
      </c>
      <c r="D1491" s="6">
        <f t="shared" si="2"/>
        <v>235002.63</v>
      </c>
      <c r="E1491" s="5">
        <f t="shared" si="1"/>
        <v>0.000391744679</v>
      </c>
    </row>
    <row r="1492" ht="15.75" customHeight="1">
      <c r="B1492" s="3" t="s">
        <v>903</v>
      </c>
      <c r="C1492" s="2">
        <v>348.97</v>
      </c>
      <c r="D1492" s="6">
        <f t="shared" si="2"/>
        <v>235351.6</v>
      </c>
      <c r="E1492" s="5">
        <f t="shared" si="1"/>
        <v>0.001483860639</v>
      </c>
    </row>
    <row r="1493" ht="15.75" customHeight="1">
      <c r="B1493" s="3">
        <v>44938.0</v>
      </c>
      <c r="C1493" s="2">
        <v>665.069</v>
      </c>
      <c r="D1493" s="6">
        <f t="shared" si="2"/>
        <v>236016.669</v>
      </c>
      <c r="E1493" s="5">
        <f t="shared" si="1"/>
        <v>0.002821867678</v>
      </c>
    </row>
    <row r="1494" ht="15.75" customHeight="1">
      <c r="B1494" s="3">
        <v>45028.0</v>
      </c>
      <c r="C1494" s="2">
        <v>-142.544</v>
      </c>
      <c r="D1494" s="6">
        <f t="shared" si="2"/>
        <v>235874.125</v>
      </c>
      <c r="E1494" s="5">
        <f t="shared" si="1"/>
        <v>-0.0006041397974</v>
      </c>
    </row>
    <row r="1495" ht="15.75" customHeight="1">
      <c r="B1495" s="3">
        <v>45058.0</v>
      </c>
      <c r="C1495" s="2">
        <v>437.534</v>
      </c>
      <c r="D1495" s="6">
        <f t="shared" si="2"/>
        <v>236311.659</v>
      </c>
      <c r="E1495" s="5">
        <f t="shared" si="1"/>
        <v>0.001853228708</v>
      </c>
    </row>
    <row r="1496" ht="15.75" customHeight="1">
      <c r="B1496" s="3">
        <v>45089.0</v>
      </c>
      <c r="C1496" s="2">
        <v>511.208</v>
      </c>
      <c r="D1496" s="6">
        <f t="shared" si="2"/>
        <v>236822.867</v>
      </c>
      <c r="E1496" s="5">
        <f t="shared" si="1"/>
        <v>0.002160942273</v>
      </c>
    </row>
    <row r="1497" ht="15.75" customHeight="1">
      <c r="B1497" s="3">
        <v>45119.0</v>
      </c>
      <c r="C1497" s="2">
        <v>-77.861</v>
      </c>
      <c r="D1497" s="6">
        <f t="shared" si="2"/>
        <v>236745.006</v>
      </c>
      <c r="E1497" s="5">
        <f t="shared" si="1"/>
        <v>-0.0003288272078</v>
      </c>
    </row>
    <row r="1498" ht="15.75" customHeight="1">
      <c r="B1498" s="3">
        <v>45150.0</v>
      </c>
      <c r="C1498" s="2">
        <v>-999.992</v>
      </c>
      <c r="D1498" s="6">
        <f t="shared" si="2"/>
        <v>235745.014</v>
      </c>
      <c r="E1498" s="5">
        <f t="shared" si="1"/>
        <v>-0.004232866096</v>
      </c>
    </row>
    <row r="1499" ht="15.75" customHeight="1">
      <c r="B1499" s="3">
        <v>45242.0</v>
      </c>
      <c r="C1499" s="2">
        <v>-1460.253</v>
      </c>
      <c r="D1499" s="6">
        <f t="shared" si="2"/>
        <v>234284.761</v>
      </c>
      <c r="E1499" s="5">
        <f t="shared" si="1"/>
        <v>-0.006213468915</v>
      </c>
    </row>
    <row r="1500" ht="15.75" customHeight="1">
      <c r="B1500" s="3">
        <v>45272.0</v>
      </c>
      <c r="C1500" s="2">
        <v>1502.193</v>
      </c>
      <c r="D1500" s="6">
        <f t="shared" si="2"/>
        <v>235786.954</v>
      </c>
      <c r="E1500" s="5">
        <f t="shared" si="1"/>
        <v>0.006391357173</v>
      </c>
    </row>
    <row r="1501" ht="15.75" customHeight="1">
      <c r="B1501" s="3" t="s">
        <v>904</v>
      </c>
      <c r="C1501" s="2">
        <v>305.028</v>
      </c>
      <c r="D1501" s="6">
        <f t="shared" si="2"/>
        <v>236091.982</v>
      </c>
      <c r="E1501" s="5">
        <f t="shared" si="1"/>
        <v>0.001292823304</v>
      </c>
    </row>
    <row r="1502" ht="15.75" customHeight="1">
      <c r="B1502" s="3" t="s">
        <v>905</v>
      </c>
      <c r="C1502" s="2">
        <v>1955.008</v>
      </c>
      <c r="D1502" s="6">
        <f t="shared" si="2"/>
        <v>238046.99</v>
      </c>
      <c r="E1502" s="5">
        <f t="shared" si="1"/>
        <v>0.00824660783</v>
      </c>
    </row>
    <row r="1503" ht="15.75" customHeight="1">
      <c r="B1503" s="3" t="s">
        <v>906</v>
      </c>
      <c r="C1503" s="2">
        <v>832.169</v>
      </c>
      <c r="D1503" s="6">
        <f t="shared" si="2"/>
        <v>238879.159</v>
      </c>
      <c r="E1503" s="5">
        <f t="shared" si="1"/>
        <v>0.00348972203</v>
      </c>
    </row>
    <row r="1504" ht="15.75" customHeight="1">
      <c r="B1504" s="3" t="s">
        <v>907</v>
      </c>
      <c r="C1504" s="2">
        <v>-349.091</v>
      </c>
      <c r="D1504" s="6">
        <f t="shared" si="2"/>
        <v>238530.068</v>
      </c>
      <c r="E1504" s="5">
        <f t="shared" si="1"/>
        <v>-0.001462439528</v>
      </c>
    </row>
    <row r="1505" ht="15.75" customHeight="1">
      <c r="B1505" s="3" t="s">
        <v>908</v>
      </c>
      <c r="C1505" s="2">
        <v>-1986.603</v>
      </c>
      <c r="D1505" s="6">
        <f t="shared" si="2"/>
        <v>236543.465</v>
      </c>
      <c r="E1505" s="5">
        <f t="shared" si="1"/>
        <v>-0.00836339826</v>
      </c>
    </row>
    <row r="1506" ht="15.75" customHeight="1">
      <c r="B1506" s="3" t="s">
        <v>909</v>
      </c>
      <c r="C1506" s="2">
        <v>635.38</v>
      </c>
      <c r="D1506" s="6">
        <f t="shared" si="2"/>
        <v>237178.845</v>
      </c>
      <c r="E1506" s="5">
        <f t="shared" si="1"/>
        <v>0.002682501405</v>
      </c>
    </row>
    <row r="1507" ht="15.75" customHeight="1">
      <c r="B1507" s="3" t="s">
        <v>910</v>
      </c>
      <c r="C1507" s="2">
        <v>333.235</v>
      </c>
      <c r="D1507" s="6">
        <f t="shared" si="2"/>
        <v>237512.08</v>
      </c>
      <c r="E1507" s="5">
        <f t="shared" si="1"/>
        <v>0.001404008534</v>
      </c>
    </row>
    <row r="1508" ht="15.75" customHeight="1">
      <c r="B1508" s="3" t="s">
        <v>911</v>
      </c>
      <c r="C1508" s="2">
        <v>-5.74</v>
      </c>
      <c r="D1508" s="6">
        <f t="shared" si="2"/>
        <v>237506.34</v>
      </c>
      <c r="E1508" s="5">
        <f t="shared" si="1"/>
        <v>-0.00002416748386</v>
      </c>
    </row>
    <row r="1509" ht="15.75" customHeight="1">
      <c r="B1509" s="3" t="s">
        <v>912</v>
      </c>
      <c r="C1509" s="2">
        <v>42.803</v>
      </c>
      <c r="D1509" s="6">
        <f t="shared" si="2"/>
        <v>237549.143</v>
      </c>
      <c r="E1509" s="5">
        <f t="shared" si="1"/>
        <v>0.0001802021096</v>
      </c>
    </row>
    <row r="1510" ht="15.75" customHeight="1">
      <c r="B1510" s="3" t="s">
        <v>913</v>
      </c>
      <c r="C1510" s="2">
        <v>192.464</v>
      </c>
      <c r="D1510" s="6">
        <f t="shared" si="2"/>
        <v>237741.607</v>
      </c>
      <c r="E1510" s="5">
        <f t="shared" si="1"/>
        <v>0.0008098790499</v>
      </c>
    </row>
    <row r="1511" ht="15.75" customHeight="1">
      <c r="B1511" s="3" t="s">
        <v>914</v>
      </c>
      <c r="C1511" s="2">
        <v>280.955</v>
      </c>
      <c r="D1511" s="6">
        <f t="shared" si="2"/>
        <v>238022.562</v>
      </c>
      <c r="E1511" s="5">
        <f t="shared" si="1"/>
        <v>0.001181068483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0"/>
    <col customWidth="1" min="3" max="3" width="21.86"/>
    <col customWidth="1" min="4" max="4" width="21.29"/>
    <col customWidth="1" min="5" max="5" width="22.29"/>
    <col customWidth="1" min="6" max="8" width="10.71"/>
    <col customWidth="1" min="9" max="9" width="17.86"/>
    <col customWidth="1" min="10" max="10" width="39.29"/>
    <col customWidth="1" min="11" max="11" width="20.57"/>
    <col customWidth="1" min="12" max="12" width="29.71"/>
    <col customWidth="1" min="13" max="14" width="10.71"/>
    <col customWidth="1" min="15" max="15" width="15.29"/>
    <col customWidth="1" min="16" max="30" width="10.71"/>
  </cols>
  <sheetData>
    <row r="1">
      <c r="B1" s="7" t="s">
        <v>915</v>
      </c>
      <c r="C1" s="7" t="s">
        <v>916</v>
      </c>
      <c r="D1" s="7" t="s">
        <v>917</v>
      </c>
      <c r="E1" s="7" t="s">
        <v>918</v>
      </c>
      <c r="F1" s="7" t="s">
        <v>919</v>
      </c>
      <c r="G1" s="7" t="s">
        <v>920</v>
      </c>
    </row>
    <row r="2">
      <c r="B2" s="7"/>
      <c r="C2" s="7">
        <v>158789.66</v>
      </c>
      <c r="D2" s="7">
        <v>89826.39</v>
      </c>
      <c r="E2" s="7">
        <v>61574.97</v>
      </c>
      <c r="F2" s="7">
        <f t="shared" ref="F2:F1511" si="1">SUM(C2:E2)</f>
        <v>310191.02</v>
      </c>
      <c r="G2" s="8"/>
      <c r="I2" s="9" t="s">
        <v>921</v>
      </c>
      <c r="J2" s="10">
        <v>43112.0</v>
      </c>
      <c r="K2" s="11">
        <v>0.03028</v>
      </c>
      <c r="L2" s="4"/>
      <c r="M2" s="12">
        <v>43102.0</v>
      </c>
      <c r="N2" s="2">
        <v>268.77</v>
      </c>
      <c r="O2" s="3">
        <v>43132.0</v>
      </c>
      <c r="P2" s="4" t="str">
        <f t="array" ref="P2">XLOOKUP(O2,Agregado!$B$2:$B$1511,Agregado!$G$2:$G$1511)</f>
        <v>#N/A</v>
      </c>
    </row>
    <row r="3">
      <c r="B3" s="13" t="s">
        <v>922</v>
      </c>
      <c r="C3" s="7">
        <v>152645.64800000002</v>
      </c>
      <c r="D3" s="7">
        <v>89786.114</v>
      </c>
      <c r="E3" s="7">
        <v>61538.303</v>
      </c>
      <c r="F3" s="7">
        <f t="shared" si="1"/>
        <v>303970.065</v>
      </c>
      <c r="G3" s="14">
        <f t="shared" ref="G3:G1511" si="2">LN(F3/F2)</f>
        <v>-0.0202590751</v>
      </c>
      <c r="I3" s="15">
        <v>43105.0</v>
      </c>
      <c r="J3" s="10">
        <v>43119.0</v>
      </c>
      <c r="K3" s="11">
        <v>0.01218</v>
      </c>
      <c r="L3" s="4"/>
      <c r="M3" s="12">
        <v>43103.0</v>
      </c>
      <c r="N3" s="2">
        <v>270.47</v>
      </c>
      <c r="O3" s="3">
        <v>43160.0</v>
      </c>
      <c r="P3" s="4" t="str">
        <f t="array" ref="P3">XLOOKUP(O3,Agregado!$B$2:$B$1511,Agregado!$G$2:$G$1511)</f>
        <v>#N/A</v>
      </c>
    </row>
    <row r="4">
      <c r="B4" s="13" t="s">
        <v>923</v>
      </c>
      <c r="C4" s="7">
        <v>151597.434</v>
      </c>
      <c r="D4" s="7">
        <v>90490.046</v>
      </c>
      <c r="E4" s="7">
        <v>61649.662</v>
      </c>
      <c r="F4" s="7">
        <f t="shared" si="1"/>
        <v>303737.142</v>
      </c>
      <c r="G4" s="14">
        <f t="shared" si="2"/>
        <v>-0.0007665632684</v>
      </c>
      <c r="I4" s="15">
        <v>43112.0</v>
      </c>
      <c r="J4" s="10">
        <v>43126.0</v>
      </c>
      <c r="K4" s="11">
        <v>0.02669</v>
      </c>
      <c r="L4" s="4"/>
      <c r="M4" s="12">
        <v>43104.0</v>
      </c>
      <c r="N4" s="2">
        <v>271.61</v>
      </c>
      <c r="O4" s="3">
        <v>43191.0</v>
      </c>
      <c r="P4" s="4" t="str">
        <f t="array" ref="P4">XLOOKUP(O4,Agregado!$B$2:$B$1511,Agregado!$G$2:$G$1511)</f>
        <v>#N/A</v>
      </c>
    </row>
    <row r="5">
      <c r="B5" s="13" t="s">
        <v>924</v>
      </c>
      <c r="C5" s="7">
        <v>149920.4</v>
      </c>
      <c r="D5" s="7">
        <v>90885.13500000001</v>
      </c>
      <c r="E5" s="7">
        <v>61829.88</v>
      </c>
      <c r="F5" s="7">
        <f t="shared" si="1"/>
        <v>302635.415</v>
      </c>
      <c r="G5" s="14">
        <f t="shared" si="2"/>
        <v>-0.003633832698</v>
      </c>
      <c r="I5" s="15">
        <v>43119.0</v>
      </c>
      <c r="J5" s="10">
        <v>43133.0</v>
      </c>
      <c r="K5" s="11">
        <v>0.02476</v>
      </c>
      <c r="L5" s="4"/>
      <c r="M5" s="12">
        <v>43105.0</v>
      </c>
      <c r="N5" s="2">
        <v>273.42</v>
      </c>
      <c r="O5" s="3">
        <v>43221.0</v>
      </c>
      <c r="P5" s="4" t="str">
        <f t="array" ref="P5">XLOOKUP(O5,Agregado!$B$2:$B$1511,Agregado!$G$2:$G$1511)</f>
        <v>#N/A</v>
      </c>
    </row>
    <row r="6">
      <c r="B6" s="13" t="s">
        <v>925</v>
      </c>
      <c r="C6" s="7">
        <v>149295.63999999998</v>
      </c>
      <c r="D6" s="7">
        <v>90816.728</v>
      </c>
      <c r="E6" s="7">
        <v>61938.077</v>
      </c>
      <c r="F6" s="7">
        <f t="shared" si="1"/>
        <v>302050.445</v>
      </c>
      <c r="G6" s="14">
        <f t="shared" si="2"/>
        <v>-0.001934790347</v>
      </c>
      <c r="I6" s="15">
        <v>43126.0</v>
      </c>
      <c r="J6" s="10">
        <v>43140.0</v>
      </c>
      <c r="K6" s="11">
        <v>-0.06931</v>
      </c>
      <c r="L6" s="4"/>
      <c r="M6" s="12">
        <v>43108.0</v>
      </c>
      <c r="N6" s="2">
        <v>273.92</v>
      </c>
      <c r="O6" s="3">
        <v>43313.0</v>
      </c>
      <c r="P6" s="4" t="str">
        <f t="array" ref="P6">XLOOKUP(O6,Agregado!$B$2:$B$1511,Agregado!$G$2:$G$1511)</f>
        <v>#N/A</v>
      </c>
    </row>
    <row r="7">
      <c r="B7" s="13" t="s">
        <v>926</v>
      </c>
      <c r="C7" s="7">
        <v>147736.45599999998</v>
      </c>
      <c r="D7" s="7">
        <v>90802.95</v>
      </c>
      <c r="E7" s="7">
        <v>62121.791</v>
      </c>
      <c r="F7" s="7">
        <f t="shared" si="1"/>
        <v>300661.197</v>
      </c>
      <c r="G7" s="14">
        <f t="shared" si="2"/>
        <v>-0.004610000417</v>
      </c>
      <c r="I7" s="15">
        <v>43133.0</v>
      </c>
      <c r="J7" s="10">
        <v>43147.0</v>
      </c>
      <c r="K7" s="11">
        <v>0.01688</v>
      </c>
      <c r="L7" s="4"/>
      <c r="M7" s="12">
        <v>43109.0</v>
      </c>
      <c r="N7" s="2">
        <v>274.54</v>
      </c>
      <c r="O7" s="3">
        <v>43344.0</v>
      </c>
      <c r="P7" s="4" t="str">
        <f t="array" ref="P7">XLOOKUP(O7,Agregado!$B$2:$B$1511,Agregado!$G$2:$G$1511)</f>
        <v>#N/A</v>
      </c>
    </row>
    <row r="8">
      <c r="B8" s="13" t="s">
        <v>927</v>
      </c>
      <c r="C8" s="7">
        <v>150175.05099999998</v>
      </c>
      <c r="D8" s="7">
        <v>90802.95</v>
      </c>
      <c r="E8" s="7">
        <v>62160.858</v>
      </c>
      <c r="F8" s="7">
        <f t="shared" si="1"/>
        <v>303138.859</v>
      </c>
      <c r="G8" s="14">
        <f t="shared" si="2"/>
        <v>0.008206941626</v>
      </c>
      <c r="I8" s="15">
        <v>43140.0</v>
      </c>
      <c r="J8" s="10">
        <v>43154.0</v>
      </c>
      <c r="K8" s="11">
        <v>-0.00323</v>
      </c>
      <c r="L8" s="4"/>
      <c r="M8" s="12">
        <v>43110.0</v>
      </c>
      <c r="N8" s="2">
        <v>274.12</v>
      </c>
      <c r="O8" s="3">
        <v>43374.0</v>
      </c>
      <c r="P8" s="4" t="str">
        <f t="array" ref="P8">XLOOKUP(O8,Agregado!$B$2:$B$1511,Agregado!$G$2:$G$1511)</f>
        <v>#N/A</v>
      </c>
    </row>
    <row r="9">
      <c r="B9" s="13" t="s">
        <v>928</v>
      </c>
      <c r="C9" s="7">
        <v>149022.40799999997</v>
      </c>
      <c r="D9" s="7">
        <v>93069.897</v>
      </c>
      <c r="E9" s="7">
        <v>62363.658</v>
      </c>
      <c r="F9" s="7">
        <f t="shared" si="1"/>
        <v>304455.963</v>
      </c>
      <c r="G9" s="14">
        <f t="shared" si="2"/>
        <v>0.004335474943</v>
      </c>
      <c r="I9" s="15">
        <v>43147.0</v>
      </c>
      <c r="J9" s="10">
        <v>43161.0</v>
      </c>
      <c r="K9" s="11">
        <v>0.00854999999999999</v>
      </c>
      <c r="L9" s="4"/>
      <c r="M9" s="12">
        <v>43111.0</v>
      </c>
      <c r="N9" s="2">
        <v>276.12</v>
      </c>
      <c r="O9" s="3">
        <v>43405.0</v>
      </c>
      <c r="P9" s="4" t="str">
        <f t="array" ref="P9">XLOOKUP(O9,Agregado!$B$2:$B$1511,Agregado!$G$2:$G$1511)</f>
        <v>#N/A</v>
      </c>
    </row>
    <row r="10">
      <c r="B10" s="13" t="s">
        <v>929</v>
      </c>
      <c r="C10" s="7">
        <v>152641.01399999997</v>
      </c>
      <c r="D10" s="7">
        <v>93249.395</v>
      </c>
      <c r="E10" s="7">
        <v>62465.351</v>
      </c>
      <c r="F10" s="7">
        <f t="shared" si="1"/>
        <v>308355.76</v>
      </c>
      <c r="G10" s="14">
        <f t="shared" si="2"/>
        <v>0.01272772533</v>
      </c>
      <c r="I10" s="15">
        <v>43154.0</v>
      </c>
      <c r="J10" s="10">
        <v>43168.0</v>
      </c>
      <c r="K10" s="11">
        <v>-0.0170999999999999</v>
      </c>
      <c r="L10" s="4"/>
      <c r="M10" s="12">
        <v>43112.0</v>
      </c>
      <c r="N10" s="2">
        <v>277.92</v>
      </c>
      <c r="O10" s="3">
        <v>43435.0</v>
      </c>
      <c r="P10" s="4" t="str">
        <f t="array" ref="P10">XLOOKUP(O10,Agregado!$B$2:$B$1511,Agregado!$G$2:$G$1511)</f>
        <v>#N/A</v>
      </c>
    </row>
    <row r="11">
      <c r="B11" s="13" t="s">
        <v>930</v>
      </c>
      <c r="C11" s="7">
        <v>155539.90399999998</v>
      </c>
      <c r="D11" s="7">
        <v>93263.301</v>
      </c>
      <c r="E11" s="7">
        <v>62528.843</v>
      </c>
      <c r="F11" s="7">
        <f t="shared" si="1"/>
        <v>311332.048</v>
      </c>
      <c r="G11" s="14">
        <f t="shared" si="2"/>
        <v>0.009605839738</v>
      </c>
      <c r="I11" s="15">
        <v>43161.0</v>
      </c>
      <c r="J11" s="10">
        <v>43175.0</v>
      </c>
      <c r="K11" s="11">
        <v>0.01057</v>
      </c>
      <c r="L11" s="4"/>
      <c r="M11" s="12">
        <v>43116.0</v>
      </c>
      <c r="N11" s="2">
        <v>276.97</v>
      </c>
      <c r="O11" s="3" t="s">
        <v>1</v>
      </c>
      <c r="P11" s="4" t="str">
        <f t="array" ref="P11">XLOOKUP(O11,Agregado!$B$2:$B$1511,Agregado!$G$2:$G$1511)</f>
        <v>#N/A</v>
      </c>
    </row>
    <row r="12">
      <c r="B12" s="13" t="s">
        <v>931</v>
      </c>
      <c r="C12" s="7">
        <v>153941.72199999998</v>
      </c>
      <c r="D12" s="7">
        <v>93361.29900000001</v>
      </c>
      <c r="E12" s="7">
        <v>62541.839</v>
      </c>
      <c r="F12" s="7">
        <f t="shared" si="1"/>
        <v>309844.86</v>
      </c>
      <c r="G12" s="14">
        <f t="shared" si="2"/>
        <v>-0.004788300474</v>
      </c>
      <c r="I12" s="15">
        <v>43168.0</v>
      </c>
      <c r="J12" s="10">
        <v>43182.0</v>
      </c>
      <c r="K12" s="11">
        <v>-0.0376</v>
      </c>
      <c r="L12" s="4"/>
      <c r="M12" s="12">
        <v>43117.0</v>
      </c>
      <c r="N12" s="2">
        <v>279.61</v>
      </c>
      <c r="O12" s="3" t="s">
        <v>2</v>
      </c>
      <c r="P12" s="4" t="str">
        <f t="array" ref="P12">XLOOKUP(O12,Agregado!$B$2:$B$1511,Agregado!$G$2:$G$1511)</f>
        <v>#N/A</v>
      </c>
    </row>
    <row r="13">
      <c r="B13" s="13" t="s">
        <v>932</v>
      </c>
      <c r="C13" s="7">
        <v>153706.297</v>
      </c>
      <c r="D13" s="7">
        <v>93319.44700000001</v>
      </c>
      <c r="E13" s="7">
        <v>62618.858</v>
      </c>
      <c r="F13" s="7">
        <f t="shared" si="1"/>
        <v>309644.602</v>
      </c>
      <c r="G13" s="14">
        <f t="shared" si="2"/>
        <v>-0.0006465259516</v>
      </c>
      <c r="I13" s="15">
        <v>43175.0</v>
      </c>
      <c r="J13" s="10">
        <v>43188.0</v>
      </c>
      <c r="K13" s="11">
        <v>-0.01929</v>
      </c>
      <c r="L13" s="4"/>
      <c r="M13" s="12">
        <v>43118.0</v>
      </c>
      <c r="N13" s="2">
        <v>279.14</v>
      </c>
      <c r="O13" s="3" t="s">
        <v>3</v>
      </c>
      <c r="P13" s="4" t="str">
        <f t="array" ref="P13">XLOOKUP(O13,Agregado!$B$2:$B$1511,Agregado!$G$2:$G$1511)</f>
        <v>#N/A</v>
      </c>
    </row>
    <row r="14">
      <c r="B14" s="13" t="s">
        <v>933</v>
      </c>
      <c r="C14" s="7">
        <v>160416.071</v>
      </c>
      <c r="D14" s="7">
        <v>93361.69200000001</v>
      </c>
      <c r="E14" s="7">
        <v>62574.516</v>
      </c>
      <c r="F14" s="7">
        <f t="shared" si="1"/>
        <v>316352.279</v>
      </c>
      <c r="G14" s="14">
        <f t="shared" si="2"/>
        <v>0.02143120497</v>
      </c>
      <c r="I14" s="15">
        <v>43182.0</v>
      </c>
      <c r="J14" s="10">
        <v>43196.0</v>
      </c>
      <c r="K14" s="11">
        <v>-0.0168</v>
      </c>
      <c r="L14" s="4"/>
      <c r="M14" s="12">
        <v>43119.0</v>
      </c>
      <c r="N14" s="2">
        <v>280.41</v>
      </c>
      <c r="O14" s="3" t="s">
        <v>4</v>
      </c>
      <c r="P14" s="4" t="str">
        <f t="array" ref="P14">XLOOKUP(O14,Agregado!$B$2:$B$1511,Agregado!$G$2:$G$1511)</f>
        <v>#N/A</v>
      </c>
    </row>
    <row r="15">
      <c r="B15" s="13" t="s">
        <v>934</v>
      </c>
      <c r="C15" s="7">
        <v>159299.482</v>
      </c>
      <c r="D15" s="7">
        <v>93249.21</v>
      </c>
      <c r="E15" s="7">
        <v>62601.37</v>
      </c>
      <c r="F15" s="7">
        <f t="shared" si="1"/>
        <v>315150.062</v>
      </c>
      <c r="G15" s="14">
        <f t="shared" si="2"/>
        <v>-0.003807486922</v>
      </c>
      <c r="I15" s="15">
        <v>43188.0</v>
      </c>
      <c r="J15" s="10">
        <v>43203.0</v>
      </c>
      <c r="K15" s="11">
        <v>0.00798999999999999</v>
      </c>
      <c r="L15" s="4"/>
      <c r="M15" s="12">
        <v>43122.0</v>
      </c>
      <c r="N15" s="2">
        <v>282.69</v>
      </c>
      <c r="O15" s="3" t="s">
        <v>5</v>
      </c>
      <c r="P15" s="4" t="str">
        <f t="array" ref="P15">XLOOKUP(O15,Agregado!$B$2:$B$1511,Agregado!$G$2:$G$1511)</f>
        <v>#N/A</v>
      </c>
    </row>
    <row r="16">
      <c r="B16" s="13" t="s">
        <v>935</v>
      </c>
      <c r="C16" s="7">
        <v>162467.72199999998</v>
      </c>
      <c r="D16" s="7">
        <v>93164.47600000001</v>
      </c>
      <c r="E16" s="7">
        <v>63014.706000000006</v>
      </c>
      <c r="F16" s="7">
        <f t="shared" si="1"/>
        <v>318646.904</v>
      </c>
      <c r="G16" s="14">
        <f t="shared" si="2"/>
        <v>0.01103469303</v>
      </c>
      <c r="I16" s="15">
        <v>43196.0</v>
      </c>
      <c r="J16" s="10">
        <v>43210.0</v>
      </c>
      <c r="K16" s="11">
        <v>0.00237</v>
      </c>
      <c r="L16" s="4"/>
      <c r="M16" s="12">
        <v>43123.0</v>
      </c>
      <c r="N16" s="2">
        <v>283.29</v>
      </c>
      <c r="O16" s="3" t="s">
        <v>6</v>
      </c>
      <c r="P16" s="4" t="str">
        <f t="array" ref="P16">XLOOKUP(O16,Agregado!$B$2:$B$1511,Agregado!$G$2:$G$1511)</f>
        <v>#N/A</v>
      </c>
    </row>
    <row r="17">
      <c r="B17" s="13" t="s">
        <v>936</v>
      </c>
      <c r="C17" s="7">
        <v>164926.67099999997</v>
      </c>
      <c r="D17" s="7">
        <v>93164.47600000001</v>
      </c>
      <c r="E17" s="7">
        <v>63145.60400000001</v>
      </c>
      <c r="F17" s="7">
        <f t="shared" si="1"/>
        <v>321236.751</v>
      </c>
      <c r="G17" s="14">
        <f t="shared" si="2"/>
        <v>0.008094787612</v>
      </c>
      <c r="I17" s="15">
        <v>43203.0</v>
      </c>
      <c r="J17" s="10">
        <v>43217.0</v>
      </c>
      <c r="K17" s="11">
        <v>0.00745999999999999</v>
      </c>
      <c r="L17" s="4"/>
      <c r="M17" s="12">
        <v>43124.0</v>
      </c>
      <c r="N17" s="2">
        <v>283.18</v>
      </c>
      <c r="O17" s="3" t="s">
        <v>7</v>
      </c>
      <c r="P17" s="4" t="str">
        <f t="array" ref="P17">XLOOKUP(O17,Agregado!$B$2:$B$1511,Agregado!$G$2:$G$1511)</f>
        <v>#N/A</v>
      </c>
    </row>
    <row r="18">
      <c r="B18" s="13" t="s">
        <v>937</v>
      </c>
      <c r="C18" s="7">
        <v>167376.88299999997</v>
      </c>
      <c r="D18" s="7">
        <v>93193.012</v>
      </c>
      <c r="E18" s="7">
        <v>63276.34100000001</v>
      </c>
      <c r="F18" s="7">
        <f t="shared" si="1"/>
        <v>323846.236</v>
      </c>
      <c r="G18" s="14">
        <f t="shared" si="2"/>
        <v>0.008090429561</v>
      </c>
      <c r="I18" s="15">
        <v>43210.0</v>
      </c>
      <c r="J18" s="10">
        <v>43224.0</v>
      </c>
      <c r="K18" s="11">
        <v>-0.00498</v>
      </c>
      <c r="L18" s="4"/>
      <c r="M18" s="12">
        <v>43125.0</v>
      </c>
      <c r="N18" s="2">
        <v>283.3</v>
      </c>
      <c r="O18" s="3" t="s">
        <v>8</v>
      </c>
      <c r="P18" s="4" t="str">
        <f t="array" ref="P18">XLOOKUP(O18,Agregado!$B$2:$B$1511,Agregado!$G$2:$G$1511)</f>
        <v>#N/A</v>
      </c>
    </row>
    <row r="19">
      <c r="B19" s="13" t="s">
        <v>938</v>
      </c>
      <c r="C19" s="7">
        <v>166626.65899999999</v>
      </c>
      <c r="D19" s="7">
        <v>93421.171</v>
      </c>
      <c r="E19" s="7">
        <v>63374.024000000005</v>
      </c>
      <c r="F19" s="7">
        <f t="shared" si="1"/>
        <v>323421.854</v>
      </c>
      <c r="G19" s="14">
        <f t="shared" si="2"/>
        <v>-0.001311302279</v>
      </c>
      <c r="I19" s="15">
        <v>43217.0</v>
      </c>
      <c r="J19" s="10">
        <v>43231.0</v>
      </c>
      <c r="K19" s="11">
        <v>0.0240299999999999</v>
      </c>
      <c r="L19" s="4"/>
      <c r="M19" s="12">
        <v>43126.0</v>
      </c>
      <c r="N19" s="2">
        <v>286.58</v>
      </c>
      <c r="O19" s="3" t="s">
        <v>9</v>
      </c>
      <c r="P19" s="4" t="str">
        <f t="array" ref="P19">XLOOKUP(O19,Agregado!$B$2:$B$1511,Agregado!$G$2:$G$1511)</f>
        <v>#N/A</v>
      </c>
    </row>
    <row r="20">
      <c r="B20" s="13" t="s">
        <v>939</v>
      </c>
      <c r="C20" s="7">
        <v>167009.07799999998</v>
      </c>
      <c r="D20" s="7">
        <v>93392.634</v>
      </c>
      <c r="E20" s="7">
        <v>63276.865000000005</v>
      </c>
      <c r="F20" s="7">
        <f t="shared" si="1"/>
        <v>323678.577</v>
      </c>
      <c r="G20" s="14">
        <f t="shared" si="2"/>
        <v>0.000793456475</v>
      </c>
      <c r="I20" s="15">
        <v>43224.0</v>
      </c>
      <c r="J20" s="10">
        <v>43238.0</v>
      </c>
      <c r="K20" s="11">
        <v>0.00911</v>
      </c>
      <c r="L20" s="4"/>
      <c r="M20" s="12">
        <v>43129.0</v>
      </c>
      <c r="N20" s="2">
        <v>284.68</v>
      </c>
      <c r="O20" s="3" t="s">
        <v>10</v>
      </c>
      <c r="P20" s="4" t="str">
        <f t="array" ref="P20">XLOOKUP(O20,Agregado!$B$2:$B$1511,Agregado!$G$2:$G$1511)</f>
        <v>#N/A</v>
      </c>
    </row>
    <row r="21" ht="15.75" customHeight="1">
      <c r="B21" s="13" t="s">
        <v>940</v>
      </c>
      <c r="C21" s="7">
        <v>163942.16999999998</v>
      </c>
      <c r="D21" s="7">
        <v>95587.163</v>
      </c>
      <c r="E21" s="7">
        <v>63297.138000000006</v>
      </c>
      <c r="F21" s="7">
        <f t="shared" si="1"/>
        <v>322826.471</v>
      </c>
      <c r="G21" s="14">
        <f t="shared" si="2"/>
        <v>-0.002636039722</v>
      </c>
      <c r="I21" s="15">
        <v>43231.0</v>
      </c>
      <c r="J21" s="10">
        <v>43245.0</v>
      </c>
      <c r="K21" s="11">
        <v>0.01083</v>
      </c>
      <c r="L21" s="4"/>
      <c r="M21" s="12">
        <v>43130.0</v>
      </c>
      <c r="N21" s="2">
        <v>281.76</v>
      </c>
      <c r="O21" s="3" t="s">
        <v>11</v>
      </c>
      <c r="P21" s="4" t="str">
        <f t="array" ref="P21">XLOOKUP(O21,Agregado!$B$2:$B$1511,Agregado!$G$2:$G$1511)</f>
        <v>#N/A</v>
      </c>
    </row>
    <row r="22" ht="15.75" customHeight="1">
      <c r="B22" s="13" t="s">
        <v>941</v>
      </c>
      <c r="C22" s="7">
        <v>168241.41299999997</v>
      </c>
      <c r="D22" s="7">
        <v>95974.378</v>
      </c>
      <c r="E22" s="7">
        <v>63663.649000000005</v>
      </c>
      <c r="F22" s="7">
        <f t="shared" si="1"/>
        <v>327879.44</v>
      </c>
      <c r="G22" s="14">
        <f t="shared" si="2"/>
        <v>0.01553104247</v>
      </c>
      <c r="I22" s="15">
        <v>43238.0</v>
      </c>
      <c r="J22" s="10">
        <v>43252.0</v>
      </c>
      <c r="K22" s="11">
        <v>-0.01065</v>
      </c>
      <c r="L22" s="4"/>
      <c r="M22" s="12">
        <v>43131.0</v>
      </c>
      <c r="N22" s="2">
        <v>281.9</v>
      </c>
      <c r="O22" s="3" t="s">
        <v>12</v>
      </c>
      <c r="P22" s="4" t="str">
        <f t="array" ref="P22">XLOOKUP(O22,Agregado!$B$2:$B$1511,Agregado!$G$2:$G$1511)</f>
        <v>#N/A</v>
      </c>
    </row>
    <row r="23" ht="15.75" customHeight="1">
      <c r="B23" s="13" t="s">
        <v>942</v>
      </c>
      <c r="C23" s="7">
        <v>172381.48399999997</v>
      </c>
      <c r="D23" s="7">
        <v>96201.35399999999</v>
      </c>
      <c r="E23" s="7">
        <v>64052.36000000001</v>
      </c>
      <c r="F23" s="7">
        <f t="shared" si="1"/>
        <v>332635.198</v>
      </c>
      <c r="G23" s="14">
        <f t="shared" si="2"/>
        <v>0.01440040814</v>
      </c>
      <c r="I23" s="15">
        <v>43245.0</v>
      </c>
      <c r="J23" s="10">
        <v>43259.0</v>
      </c>
      <c r="K23" s="11">
        <v>-0.00392999999999999</v>
      </c>
      <c r="L23" s="4"/>
      <c r="M23" s="12">
        <v>43132.0</v>
      </c>
      <c r="N23" s="2">
        <v>281.58</v>
      </c>
      <c r="O23" s="3">
        <v>43102.0</v>
      </c>
      <c r="P23" s="4" t="str">
        <f t="array" ref="P23">XLOOKUP(O23,Agregado!$B$2:$B$1511,Agregado!$G$2:$G$1511)</f>
        <v>#N/A</v>
      </c>
    </row>
    <row r="24" ht="15.75" customHeight="1">
      <c r="B24" s="13" t="s">
        <v>943</v>
      </c>
      <c r="C24" s="7">
        <v>172466.01799999998</v>
      </c>
      <c r="D24" s="7">
        <v>96953.59899999999</v>
      </c>
      <c r="E24" s="7">
        <v>63957.87300000001</v>
      </c>
      <c r="F24" s="7">
        <f t="shared" si="1"/>
        <v>333377.49</v>
      </c>
      <c r="G24" s="14">
        <f t="shared" si="2"/>
        <v>0.002229063562</v>
      </c>
      <c r="I24" s="15">
        <v>43252.0</v>
      </c>
      <c r="J24" s="10">
        <v>43266.0</v>
      </c>
      <c r="K24" s="11">
        <v>-0.01401</v>
      </c>
      <c r="L24" s="4"/>
      <c r="M24" s="12">
        <v>43133.0</v>
      </c>
      <c r="N24" s="2">
        <v>275.45</v>
      </c>
      <c r="O24" s="3">
        <v>43133.0</v>
      </c>
      <c r="P24" s="4" t="str">
        <f t="array" ref="P24">XLOOKUP(O24,Agregado!$B$2:$B$1511,Agregado!$G$2:$G$1511)</f>
        <v>#N/A</v>
      </c>
    </row>
    <row r="25" ht="15.75" customHeight="1">
      <c r="B25" s="13" t="s">
        <v>944</v>
      </c>
      <c r="C25" s="7">
        <v>170240.95299999998</v>
      </c>
      <c r="D25" s="7">
        <v>97407.57599999999</v>
      </c>
      <c r="E25" s="7">
        <v>64145.68600000001</v>
      </c>
      <c r="F25" s="7">
        <f t="shared" si="1"/>
        <v>331794.215</v>
      </c>
      <c r="G25" s="14">
        <f t="shared" si="2"/>
        <v>-0.004760509138</v>
      </c>
      <c r="I25" s="15">
        <v>43259.0</v>
      </c>
      <c r="J25" s="10">
        <v>43273.0</v>
      </c>
      <c r="K25" s="11">
        <v>0.00799</v>
      </c>
      <c r="L25" s="4"/>
      <c r="M25" s="12">
        <v>43136.0</v>
      </c>
      <c r="N25" s="2">
        <v>263.93</v>
      </c>
      <c r="O25" s="3">
        <v>43222.0</v>
      </c>
      <c r="P25" s="4" t="str">
        <f t="array" ref="P25">XLOOKUP(O25,Agregado!$B$2:$B$1511,Agregado!$G$2:$G$1511)</f>
        <v>#N/A</v>
      </c>
    </row>
    <row r="26" ht="15.75" customHeight="1">
      <c r="B26" s="13" t="s">
        <v>945</v>
      </c>
      <c r="C26" s="7">
        <v>168393.71899999998</v>
      </c>
      <c r="D26" s="7">
        <v>98115.79599999999</v>
      </c>
      <c r="E26" s="7">
        <v>64032.42900000001</v>
      </c>
      <c r="F26" s="7">
        <f t="shared" si="1"/>
        <v>330541.944</v>
      </c>
      <c r="G26" s="14">
        <f t="shared" si="2"/>
        <v>-0.003781380422</v>
      </c>
      <c r="I26" s="15">
        <v>43266.0</v>
      </c>
      <c r="J26" s="10">
        <v>43280.0</v>
      </c>
      <c r="K26" s="11">
        <v>-0.0105499999999999</v>
      </c>
      <c r="L26" s="4"/>
      <c r="M26" s="12">
        <v>43137.0</v>
      </c>
      <c r="N26" s="2">
        <v>269.13</v>
      </c>
      <c r="O26" s="3">
        <v>43253.0</v>
      </c>
      <c r="P26" s="4" t="str">
        <f t="array" ref="P26">XLOOKUP(O26,Agregado!$B$2:$B$1511,Agregado!$G$2:$G$1511)</f>
        <v>#N/A</v>
      </c>
    </row>
    <row r="27" ht="15.75" customHeight="1">
      <c r="B27" s="13" t="s">
        <v>946</v>
      </c>
      <c r="C27" s="7">
        <v>163065.471</v>
      </c>
      <c r="D27" s="7">
        <v>98648.47799999999</v>
      </c>
      <c r="E27" s="7">
        <v>63534.426000000014</v>
      </c>
      <c r="F27" s="7">
        <f t="shared" si="1"/>
        <v>325248.375</v>
      </c>
      <c r="G27" s="14">
        <f t="shared" si="2"/>
        <v>-0.01614444076</v>
      </c>
      <c r="I27" s="15">
        <v>43273.0</v>
      </c>
      <c r="J27" s="10">
        <v>43287.0</v>
      </c>
      <c r="K27" s="11">
        <v>-0.00518</v>
      </c>
      <c r="L27" s="4"/>
      <c r="M27" s="12">
        <v>43138.0</v>
      </c>
      <c r="N27" s="2">
        <v>267.67</v>
      </c>
      <c r="O27" s="3">
        <v>43283.0</v>
      </c>
      <c r="P27" s="4" t="str">
        <f t="array" ref="P27">XLOOKUP(O27,Agregado!$B$2:$B$1511,Agregado!$G$2:$G$1511)</f>
        <v>#N/A</v>
      </c>
    </row>
    <row r="28" ht="15.75" customHeight="1">
      <c r="B28" s="13" t="s">
        <v>947</v>
      </c>
      <c r="C28" s="7">
        <v>155074.36299999998</v>
      </c>
      <c r="D28" s="7">
        <v>98919.506</v>
      </c>
      <c r="E28" s="7">
        <v>63688.40800000002</v>
      </c>
      <c r="F28" s="7">
        <f t="shared" si="1"/>
        <v>317682.277</v>
      </c>
      <c r="G28" s="14">
        <f t="shared" si="2"/>
        <v>-0.02353736684</v>
      </c>
      <c r="I28" s="15">
        <v>43280.0</v>
      </c>
      <c r="J28" s="10">
        <v>43294.0</v>
      </c>
      <c r="K28" s="11">
        <v>0.00193999999999999</v>
      </c>
      <c r="L28" s="4"/>
      <c r="M28" s="12">
        <v>43139.0</v>
      </c>
      <c r="N28" s="2">
        <v>257.63</v>
      </c>
      <c r="O28" s="3">
        <v>43314.0</v>
      </c>
      <c r="P28" s="4" t="str">
        <f t="array" ref="P28">XLOOKUP(O28,Agregado!$B$2:$B$1511,Agregado!$G$2:$G$1511)</f>
        <v>#N/A</v>
      </c>
    </row>
    <row r="29" ht="15.75" customHeight="1">
      <c r="B29" s="13" t="s">
        <v>948</v>
      </c>
      <c r="C29" s="7">
        <v>155007.43099999998</v>
      </c>
      <c r="D29" s="7">
        <v>98811.636</v>
      </c>
      <c r="E29" s="7">
        <v>63794.83500000002</v>
      </c>
      <c r="F29" s="7">
        <f t="shared" si="1"/>
        <v>317613.902</v>
      </c>
      <c r="G29" s="14">
        <f t="shared" si="2"/>
        <v>-0.000215253932</v>
      </c>
      <c r="I29" s="15">
        <v>43287.0</v>
      </c>
      <c r="J29" s="10">
        <v>43301.0</v>
      </c>
      <c r="K29" s="11">
        <v>-0.00224</v>
      </c>
      <c r="L29" s="4"/>
      <c r="M29" s="12">
        <v>43140.0</v>
      </c>
      <c r="N29" s="2">
        <v>261.5</v>
      </c>
      <c r="O29" s="3">
        <v>43345.0</v>
      </c>
      <c r="P29" s="4" t="str">
        <f t="array" ref="P29">XLOOKUP(O29,Agregado!$B$2:$B$1511,Agregado!$G$2:$G$1511)</f>
        <v>#N/A</v>
      </c>
    </row>
    <row r="30" ht="15.75" customHeight="1">
      <c r="B30" s="13" t="s">
        <v>949</v>
      </c>
      <c r="C30" s="7">
        <v>147120.74199999997</v>
      </c>
      <c r="D30" s="7">
        <v>98513.094</v>
      </c>
      <c r="E30" s="7">
        <v>63942.93200000002</v>
      </c>
      <c r="F30" s="7">
        <f t="shared" si="1"/>
        <v>309576.768</v>
      </c>
      <c r="G30" s="14">
        <f t="shared" si="2"/>
        <v>-0.02563040031</v>
      </c>
      <c r="I30" s="15">
        <v>43294.0</v>
      </c>
      <c r="J30" s="10">
        <v>43308.0</v>
      </c>
      <c r="K30" s="11">
        <v>0.00768</v>
      </c>
      <c r="L30" s="4"/>
      <c r="M30" s="12">
        <v>43143.0</v>
      </c>
      <c r="N30" s="2">
        <v>265.34</v>
      </c>
      <c r="O30" s="3">
        <v>43436.0</v>
      </c>
      <c r="P30" s="4" t="str">
        <f t="array" ref="P30">XLOOKUP(O30,Agregado!$B$2:$B$1511,Agregado!$G$2:$G$1511)</f>
        <v>#N/A</v>
      </c>
    </row>
    <row r="31" ht="15.75" customHeight="1">
      <c r="B31" s="13" t="s">
        <v>950</v>
      </c>
      <c r="C31" s="7">
        <v>144752.75299999997</v>
      </c>
      <c r="D31" s="7">
        <v>98750.296</v>
      </c>
      <c r="E31" s="7">
        <v>64089.54900000002</v>
      </c>
      <c r="F31" s="7">
        <f t="shared" si="1"/>
        <v>307592.598</v>
      </c>
      <c r="G31" s="14">
        <f t="shared" si="2"/>
        <v>-0.006429926517</v>
      </c>
      <c r="I31" s="15">
        <v>43301.0</v>
      </c>
      <c r="J31" s="10">
        <v>43315.0</v>
      </c>
      <c r="K31" s="11">
        <v>-0.00951999999999999</v>
      </c>
      <c r="L31" s="4"/>
      <c r="M31" s="12">
        <v>43144.0</v>
      </c>
      <c r="N31" s="2">
        <v>266.0</v>
      </c>
      <c r="O31" s="3" t="s">
        <v>13</v>
      </c>
      <c r="P31" s="4" t="str">
        <f t="array" ref="P31">XLOOKUP(O31,Agregado!$B$2:$B$1511,Agregado!$G$2:$G$1511)</f>
        <v>#N/A</v>
      </c>
    </row>
    <row r="32" ht="15.75" customHeight="1">
      <c r="B32" s="13" t="s">
        <v>951</v>
      </c>
      <c r="C32" s="7">
        <v>151995.31999999998</v>
      </c>
      <c r="D32" s="7">
        <v>99057.61600000001</v>
      </c>
      <c r="E32" s="7">
        <v>64224.66300000002</v>
      </c>
      <c r="F32" s="7">
        <f t="shared" si="1"/>
        <v>315277.599</v>
      </c>
      <c r="G32" s="14">
        <f t="shared" si="2"/>
        <v>0.02467734378</v>
      </c>
      <c r="I32" s="15">
        <v>43308.0</v>
      </c>
      <c r="J32" s="10">
        <v>43322.0</v>
      </c>
      <c r="K32" s="11">
        <v>0.0233</v>
      </c>
      <c r="L32" s="4"/>
      <c r="M32" s="12">
        <v>43145.0</v>
      </c>
      <c r="N32" s="2">
        <v>269.59</v>
      </c>
      <c r="O32" s="3" t="s">
        <v>14</v>
      </c>
      <c r="P32" s="4" t="str">
        <f t="array" ref="P32">XLOOKUP(O32,Agregado!$B$2:$B$1511,Agregado!$G$2:$G$1511)</f>
        <v>#N/A</v>
      </c>
    </row>
    <row r="33" ht="15.75" customHeight="1">
      <c r="B33" s="13" t="s">
        <v>952</v>
      </c>
      <c r="C33" s="7">
        <v>150997.81499999997</v>
      </c>
      <c r="D33" s="7">
        <v>99486.33200000001</v>
      </c>
      <c r="E33" s="7">
        <v>64447.855000000025</v>
      </c>
      <c r="F33" s="7">
        <f t="shared" si="1"/>
        <v>314932.002</v>
      </c>
      <c r="G33" s="14">
        <f t="shared" si="2"/>
        <v>-0.001096768548</v>
      </c>
      <c r="I33" s="15">
        <v>43315.0</v>
      </c>
      <c r="J33" s="10">
        <v>43329.0</v>
      </c>
      <c r="K33" s="11">
        <v>2.59999999999999E-4</v>
      </c>
      <c r="L33" s="4"/>
      <c r="M33" s="12">
        <v>43146.0</v>
      </c>
      <c r="N33" s="2">
        <v>273.03</v>
      </c>
      <c r="O33" s="3" t="s">
        <v>15</v>
      </c>
      <c r="P33" s="4" t="str">
        <f t="array" ref="P33">XLOOKUP(O33,Agregado!$B$2:$B$1511,Agregado!$G$2:$G$1511)</f>
        <v>#N/A</v>
      </c>
    </row>
    <row r="34" ht="15.75" customHeight="1">
      <c r="B34" s="13" t="s">
        <v>953</v>
      </c>
      <c r="C34" s="7">
        <v>150188.91199999998</v>
      </c>
      <c r="D34" s="7">
        <v>99364.10500000001</v>
      </c>
      <c r="E34" s="7">
        <v>64646.39400000002</v>
      </c>
      <c r="F34" s="7">
        <f t="shared" si="1"/>
        <v>314199.411</v>
      </c>
      <c r="G34" s="14">
        <f t="shared" si="2"/>
        <v>-0.002328897639</v>
      </c>
      <c r="I34" s="15">
        <v>43322.0</v>
      </c>
      <c r="J34" s="10">
        <v>43336.0</v>
      </c>
      <c r="K34" s="11">
        <v>-0.0044</v>
      </c>
      <c r="L34" s="4"/>
      <c r="M34" s="12">
        <v>43147.0</v>
      </c>
      <c r="N34" s="2">
        <v>273.11</v>
      </c>
      <c r="O34" s="3" t="s">
        <v>16</v>
      </c>
      <c r="P34" s="4" t="str">
        <f t="array" ref="P34">XLOOKUP(O34,Agregado!$B$2:$B$1511,Agregado!$G$2:$G$1511)</f>
        <v>#N/A</v>
      </c>
    </row>
    <row r="35" ht="15.75" customHeight="1">
      <c r="B35" s="13" t="s">
        <v>954</v>
      </c>
      <c r="C35" s="7">
        <v>150707.504</v>
      </c>
      <c r="D35" s="7">
        <v>99364.10500000001</v>
      </c>
      <c r="E35" s="7">
        <v>64774.88100000002</v>
      </c>
      <c r="F35" s="7">
        <f t="shared" si="1"/>
        <v>314846.49</v>
      </c>
      <c r="G35" s="14">
        <f t="shared" si="2"/>
        <v>0.002057335489</v>
      </c>
      <c r="I35" s="15">
        <v>43329.0</v>
      </c>
      <c r="J35" s="10">
        <v>43343.0</v>
      </c>
      <c r="K35" s="11">
        <v>0.00683</v>
      </c>
      <c r="L35" s="4"/>
      <c r="M35" s="12">
        <v>43151.0</v>
      </c>
      <c r="N35" s="2">
        <v>271.4</v>
      </c>
      <c r="O35" s="3" t="s">
        <v>17</v>
      </c>
      <c r="P35" s="4" t="str">
        <f t="array" ref="P35">XLOOKUP(O35,Agregado!$B$2:$B$1511,Agregado!$G$2:$G$1511)</f>
        <v>#N/A</v>
      </c>
    </row>
    <row r="36" ht="15.75" customHeight="1">
      <c r="B36" s="13" t="s">
        <v>955</v>
      </c>
      <c r="C36" s="7">
        <v>147471.65899999999</v>
      </c>
      <c r="D36" s="7">
        <v>99116.52600000001</v>
      </c>
      <c r="E36" s="7">
        <v>64812.736000000026</v>
      </c>
      <c r="F36" s="7">
        <f t="shared" si="1"/>
        <v>311400.921</v>
      </c>
      <c r="G36" s="14">
        <f t="shared" si="2"/>
        <v>-0.0110039697</v>
      </c>
      <c r="I36" s="15">
        <v>43336.0</v>
      </c>
      <c r="J36" s="10">
        <v>43350.0</v>
      </c>
      <c r="K36" s="11">
        <v>0.0016</v>
      </c>
      <c r="L36" s="4"/>
      <c r="M36" s="12">
        <v>43152.0</v>
      </c>
      <c r="N36" s="2">
        <v>270.05</v>
      </c>
      <c r="O36" s="3" t="s">
        <v>18</v>
      </c>
      <c r="P36" s="4" t="str">
        <f t="array" ref="P36">XLOOKUP(O36,Agregado!$B$2:$B$1511,Agregado!$G$2:$G$1511)</f>
        <v>#N/A</v>
      </c>
    </row>
    <row r="37" ht="15.75" customHeight="1">
      <c r="B37" s="13" t="s">
        <v>956</v>
      </c>
      <c r="C37" s="7">
        <v>146806.49599999998</v>
      </c>
      <c r="D37" s="7">
        <v>99157.55000000002</v>
      </c>
      <c r="E37" s="7">
        <v>65175.13100000002</v>
      </c>
      <c r="F37" s="7">
        <f t="shared" si="1"/>
        <v>311139.177</v>
      </c>
      <c r="G37" s="14">
        <f t="shared" si="2"/>
        <v>-0.0008408904624</v>
      </c>
      <c r="I37" s="15">
        <v>43343.0</v>
      </c>
      <c r="J37" s="10">
        <v>43357.0</v>
      </c>
      <c r="K37" s="11">
        <v>-0.00302</v>
      </c>
      <c r="L37" s="4"/>
      <c r="M37" s="12">
        <v>43153.0</v>
      </c>
      <c r="N37" s="2">
        <v>270.4</v>
      </c>
      <c r="O37" s="3" t="s">
        <v>19</v>
      </c>
      <c r="P37" s="4" t="str">
        <f t="array" ref="P37">XLOOKUP(O37,Agregado!$B$2:$B$1511,Agregado!$G$2:$G$1511)</f>
        <v>#N/A</v>
      </c>
    </row>
    <row r="38" ht="15.75" customHeight="1">
      <c r="B38" s="13" t="s">
        <v>957</v>
      </c>
      <c r="C38" s="7">
        <v>148926.101</v>
      </c>
      <c r="D38" s="7">
        <v>99388.74900000001</v>
      </c>
      <c r="E38" s="7">
        <v>65150.499000000025</v>
      </c>
      <c r="F38" s="7">
        <f t="shared" si="1"/>
        <v>313465.349</v>
      </c>
      <c r="G38" s="14">
        <f t="shared" si="2"/>
        <v>0.007448497915</v>
      </c>
      <c r="I38" s="15">
        <v>43350.0</v>
      </c>
      <c r="J38" s="10">
        <v>43364.0</v>
      </c>
      <c r="K38" s="11">
        <v>0.0485499999999999</v>
      </c>
      <c r="L38" s="4"/>
      <c r="M38" s="12">
        <v>43154.0</v>
      </c>
      <c r="N38" s="2">
        <v>274.71</v>
      </c>
      <c r="O38" s="3" t="s">
        <v>20</v>
      </c>
      <c r="P38" s="4" t="str">
        <f t="array" ref="P38">XLOOKUP(O38,Agregado!$B$2:$B$1511,Agregado!$G$2:$G$1511)</f>
        <v>#N/A</v>
      </c>
    </row>
    <row r="39" ht="15.75" customHeight="1">
      <c r="B39" s="13" t="s">
        <v>958</v>
      </c>
      <c r="C39" s="7">
        <v>148817.982</v>
      </c>
      <c r="D39" s="7">
        <v>99729.11200000001</v>
      </c>
      <c r="E39" s="7">
        <v>65283.36300000003</v>
      </c>
      <c r="F39" s="7">
        <f t="shared" si="1"/>
        <v>313830.457</v>
      </c>
      <c r="G39" s="14">
        <f t="shared" si="2"/>
        <v>0.001164069767</v>
      </c>
      <c r="I39" s="15">
        <v>43357.0</v>
      </c>
      <c r="J39" s="10">
        <v>43371.0</v>
      </c>
      <c r="K39" s="11">
        <v>-0.01494</v>
      </c>
      <c r="L39" s="4"/>
      <c r="M39" s="12">
        <v>43157.0</v>
      </c>
      <c r="N39" s="2">
        <v>277.9</v>
      </c>
      <c r="O39" s="3" t="s">
        <v>21</v>
      </c>
      <c r="P39" s="4" t="str">
        <f t="array" ref="P39">XLOOKUP(O39,Agregado!$B$2:$B$1511,Agregado!$G$2:$G$1511)</f>
        <v>#N/A</v>
      </c>
    </row>
    <row r="40" ht="15.75" customHeight="1">
      <c r="B40" s="13" t="s">
        <v>959</v>
      </c>
      <c r="C40" s="7">
        <v>145838.262</v>
      </c>
      <c r="D40" s="7">
        <v>99936.614</v>
      </c>
      <c r="E40" s="7">
        <v>65435.41700000002</v>
      </c>
      <c r="F40" s="7">
        <f t="shared" si="1"/>
        <v>311210.293</v>
      </c>
      <c r="G40" s="14">
        <f t="shared" si="2"/>
        <v>-0.008384027275</v>
      </c>
      <c r="I40" s="15">
        <v>43364.0</v>
      </c>
      <c r="J40" s="10">
        <v>43378.0</v>
      </c>
      <c r="K40" s="11">
        <v>0.01524</v>
      </c>
      <c r="L40" s="4"/>
      <c r="M40" s="12">
        <v>43158.0</v>
      </c>
      <c r="N40" s="2">
        <v>274.43</v>
      </c>
      <c r="O40" s="3" t="s">
        <v>22</v>
      </c>
      <c r="P40" s="4" t="str">
        <f t="array" ref="P40">XLOOKUP(O40,Agregado!$B$2:$B$1511,Agregado!$G$2:$G$1511)</f>
        <v>#N/A</v>
      </c>
    </row>
    <row r="41" ht="15.75" customHeight="1">
      <c r="B41" s="13" t="s">
        <v>960</v>
      </c>
      <c r="C41" s="7">
        <v>150867.89099999997</v>
      </c>
      <c r="D41" s="7">
        <v>100034.598</v>
      </c>
      <c r="E41" s="7">
        <v>65493.64600000002</v>
      </c>
      <c r="F41" s="7">
        <f t="shared" si="1"/>
        <v>316396.135</v>
      </c>
      <c r="G41" s="14">
        <f t="shared" si="2"/>
        <v>0.01652615332</v>
      </c>
      <c r="I41" s="15">
        <v>43371.0</v>
      </c>
      <c r="J41" s="10">
        <v>43385.0</v>
      </c>
      <c r="K41" s="11">
        <v>-0.01049</v>
      </c>
      <c r="L41" s="4"/>
      <c r="M41" s="12">
        <v>43159.0</v>
      </c>
      <c r="N41" s="2">
        <v>271.65</v>
      </c>
      <c r="O41" s="3" t="s">
        <v>23</v>
      </c>
      <c r="P41" s="4" t="str">
        <f t="array" ref="P41">XLOOKUP(O41,Agregado!$B$2:$B$1511,Agregado!$G$2:$G$1511)</f>
        <v>#N/A</v>
      </c>
    </row>
    <row r="42" ht="15.75" customHeight="1">
      <c r="B42" s="13" t="s">
        <v>961</v>
      </c>
      <c r="C42" s="7">
        <v>152980.773</v>
      </c>
      <c r="D42" s="7">
        <v>100504.542</v>
      </c>
      <c r="E42" s="7">
        <v>65658.35200000003</v>
      </c>
      <c r="F42" s="7">
        <f t="shared" si="1"/>
        <v>319143.667</v>
      </c>
      <c r="G42" s="14">
        <f t="shared" si="2"/>
        <v>0.008646347902</v>
      </c>
      <c r="I42" s="15">
        <v>43378.0</v>
      </c>
      <c r="J42" s="10">
        <v>43392.0</v>
      </c>
      <c r="K42" s="11">
        <v>-0.00905</v>
      </c>
      <c r="L42" s="4"/>
      <c r="M42" s="12">
        <v>43160.0</v>
      </c>
      <c r="N42" s="2">
        <v>267.7</v>
      </c>
      <c r="O42" s="3">
        <v>43103.0</v>
      </c>
      <c r="P42" s="4" t="str">
        <f t="array" ref="P42">XLOOKUP(O42,Agregado!$B$2:$B$1511,Agregado!$G$2:$G$1511)</f>
        <v>#N/A</v>
      </c>
    </row>
    <row r="43" ht="15.75" customHeight="1">
      <c r="B43" s="13" t="s">
        <v>962</v>
      </c>
      <c r="C43" s="7">
        <v>153007.91199999998</v>
      </c>
      <c r="D43" s="7">
        <v>100723.259</v>
      </c>
      <c r="E43" s="7">
        <v>65826.79500000003</v>
      </c>
      <c r="F43" s="7">
        <f t="shared" si="1"/>
        <v>319557.966</v>
      </c>
      <c r="G43" s="14">
        <f t="shared" si="2"/>
        <v>0.00129731642</v>
      </c>
      <c r="I43" s="15">
        <v>43385.0</v>
      </c>
      <c r="J43" s="10">
        <v>43399.0</v>
      </c>
      <c r="K43" s="11">
        <v>0.00489999999999999</v>
      </c>
      <c r="L43" s="4"/>
      <c r="M43" s="12">
        <v>43161.0</v>
      </c>
      <c r="N43" s="2">
        <v>269.08</v>
      </c>
      <c r="O43" s="3">
        <v>43134.0</v>
      </c>
      <c r="P43" s="4" t="str">
        <f t="array" ref="P43">XLOOKUP(O43,Agregado!$B$2:$B$1511,Agregado!$G$2:$G$1511)</f>
        <v>#N/A</v>
      </c>
    </row>
    <row r="44" ht="15.75" customHeight="1">
      <c r="B44" s="13" t="s">
        <v>963</v>
      </c>
      <c r="C44" s="7">
        <v>149834.11299999998</v>
      </c>
      <c r="D44" s="7">
        <v>100817.68800000001</v>
      </c>
      <c r="E44" s="7">
        <v>65869.91100000002</v>
      </c>
      <c r="F44" s="7">
        <f t="shared" si="1"/>
        <v>316521.712</v>
      </c>
      <c r="G44" s="14">
        <f t="shared" si="2"/>
        <v>-0.009546845044</v>
      </c>
      <c r="I44" s="15">
        <v>43392.0</v>
      </c>
      <c r="J44" s="10">
        <v>43406.0</v>
      </c>
      <c r="K44" s="11">
        <v>9.90000000000001E-4</v>
      </c>
      <c r="L44" s="4"/>
      <c r="M44" s="12">
        <v>43164.0</v>
      </c>
      <c r="N44" s="2">
        <v>272.19</v>
      </c>
      <c r="O44" s="3">
        <v>43223.0</v>
      </c>
      <c r="P44" s="4" t="str">
        <f t="array" ref="P44">XLOOKUP(O44,Agregado!$B$2:$B$1511,Agregado!$G$2:$G$1511)</f>
        <v>#N/A</v>
      </c>
    </row>
    <row r="45" ht="15.75" customHeight="1">
      <c r="B45" s="13" t="s">
        <v>964</v>
      </c>
      <c r="C45" s="7">
        <v>147128.57299999997</v>
      </c>
      <c r="D45" s="7">
        <v>100926.16300000002</v>
      </c>
      <c r="E45" s="7">
        <v>65919.59300000002</v>
      </c>
      <c r="F45" s="7">
        <f t="shared" si="1"/>
        <v>313974.329</v>
      </c>
      <c r="G45" s="14">
        <f t="shared" si="2"/>
        <v>-0.008080611758</v>
      </c>
      <c r="I45" s="15">
        <v>43399.0</v>
      </c>
      <c r="J45" s="10">
        <v>43413.0</v>
      </c>
      <c r="K45" s="11">
        <v>0.00858</v>
      </c>
      <c r="L45" s="4"/>
      <c r="M45" s="12">
        <v>43165.0</v>
      </c>
      <c r="N45" s="2">
        <v>272.88</v>
      </c>
      <c r="O45" s="3">
        <v>43254.0</v>
      </c>
      <c r="P45" s="4" t="str">
        <f t="array" ref="P45">XLOOKUP(O45,Agregado!$B$2:$B$1511,Agregado!$G$2:$G$1511)</f>
        <v>#N/A</v>
      </c>
    </row>
    <row r="46" ht="15.75" customHeight="1">
      <c r="B46" s="13" t="s">
        <v>965</v>
      </c>
      <c r="C46" s="7">
        <v>145046.482</v>
      </c>
      <c r="D46" s="7">
        <v>100871.32700000002</v>
      </c>
      <c r="E46" s="7">
        <v>65976.01400000002</v>
      </c>
      <c r="F46" s="7">
        <f t="shared" si="1"/>
        <v>311893.823</v>
      </c>
      <c r="G46" s="14">
        <f t="shared" si="2"/>
        <v>-0.006648408796</v>
      </c>
      <c r="I46" s="15">
        <v>43406.0</v>
      </c>
      <c r="J46" s="10">
        <v>43420.0</v>
      </c>
      <c r="K46" s="11">
        <v>0.00415</v>
      </c>
      <c r="L46" s="4"/>
      <c r="M46" s="12">
        <v>43166.0</v>
      </c>
      <c r="N46" s="2">
        <v>272.78</v>
      </c>
      <c r="O46" s="3">
        <v>43284.0</v>
      </c>
      <c r="P46" s="4" t="str">
        <f t="array" ref="P46">XLOOKUP(O46,Agregado!$B$2:$B$1511,Agregado!$G$2:$G$1511)</f>
        <v>#N/A</v>
      </c>
    </row>
    <row r="47" ht="15.75" customHeight="1">
      <c r="B47" s="13" t="s">
        <v>966</v>
      </c>
      <c r="C47" s="7">
        <v>142535.811</v>
      </c>
      <c r="D47" s="7">
        <v>101063.76900000001</v>
      </c>
      <c r="E47" s="7">
        <v>66084.68700000002</v>
      </c>
      <c r="F47" s="7">
        <f t="shared" si="1"/>
        <v>309684.267</v>
      </c>
      <c r="G47" s="14">
        <f t="shared" si="2"/>
        <v>-0.007109534079</v>
      </c>
      <c r="I47" s="15">
        <v>43413.0</v>
      </c>
      <c r="J47" s="10">
        <v>43427.0</v>
      </c>
      <c r="K47" s="11">
        <v>0.00271999999999999</v>
      </c>
      <c r="L47" s="4"/>
      <c r="M47" s="12">
        <v>43167.0</v>
      </c>
      <c r="N47" s="2">
        <v>274.1</v>
      </c>
      <c r="O47" s="3">
        <v>43315.0</v>
      </c>
      <c r="P47" s="4" t="str">
        <f t="array" ref="P47">XLOOKUP(O47,Agregado!$B$2:$B$1511,Agregado!$G$2:$G$1511)</f>
        <v>#N/A</v>
      </c>
    </row>
    <row r="48" ht="15.75" customHeight="1">
      <c r="B48" s="13" t="s">
        <v>967</v>
      </c>
      <c r="C48" s="7">
        <v>140258.05</v>
      </c>
      <c r="D48" s="7">
        <v>101819.47500000002</v>
      </c>
      <c r="E48" s="7">
        <v>66317.00800000002</v>
      </c>
      <c r="F48" s="7">
        <f t="shared" si="1"/>
        <v>308394.533</v>
      </c>
      <c r="G48" s="14">
        <f t="shared" si="2"/>
        <v>-0.00417337036</v>
      </c>
      <c r="I48" s="15">
        <v>43420.0</v>
      </c>
      <c r="J48" s="10">
        <v>43434.0</v>
      </c>
      <c r="K48" s="11">
        <v>0.01956</v>
      </c>
      <c r="L48" s="4"/>
      <c r="M48" s="12">
        <v>43168.0</v>
      </c>
      <c r="N48" s="2">
        <v>278.87</v>
      </c>
      <c r="O48" s="3">
        <v>43346.0</v>
      </c>
      <c r="P48" s="4" t="str">
        <f t="array" ref="P48">XLOOKUP(O48,Agregado!$B$2:$B$1511,Agregado!$G$2:$G$1511)</f>
        <v>#N/A</v>
      </c>
    </row>
    <row r="49" ht="15.75" customHeight="1">
      <c r="B49" s="13" t="s">
        <v>968</v>
      </c>
      <c r="C49" s="7">
        <v>143368.764</v>
      </c>
      <c r="D49" s="7">
        <v>101460.53900000002</v>
      </c>
      <c r="E49" s="7">
        <v>66324.13000000002</v>
      </c>
      <c r="F49" s="7">
        <f t="shared" si="1"/>
        <v>311153.433</v>
      </c>
      <c r="G49" s="14">
        <f t="shared" si="2"/>
        <v>0.008906229664</v>
      </c>
      <c r="I49" s="15">
        <v>43427.0</v>
      </c>
      <c r="J49" s="10">
        <v>43441.0</v>
      </c>
      <c r="K49" s="11">
        <v>-0.02909</v>
      </c>
      <c r="L49" s="4"/>
      <c r="M49" s="12">
        <v>43171.0</v>
      </c>
      <c r="N49" s="2">
        <v>278.52</v>
      </c>
      <c r="O49" s="3">
        <v>43437.0</v>
      </c>
      <c r="P49" s="4" t="str">
        <f t="array" ref="P49">XLOOKUP(O49,Agregado!$B$2:$B$1511,Agregado!$G$2:$G$1511)</f>
        <v>#N/A</v>
      </c>
    </row>
    <row r="50" ht="15.75" customHeight="1">
      <c r="B50" s="13" t="s">
        <v>969</v>
      </c>
      <c r="C50" s="7">
        <v>146226.684</v>
      </c>
      <c r="D50" s="7">
        <v>101909.99100000002</v>
      </c>
      <c r="E50" s="7">
        <v>66472.72100000002</v>
      </c>
      <c r="F50" s="7">
        <f t="shared" si="1"/>
        <v>314609.396</v>
      </c>
      <c r="G50" s="14">
        <f t="shared" si="2"/>
        <v>0.01104571246</v>
      </c>
      <c r="I50" s="15">
        <v>43434.0</v>
      </c>
      <c r="J50" s="10">
        <v>43448.0</v>
      </c>
      <c r="K50" s="11">
        <v>0.00516</v>
      </c>
      <c r="L50" s="4"/>
      <c r="M50" s="12">
        <v>43172.0</v>
      </c>
      <c r="N50" s="2">
        <v>276.72</v>
      </c>
      <c r="O50" s="3" t="s">
        <v>24</v>
      </c>
      <c r="P50" s="4" t="str">
        <f t="array" ref="P50">XLOOKUP(O50,Agregado!$B$2:$B$1511,Agregado!$G$2:$G$1511)</f>
        <v>#N/A</v>
      </c>
    </row>
    <row r="51" ht="15.75" customHeight="1">
      <c r="B51" s="13" t="s">
        <v>970</v>
      </c>
      <c r="C51" s="7">
        <v>148886.05000000002</v>
      </c>
      <c r="D51" s="7">
        <v>102008.18400000002</v>
      </c>
      <c r="E51" s="7">
        <v>66800.19700000001</v>
      </c>
      <c r="F51" s="7">
        <f t="shared" si="1"/>
        <v>317694.431</v>
      </c>
      <c r="G51" s="14">
        <f t="shared" si="2"/>
        <v>0.009758155331</v>
      </c>
      <c r="I51" s="15">
        <v>43441.0</v>
      </c>
      <c r="J51" s="10">
        <v>43455.0</v>
      </c>
      <c r="K51" s="11">
        <v>0.01139</v>
      </c>
      <c r="L51" s="4"/>
      <c r="M51" s="12">
        <v>43173.0</v>
      </c>
      <c r="N51" s="2">
        <v>275.3</v>
      </c>
      <c r="O51" s="3" t="s">
        <v>25</v>
      </c>
      <c r="P51" s="4" t="str">
        <f t="array" ref="P51">XLOOKUP(O51,Agregado!$B$2:$B$1511,Agregado!$G$2:$G$1511)</f>
        <v>#N/A</v>
      </c>
    </row>
    <row r="52" ht="15.75" customHeight="1">
      <c r="B52" s="13" t="s">
        <v>971</v>
      </c>
      <c r="C52" s="7">
        <v>150864.586</v>
      </c>
      <c r="D52" s="7">
        <v>101980.30600000003</v>
      </c>
      <c r="E52" s="7">
        <v>66809.00100000002</v>
      </c>
      <c r="F52" s="7">
        <f t="shared" si="1"/>
        <v>319653.893</v>
      </c>
      <c r="G52" s="14">
        <f t="shared" si="2"/>
        <v>0.006148814078</v>
      </c>
      <c r="I52" s="15">
        <v>43448.0</v>
      </c>
      <c r="J52" s="10">
        <v>43462.0</v>
      </c>
      <c r="K52" s="11">
        <v>0.01623</v>
      </c>
      <c r="L52" s="4"/>
      <c r="M52" s="12">
        <v>43174.0</v>
      </c>
      <c r="N52" s="2">
        <v>275.0</v>
      </c>
      <c r="O52" s="3" t="s">
        <v>26</v>
      </c>
      <c r="P52" s="4" t="str">
        <f t="array" ref="P52">XLOOKUP(O52,Agregado!$B$2:$B$1511,Agregado!$G$2:$G$1511)</f>
        <v>#N/A</v>
      </c>
    </row>
    <row r="53" ht="15.75" customHeight="1">
      <c r="B53" s="13" t="s">
        <v>972</v>
      </c>
      <c r="C53" s="7">
        <v>151029.715</v>
      </c>
      <c r="D53" s="7">
        <v>102063.48500000003</v>
      </c>
      <c r="E53" s="7">
        <v>66956.74400000002</v>
      </c>
      <c r="F53" s="7">
        <f t="shared" si="1"/>
        <v>320049.944</v>
      </c>
      <c r="G53" s="14">
        <f t="shared" si="2"/>
        <v>0.001238232531</v>
      </c>
      <c r="I53" s="15">
        <v>43455.0</v>
      </c>
      <c r="J53" s="10">
        <v>43469.0</v>
      </c>
      <c r="K53" s="11">
        <v>-0.02212</v>
      </c>
      <c r="L53" s="4"/>
      <c r="M53" s="12">
        <v>43175.0</v>
      </c>
      <c r="N53" s="2">
        <v>274.2</v>
      </c>
      <c r="O53" s="3" t="s">
        <v>27</v>
      </c>
      <c r="P53" s="4" t="str">
        <f t="array" ref="P53">XLOOKUP(O53,Agregado!$B$2:$B$1511,Agregado!$G$2:$G$1511)</f>
        <v>#N/A</v>
      </c>
    </row>
    <row r="54" ht="15.75" customHeight="1">
      <c r="B54" s="13" t="s">
        <v>973</v>
      </c>
      <c r="C54" s="7">
        <v>145529.36299999998</v>
      </c>
      <c r="D54" s="7">
        <v>101952.65900000003</v>
      </c>
      <c r="E54" s="7">
        <v>66975.74800000002</v>
      </c>
      <c r="F54" s="7">
        <f t="shared" si="1"/>
        <v>314457.77</v>
      </c>
      <c r="G54" s="14">
        <f t="shared" si="2"/>
        <v>-0.01762726812</v>
      </c>
      <c r="I54" s="15">
        <v>43462.0</v>
      </c>
      <c r="J54" s="10">
        <v>43476.0</v>
      </c>
      <c r="K54" s="11">
        <v>0.00483999999999999</v>
      </c>
      <c r="L54" s="4"/>
      <c r="M54" s="12">
        <v>43178.0</v>
      </c>
      <c r="N54" s="2">
        <v>270.49</v>
      </c>
      <c r="O54" s="3" t="s">
        <v>28</v>
      </c>
      <c r="P54" s="4" t="str">
        <f t="array" ref="P54">XLOOKUP(O54,Agregado!$B$2:$B$1511,Agregado!$G$2:$G$1511)</f>
        <v>#N/A</v>
      </c>
    </row>
    <row r="55" ht="15.75" customHeight="1">
      <c r="B55" s="13" t="s">
        <v>974</v>
      </c>
      <c r="C55" s="7">
        <v>147299.20399999997</v>
      </c>
      <c r="D55" s="7">
        <v>101439.20600000003</v>
      </c>
      <c r="E55" s="7">
        <v>66684.80600000003</v>
      </c>
      <c r="F55" s="7">
        <f t="shared" si="1"/>
        <v>315423.216</v>
      </c>
      <c r="G55" s="14">
        <f t="shared" si="2"/>
        <v>0.003065489442</v>
      </c>
      <c r="I55" s="15">
        <v>43469.0</v>
      </c>
      <c r="J55" s="10">
        <v>43483.0</v>
      </c>
      <c r="K55" s="11">
        <v>-0.02077</v>
      </c>
      <c r="L55" s="4"/>
      <c r="M55" s="12">
        <v>43179.0</v>
      </c>
      <c r="N55" s="2">
        <v>270.95</v>
      </c>
      <c r="O55" s="3" t="s">
        <v>29</v>
      </c>
      <c r="P55" s="4" t="str">
        <f t="array" ref="P55">XLOOKUP(O55,Agregado!$B$2:$B$1511,Agregado!$G$2:$G$1511)</f>
        <v>#N/A</v>
      </c>
    </row>
    <row r="56" ht="15.75" customHeight="1">
      <c r="B56" s="13" t="s">
        <v>975</v>
      </c>
      <c r="C56" s="7">
        <v>146122.52799999996</v>
      </c>
      <c r="D56" s="7">
        <v>99414.54800000004</v>
      </c>
      <c r="E56" s="7">
        <v>66684.97900000002</v>
      </c>
      <c r="F56" s="7">
        <f t="shared" si="1"/>
        <v>312222.055</v>
      </c>
      <c r="G56" s="14">
        <f t="shared" si="2"/>
        <v>-0.01020063053</v>
      </c>
      <c r="I56" s="15">
        <v>43476.0</v>
      </c>
      <c r="J56" s="10">
        <v>43490.0</v>
      </c>
      <c r="K56" s="11">
        <v>0.00948999999999999</v>
      </c>
      <c r="L56" s="4"/>
      <c r="M56" s="12">
        <v>43180.0</v>
      </c>
      <c r="N56" s="2">
        <v>270.43</v>
      </c>
      <c r="O56" s="3" t="s">
        <v>30</v>
      </c>
      <c r="P56" s="4" t="str">
        <f t="array" ref="P56">XLOOKUP(O56,Agregado!$B$2:$B$1511,Agregado!$G$2:$G$1511)</f>
        <v>#N/A</v>
      </c>
    </row>
    <row r="57" ht="15.75" customHeight="1">
      <c r="B57" s="13" t="s">
        <v>976</v>
      </c>
      <c r="C57" s="7">
        <v>147531.23599999998</v>
      </c>
      <c r="D57" s="7">
        <v>95413.97100000003</v>
      </c>
      <c r="E57" s="7">
        <v>66741.34500000002</v>
      </c>
      <c r="F57" s="7">
        <f t="shared" si="1"/>
        <v>309686.552</v>
      </c>
      <c r="G57" s="14">
        <f t="shared" si="2"/>
        <v>-0.008153986035</v>
      </c>
      <c r="I57" s="15">
        <v>43483.0</v>
      </c>
      <c r="J57" s="10">
        <v>43497.0</v>
      </c>
      <c r="K57" s="11">
        <v>-0.0296499999999999</v>
      </c>
      <c r="L57" s="4"/>
      <c r="M57" s="12">
        <v>43181.0</v>
      </c>
      <c r="N57" s="2">
        <v>263.67</v>
      </c>
      <c r="O57" s="3" t="s">
        <v>31</v>
      </c>
      <c r="P57" s="4" t="str">
        <f t="array" ref="P57">XLOOKUP(O57,Agregado!$B$2:$B$1511,Agregado!$G$2:$G$1511)</f>
        <v>#N/A</v>
      </c>
    </row>
    <row r="58" ht="15.75" customHeight="1">
      <c r="B58" s="13" t="s">
        <v>977</v>
      </c>
      <c r="C58" s="7">
        <v>148640.01299999998</v>
      </c>
      <c r="D58" s="7">
        <v>95468.67800000003</v>
      </c>
      <c r="E58" s="7">
        <v>66803.81100000002</v>
      </c>
      <c r="F58" s="7">
        <f t="shared" si="1"/>
        <v>310912.502</v>
      </c>
      <c r="G58" s="14">
        <f t="shared" si="2"/>
        <v>0.003950865174</v>
      </c>
      <c r="I58" s="15">
        <v>43490.0</v>
      </c>
      <c r="J58" s="10">
        <v>43504.0</v>
      </c>
      <c r="K58" s="11">
        <v>-0.00311</v>
      </c>
      <c r="L58" s="4"/>
      <c r="M58" s="12">
        <v>43182.0</v>
      </c>
      <c r="N58" s="2">
        <v>258.05</v>
      </c>
      <c r="O58" s="3" t="s">
        <v>32</v>
      </c>
      <c r="P58" s="4" t="str">
        <f t="array" ref="P58">XLOOKUP(O58,Agregado!$B$2:$B$1511,Agregado!$G$2:$G$1511)</f>
        <v>#N/A</v>
      </c>
    </row>
    <row r="59" ht="15.75" customHeight="1">
      <c r="B59" s="13" t="s">
        <v>978</v>
      </c>
      <c r="C59" s="7">
        <v>145397.24</v>
      </c>
      <c r="D59" s="7">
        <v>90651.04400000002</v>
      </c>
      <c r="E59" s="7">
        <v>66803.86100000002</v>
      </c>
      <c r="F59" s="7">
        <f t="shared" si="1"/>
        <v>302852.145</v>
      </c>
      <c r="G59" s="14">
        <f t="shared" si="2"/>
        <v>-0.02626681243</v>
      </c>
      <c r="I59" s="15">
        <v>43497.0</v>
      </c>
      <c r="J59" s="10">
        <v>43511.0</v>
      </c>
      <c r="K59" s="11">
        <v>0.00147</v>
      </c>
      <c r="L59" s="4"/>
      <c r="M59" s="12">
        <v>43185.0</v>
      </c>
      <c r="N59" s="2">
        <v>265.11</v>
      </c>
      <c r="O59" s="3" t="s">
        <v>33</v>
      </c>
      <c r="P59" s="4" t="str">
        <f t="array" ref="P59">XLOOKUP(O59,Agregado!$B$2:$B$1511,Agregado!$G$2:$G$1511)</f>
        <v>#N/A</v>
      </c>
    </row>
    <row r="60" ht="15.75" customHeight="1">
      <c r="B60" s="13" t="s">
        <v>979</v>
      </c>
      <c r="C60" s="7">
        <v>137473.103</v>
      </c>
      <c r="D60" s="7">
        <v>90677.03100000002</v>
      </c>
      <c r="E60" s="7">
        <v>67071.80200000003</v>
      </c>
      <c r="F60" s="7">
        <f t="shared" si="1"/>
        <v>295221.936</v>
      </c>
      <c r="G60" s="14">
        <f t="shared" si="2"/>
        <v>-0.02551731721</v>
      </c>
      <c r="I60" s="15">
        <v>43504.0</v>
      </c>
      <c r="J60" s="10">
        <v>43518.0</v>
      </c>
      <c r="K60" s="11">
        <v>0.0042</v>
      </c>
      <c r="L60" s="4"/>
      <c r="M60" s="12">
        <v>43186.0</v>
      </c>
      <c r="N60" s="2">
        <v>260.6</v>
      </c>
      <c r="O60" s="3" t="s">
        <v>34</v>
      </c>
      <c r="P60" s="4" t="str">
        <f t="array" ref="P60">XLOOKUP(O60,Agregado!$B$2:$B$1511,Agregado!$G$2:$G$1511)</f>
        <v>#N/A</v>
      </c>
    </row>
    <row r="61" ht="15.75" customHeight="1">
      <c r="B61" s="13" t="s">
        <v>980</v>
      </c>
      <c r="C61" s="7">
        <v>139249.44700000001</v>
      </c>
      <c r="D61" s="7">
        <v>90503.52700000002</v>
      </c>
      <c r="E61" s="7">
        <v>65848.11400000003</v>
      </c>
      <c r="F61" s="7">
        <f t="shared" si="1"/>
        <v>295601.088</v>
      </c>
      <c r="G61" s="14">
        <f t="shared" si="2"/>
        <v>0.001283470808</v>
      </c>
      <c r="I61" s="15">
        <v>43511.0</v>
      </c>
      <c r="J61" s="10">
        <v>43525.0</v>
      </c>
      <c r="K61" s="11">
        <v>0.00767</v>
      </c>
      <c r="L61" s="4"/>
      <c r="M61" s="12">
        <v>43187.0</v>
      </c>
      <c r="N61" s="2">
        <v>259.83</v>
      </c>
      <c r="O61" s="3" t="s">
        <v>35</v>
      </c>
      <c r="P61" s="4" t="str">
        <f t="array" ref="P61">XLOOKUP(O61,Agregado!$B$2:$B$1511,Agregado!$G$2:$G$1511)</f>
        <v>#N/A</v>
      </c>
    </row>
    <row r="62" ht="15.75" customHeight="1">
      <c r="B62" s="13" t="s">
        <v>981</v>
      </c>
      <c r="C62" s="7">
        <v>142219.65800000002</v>
      </c>
      <c r="D62" s="7">
        <v>90765.84500000002</v>
      </c>
      <c r="E62" s="7">
        <v>65381.45900000003</v>
      </c>
      <c r="F62" s="7">
        <f t="shared" si="1"/>
        <v>298366.962</v>
      </c>
      <c r="G62" s="14">
        <f t="shared" si="2"/>
        <v>0.009313275325</v>
      </c>
      <c r="I62" s="15">
        <v>43518.0</v>
      </c>
      <c r="J62" s="10">
        <v>43532.0</v>
      </c>
      <c r="K62" s="11">
        <v>-0.01743</v>
      </c>
      <c r="L62" s="4"/>
      <c r="M62" s="12">
        <v>43188.0</v>
      </c>
      <c r="N62" s="2">
        <v>263.15</v>
      </c>
      <c r="O62" s="3" t="s">
        <v>36</v>
      </c>
      <c r="P62" s="4" t="str">
        <f t="array" ref="P62">XLOOKUP(O62,Agregado!$B$2:$B$1511,Agregado!$G$2:$G$1511)</f>
        <v>#N/A</v>
      </c>
    </row>
    <row r="63" ht="15.75" customHeight="1">
      <c r="B63" s="13" t="s">
        <v>982</v>
      </c>
      <c r="C63" s="7">
        <v>140829.57200000001</v>
      </c>
      <c r="D63" s="7">
        <v>90700.44600000001</v>
      </c>
      <c r="E63" s="7">
        <v>65538.32800000004</v>
      </c>
      <c r="F63" s="7">
        <f t="shared" si="1"/>
        <v>297068.346</v>
      </c>
      <c r="G63" s="14">
        <f t="shared" si="2"/>
        <v>-0.004361911501</v>
      </c>
      <c r="I63" s="15">
        <v>43525.0</v>
      </c>
      <c r="J63" s="10">
        <v>43539.0</v>
      </c>
      <c r="K63" s="11">
        <v>0.0365</v>
      </c>
      <c r="L63" s="4"/>
      <c r="M63" s="12">
        <v>43192.0</v>
      </c>
      <c r="N63" s="2">
        <v>257.47</v>
      </c>
      <c r="O63" s="3">
        <v>43135.0</v>
      </c>
      <c r="P63" s="4" t="str">
        <f t="array" ref="P63">XLOOKUP(O63,Agregado!$B$2:$B$1511,Agregado!$G$2:$G$1511)</f>
        <v>#N/A</v>
      </c>
    </row>
    <row r="64" ht="15.75" customHeight="1">
      <c r="B64" s="13" t="s">
        <v>983</v>
      </c>
      <c r="C64" s="7">
        <v>138195.39700000003</v>
      </c>
      <c r="D64" s="7">
        <v>90766.748</v>
      </c>
      <c r="E64" s="7">
        <v>65568.73900000003</v>
      </c>
      <c r="F64" s="7">
        <f t="shared" si="1"/>
        <v>294530.884</v>
      </c>
      <c r="G64" s="14">
        <f t="shared" si="2"/>
        <v>-0.008578366678</v>
      </c>
      <c r="I64" s="15">
        <v>43532.0</v>
      </c>
      <c r="J64" s="10">
        <v>43546.0</v>
      </c>
      <c r="K64" s="11">
        <v>0.01427</v>
      </c>
      <c r="L64" s="4"/>
      <c r="M64" s="12">
        <v>43193.0</v>
      </c>
      <c r="N64" s="2">
        <v>260.77</v>
      </c>
      <c r="O64" s="3">
        <v>43163.0</v>
      </c>
      <c r="P64" s="4" t="str">
        <f t="array" ref="P64">XLOOKUP(O64,Agregado!$B$2:$B$1511,Agregado!$G$2:$G$1511)</f>
        <v>#N/A</v>
      </c>
    </row>
    <row r="65" ht="15.75" customHeight="1">
      <c r="B65" s="13" t="s">
        <v>984</v>
      </c>
      <c r="C65" s="7">
        <v>135993.46700000003</v>
      </c>
      <c r="D65" s="7">
        <v>90974.17700000001</v>
      </c>
      <c r="E65" s="7">
        <v>65693.96000000004</v>
      </c>
      <c r="F65" s="7">
        <f t="shared" si="1"/>
        <v>292661.604</v>
      </c>
      <c r="G65" s="14">
        <f t="shared" si="2"/>
        <v>-0.006366860451</v>
      </c>
      <c r="I65" s="15">
        <v>43539.0</v>
      </c>
      <c r="J65" s="10">
        <v>43553.0</v>
      </c>
      <c r="K65" s="11">
        <v>-0.00408</v>
      </c>
      <c r="L65" s="4"/>
      <c r="M65" s="12">
        <v>43194.0</v>
      </c>
      <c r="N65" s="2">
        <v>263.56</v>
      </c>
      <c r="O65" s="3">
        <v>43194.0</v>
      </c>
      <c r="P65" s="4" t="str">
        <f t="array" ref="P65">XLOOKUP(O65,Agregado!$B$2:$B$1511,Agregado!$G$2:$G$1511)</f>
        <v>#N/A</v>
      </c>
    </row>
    <row r="66" ht="15.75" customHeight="1">
      <c r="B66" s="13" t="s">
        <v>985</v>
      </c>
      <c r="C66" s="7">
        <v>134637.33300000004</v>
      </c>
      <c r="D66" s="7">
        <v>90947.92000000001</v>
      </c>
      <c r="E66" s="7">
        <v>65611.25600000004</v>
      </c>
      <c r="F66" s="7">
        <f t="shared" si="1"/>
        <v>291196.509</v>
      </c>
      <c r="G66" s="14">
        <f t="shared" si="2"/>
        <v>-0.005018678485</v>
      </c>
      <c r="I66" s="15">
        <v>43546.0</v>
      </c>
      <c r="J66" s="10">
        <v>43560.0</v>
      </c>
      <c r="K66" s="11">
        <v>0.0154799999999999</v>
      </c>
      <c r="L66" s="4"/>
      <c r="M66" s="12">
        <v>43195.0</v>
      </c>
      <c r="N66" s="2">
        <v>265.64</v>
      </c>
      <c r="O66" s="3">
        <v>43224.0</v>
      </c>
      <c r="P66" s="4" t="str">
        <f t="array" ref="P66">XLOOKUP(O66,Agregado!$B$2:$B$1511,Agregado!$G$2:$G$1511)</f>
        <v>#N/A</v>
      </c>
    </row>
    <row r="67" ht="15.75" customHeight="1">
      <c r="B67" s="13" t="s">
        <v>986</v>
      </c>
      <c r="C67" s="7">
        <v>134122.86600000004</v>
      </c>
      <c r="D67" s="7">
        <v>91080.73200000002</v>
      </c>
      <c r="E67" s="7">
        <v>65726.49000000003</v>
      </c>
      <c r="F67" s="7">
        <f t="shared" si="1"/>
        <v>290930.088</v>
      </c>
      <c r="G67" s="14">
        <f t="shared" si="2"/>
        <v>-0.0009153370417</v>
      </c>
      <c r="I67" s="15">
        <v>43553.0</v>
      </c>
      <c r="J67" s="10">
        <v>43567.0</v>
      </c>
      <c r="K67" s="11">
        <v>0.01958</v>
      </c>
      <c r="L67" s="4"/>
      <c r="M67" s="12">
        <v>43196.0</v>
      </c>
      <c r="N67" s="2">
        <v>259.72</v>
      </c>
      <c r="O67" s="3">
        <v>43255.0</v>
      </c>
      <c r="P67" s="4" t="str">
        <f t="array" ref="P67">XLOOKUP(O67,Agregado!$B$2:$B$1511,Agregado!$G$2:$G$1511)</f>
        <v>#N/A</v>
      </c>
    </row>
    <row r="68" ht="15.75" customHeight="1">
      <c r="B68" s="13" t="s">
        <v>987</v>
      </c>
      <c r="C68" s="7">
        <v>135212.13600000003</v>
      </c>
      <c r="D68" s="7">
        <v>91080.73200000002</v>
      </c>
      <c r="E68" s="7">
        <v>65830.82100000004</v>
      </c>
      <c r="F68" s="7">
        <f t="shared" si="1"/>
        <v>292123.689</v>
      </c>
      <c r="G68" s="14">
        <f t="shared" si="2"/>
        <v>0.004094314159</v>
      </c>
      <c r="I68" s="15">
        <v>43560.0</v>
      </c>
      <c r="J68" s="10">
        <v>43573.0</v>
      </c>
      <c r="K68" s="11">
        <v>0.00256999999999999</v>
      </c>
      <c r="L68" s="4"/>
      <c r="M68" s="12">
        <v>43199.0</v>
      </c>
      <c r="N68" s="2">
        <v>261.0</v>
      </c>
      <c r="O68" s="3">
        <v>43347.0</v>
      </c>
      <c r="P68" s="4" t="str">
        <f t="array" ref="P68">XLOOKUP(O68,Agregado!$B$2:$B$1511,Agregado!$G$2:$G$1511)</f>
        <v>#N/A</v>
      </c>
    </row>
    <row r="69" ht="15.75" customHeight="1">
      <c r="B69" s="13" t="s">
        <v>988</v>
      </c>
      <c r="C69" s="7">
        <v>133120.27100000004</v>
      </c>
      <c r="D69" s="7">
        <v>91198.46400000002</v>
      </c>
      <c r="E69" s="7">
        <v>65927.89800000004</v>
      </c>
      <c r="F69" s="7">
        <f t="shared" si="1"/>
        <v>290246.633</v>
      </c>
      <c r="G69" s="14">
        <f t="shared" si="2"/>
        <v>-0.006446284878</v>
      </c>
      <c r="I69" s="15">
        <v>43567.0</v>
      </c>
      <c r="J69" s="10">
        <v>43581.0</v>
      </c>
      <c r="K69" s="11">
        <v>-0.01436</v>
      </c>
      <c r="L69" s="4"/>
      <c r="M69" s="12">
        <v>43200.0</v>
      </c>
      <c r="N69" s="2">
        <v>265.15</v>
      </c>
      <c r="O69" s="3">
        <v>43377.0</v>
      </c>
      <c r="P69" s="4" t="str">
        <f t="array" ref="P69">XLOOKUP(O69,Agregado!$B$2:$B$1511,Agregado!$G$2:$G$1511)</f>
        <v>#N/A</v>
      </c>
    </row>
    <row r="70" ht="15.75" customHeight="1">
      <c r="B70" s="13" t="s">
        <v>989</v>
      </c>
      <c r="C70" s="7">
        <v>137488.69900000002</v>
      </c>
      <c r="D70" s="7">
        <v>91434.78400000003</v>
      </c>
      <c r="E70" s="7">
        <v>65706.61700000004</v>
      </c>
      <c r="F70" s="7">
        <f t="shared" si="1"/>
        <v>294630.1</v>
      </c>
      <c r="G70" s="14">
        <f t="shared" si="2"/>
        <v>0.01498965108</v>
      </c>
      <c r="I70" s="15">
        <v>43573.0</v>
      </c>
      <c r="J70" s="10">
        <v>43588.0</v>
      </c>
      <c r="K70" s="11">
        <v>-9.0E-5</v>
      </c>
      <c r="L70" s="4"/>
      <c r="M70" s="12">
        <v>43201.0</v>
      </c>
      <c r="N70" s="2">
        <v>263.76</v>
      </c>
      <c r="O70" s="3">
        <v>43408.0</v>
      </c>
      <c r="P70" s="4" t="str">
        <f t="array" ref="P70">XLOOKUP(O70,Agregado!$B$2:$B$1511,Agregado!$G$2:$G$1511)</f>
        <v>#N/A</v>
      </c>
    </row>
    <row r="71" ht="15.75" customHeight="1">
      <c r="B71" s="13" t="s">
        <v>990</v>
      </c>
      <c r="C71" s="7">
        <v>138098.58200000002</v>
      </c>
      <c r="D71" s="7">
        <v>90660.55700000003</v>
      </c>
      <c r="E71" s="7">
        <v>65646.89200000004</v>
      </c>
      <c r="F71" s="7">
        <f t="shared" si="1"/>
        <v>294406.031</v>
      </c>
      <c r="G71" s="14">
        <f t="shared" si="2"/>
        <v>-0.0007607988679</v>
      </c>
      <c r="I71" s="15">
        <v>43581.0</v>
      </c>
      <c r="J71" s="10">
        <v>43595.0</v>
      </c>
      <c r="K71" s="11">
        <v>-0.0227</v>
      </c>
      <c r="L71" s="4"/>
      <c r="M71" s="12">
        <v>43202.0</v>
      </c>
      <c r="N71" s="2">
        <v>265.93</v>
      </c>
      <c r="O71" s="3">
        <v>43438.0</v>
      </c>
      <c r="P71" s="4" t="str">
        <f t="array" ref="P71">XLOOKUP(O71,Agregado!$B$2:$B$1511,Agregado!$G$2:$G$1511)</f>
        <v>#N/A</v>
      </c>
    </row>
    <row r="72" ht="15.75" customHeight="1">
      <c r="B72" s="13" t="s">
        <v>991</v>
      </c>
      <c r="C72" s="7">
        <v>138388.66600000003</v>
      </c>
      <c r="D72" s="7">
        <v>90527.80100000004</v>
      </c>
      <c r="E72" s="7">
        <v>65590.72000000003</v>
      </c>
      <c r="F72" s="7">
        <f t="shared" si="1"/>
        <v>294507.187</v>
      </c>
      <c r="G72" s="14">
        <f t="shared" si="2"/>
        <v>0.00034353449</v>
      </c>
      <c r="I72" s="15">
        <v>43588.0</v>
      </c>
      <c r="J72" s="10">
        <v>43602.0</v>
      </c>
      <c r="K72" s="11">
        <v>-0.00697999999999999</v>
      </c>
      <c r="L72" s="4"/>
      <c r="M72" s="12">
        <v>43203.0</v>
      </c>
      <c r="N72" s="2">
        <v>265.15</v>
      </c>
      <c r="O72" s="3" t="s">
        <v>37</v>
      </c>
      <c r="P72" s="4" t="str">
        <f t="array" ref="P72">XLOOKUP(O72,Agregado!$B$2:$B$1511,Agregado!$G$2:$G$1511)</f>
        <v>#N/A</v>
      </c>
    </row>
    <row r="73" ht="15.75" customHeight="1">
      <c r="B73" s="13" t="s">
        <v>992</v>
      </c>
      <c r="C73" s="7">
        <v>138322.18600000002</v>
      </c>
      <c r="D73" s="7">
        <v>90554.57400000004</v>
      </c>
      <c r="E73" s="7">
        <v>65590.78500000003</v>
      </c>
      <c r="F73" s="7">
        <f t="shared" si="1"/>
        <v>294467.545</v>
      </c>
      <c r="G73" s="14">
        <f t="shared" si="2"/>
        <v>-0.000134613585</v>
      </c>
      <c r="I73" s="15">
        <v>43595.0</v>
      </c>
      <c r="J73" s="10">
        <v>43609.0</v>
      </c>
      <c r="K73" s="11">
        <v>0.00947</v>
      </c>
      <c r="L73" s="4"/>
      <c r="M73" s="12">
        <v>43206.0</v>
      </c>
      <c r="N73" s="2">
        <v>267.33</v>
      </c>
      <c r="O73" s="3" t="s">
        <v>38</v>
      </c>
      <c r="P73" s="4" t="str">
        <f t="array" ref="P73">XLOOKUP(O73,Agregado!$B$2:$B$1511,Agregado!$G$2:$G$1511)</f>
        <v>#N/A</v>
      </c>
    </row>
    <row r="74" ht="15.75" customHeight="1">
      <c r="B74" s="13" t="s">
        <v>993</v>
      </c>
      <c r="C74" s="7">
        <v>138879.01100000003</v>
      </c>
      <c r="D74" s="7">
        <v>90421.09100000004</v>
      </c>
      <c r="E74" s="7">
        <v>65615.17100000003</v>
      </c>
      <c r="F74" s="7">
        <f t="shared" si="1"/>
        <v>294915.273</v>
      </c>
      <c r="G74" s="14">
        <f t="shared" si="2"/>
        <v>0.001519311634</v>
      </c>
      <c r="I74" s="15">
        <v>43602.0</v>
      </c>
      <c r="J74" s="10">
        <v>43616.0</v>
      </c>
      <c r="K74" s="11">
        <v>-0.0117</v>
      </c>
      <c r="L74" s="4"/>
      <c r="M74" s="12">
        <v>43207.0</v>
      </c>
      <c r="N74" s="2">
        <v>270.19</v>
      </c>
      <c r="O74" s="3" t="s">
        <v>39</v>
      </c>
      <c r="P74" s="4" t="str">
        <f t="array" ref="P74">XLOOKUP(O74,Agregado!$B$2:$B$1511,Agregado!$G$2:$G$1511)</f>
        <v>#N/A</v>
      </c>
    </row>
    <row r="75" ht="15.75" customHeight="1">
      <c r="B75" s="13" t="s">
        <v>994</v>
      </c>
      <c r="C75" s="7">
        <v>138745.35600000003</v>
      </c>
      <c r="D75" s="7">
        <v>90353.80700000004</v>
      </c>
      <c r="E75" s="7">
        <v>65664.27900000002</v>
      </c>
      <c r="F75" s="7">
        <f t="shared" si="1"/>
        <v>294763.442</v>
      </c>
      <c r="G75" s="14">
        <f t="shared" si="2"/>
        <v>-0.0005149617902</v>
      </c>
      <c r="I75" s="15">
        <v>43609.0</v>
      </c>
      <c r="J75" s="10">
        <v>43623.0</v>
      </c>
      <c r="K75" s="11">
        <v>0.01332</v>
      </c>
      <c r="L75" s="4"/>
      <c r="M75" s="12">
        <v>43208.0</v>
      </c>
      <c r="N75" s="2">
        <v>270.39</v>
      </c>
      <c r="O75" s="3" t="s">
        <v>40</v>
      </c>
      <c r="P75" s="4" t="str">
        <f t="array" ref="P75">XLOOKUP(O75,Agregado!$B$2:$B$1511,Agregado!$G$2:$G$1511)</f>
        <v>#N/A</v>
      </c>
    </row>
    <row r="76" ht="15.75" customHeight="1">
      <c r="B76" s="13" t="s">
        <v>995</v>
      </c>
      <c r="C76" s="7">
        <v>138407.66500000004</v>
      </c>
      <c r="D76" s="7">
        <v>90421.80800000005</v>
      </c>
      <c r="E76" s="7">
        <v>65951.01300000002</v>
      </c>
      <c r="F76" s="7">
        <f t="shared" si="1"/>
        <v>294780.486</v>
      </c>
      <c r="G76" s="14">
        <f t="shared" si="2"/>
        <v>0.00005782096701</v>
      </c>
      <c r="I76" s="15">
        <v>43616.0</v>
      </c>
      <c r="J76" s="10">
        <v>43630.0</v>
      </c>
      <c r="K76" s="11">
        <v>0.00543999999999999</v>
      </c>
      <c r="L76" s="4"/>
      <c r="M76" s="12">
        <v>43209.0</v>
      </c>
      <c r="N76" s="2">
        <v>268.89</v>
      </c>
      <c r="O76" s="3" t="s">
        <v>41</v>
      </c>
      <c r="P76" s="4" t="str">
        <f t="array" ref="P76">XLOOKUP(O76,Agregado!$B$2:$B$1511,Agregado!$G$2:$G$1511)</f>
        <v>#N/A</v>
      </c>
    </row>
    <row r="77" ht="15.75" customHeight="1">
      <c r="B77" s="13" t="s">
        <v>996</v>
      </c>
      <c r="C77" s="7">
        <v>139097.12800000003</v>
      </c>
      <c r="D77" s="7">
        <v>90625.98200000005</v>
      </c>
      <c r="E77" s="7">
        <v>65928.78800000002</v>
      </c>
      <c r="F77" s="7">
        <f t="shared" si="1"/>
        <v>295651.898</v>
      </c>
      <c r="G77" s="14">
        <f t="shared" si="2"/>
        <v>0.002951777905</v>
      </c>
      <c r="I77" s="15">
        <v>43623.0</v>
      </c>
      <c r="J77" s="10">
        <v>43637.0</v>
      </c>
      <c r="K77" s="11">
        <v>-0.00389</v>
      </c>
      <c r="L77" s="4"/>
      <c r="M77" s="12">
        <v>43210.0</v>
      </c>
      <c r="N77" s="2">
        <v>266.61</v>
      </c>
      <c r="O77" s="3" t="s">
        <v>42</v>
      </c>
      <c r="P77" s="4" t="str">
        <f t="array" ref="P77">XLOOKUP(O77,Agregado!$B$2:$B$1511,Agregado!$G$2:$G$1511)</f>
        <v>#N/A</v>
      </c>
    </row>
    <row r="78" ht="15.75" customHeight="1">
      <c r="B78" s="13" t="s">
        <v>997</v>
      </c>
      <c r="C78" s="7">
        <v>138505.62500000003</v>
      </c>
      <c r="D78" s="7">
        <v>90625.98200000005</v>
      </c>
      <c r="E78" s="7">
        <v>66033.97800000002</v>
      </c>
      <c r="F78" s="7">
        <f t="shared" si="1"/>
        <v>295165.585</v>
      </c>
      <c r="G78" s="14">
        <f t="shared" si="2"/>
        <v>-0.001646238048</v>
      </c>
      <c r="I78" s="15">
        <v>43630.0</v>
      </c>
      <c r="J78" s="10">
        <v>43644.0</v>
      </c>
      <c r="K78" s="11">
        <v>-0.01031</v>
      </c>
      <c r="L78" s="4"/>
      <c r="M78" s="12">
        <v>43213.0</v>
      </c>
      <c r="N78" s="2">
        <v>266.57</v>
      </c>
      <c r="O78" s="3" t="s">
        <v>43</v>
      </c>
      <c r="P78" s="4" t="str">
        <f t="array" ref="P78">XLOOKUP(O78,Agregado!$B$2:$B$1511,Agregado!$G$2:$G$1511)</f>
        <v>#N/A</v>
      </c>
    </row>
    <row r="79" ht="15.75" customHeight="1">
      <c r="B79" s="13" t="s">
        <v>998</v>
      </c>
      <c r="C79" s="7">
        <v>139758.57100000003</v>
      </c>
      <c r="D79" s="7">
        <v>90612.56200000005</v>
      </c>
      <c r="E79" s="7">
        <v>66059.95800000001</v>
      </c>
      <c r="F79" s="7">
        <f t="shared" si="1"/>
        <v>296431.091</v>
      </c>
      <c r="G79" s="14">
        <f t="shared" si="2"/>
        <v>0.004278279381</v>
      </c>
      <c r="I79" s="15">
        <v>43637.0</v>
      </c>
      <c r="J79" s="10">
        <v>43651.0</v>
      </c>
      <c r="K79" s="11">
        <v>0.00343</v>
      </c>
      <c r="L79" s="4"/>
      <c r="M79" s="12">
        <v>43214.0</v>
      </c>
      <c r="N79" s="2">
        <v>262.98</v>
      </c>
      <c r="O79" s="3" t="s">
        <v>44</v>
      </c>
      <c r="P79" s="4" t="str">
        <f t="array" ref="P79">XLOOKUP(O79,Agregado!$B$2:$B$1511,Agregado!$G$2:$G$1511)</f>
        <v>#N/A</v>
      </c>
    </row>
    <row r="80" ht="15.75" customHeight="1">
      <c r="B80" s="13" t="s">
        <v>999</v>
      </c>
      <c r="C80" s="7">
        <v>140904.94700000001</v>
      </c>
      <c r="D80" s="7">
        <v>92451.25600000005</v>
      </c>
      <c r="E80" s="7">
        <v>66072.74600000001</v>
      </c>
      <c r="F80" s="7">
        <f t="shared" si="1"/>
        <v>299428.949</v>
      </c>
      <c r="G80" s="14">
        <f t="shared" si="2"/>
        <v>0.01006237403</v>
      </c>
      <c r="I80" s="15">
        <v>43644.0</v>
      </c>
      <c r="J80" s="10">
        <v>43658.0</v>
      </c>
      <c r="K80" s="11">
        <v>0.01949</v>
      </c>
      <c r="L80" s="4"/>
      <c r="M80" s="12">
        <v>43215.0</v>
      </c>
      <c r="N80" s="2">
        <v>263.63</v>
      </c>
      <c r="O80" s="3" t="s">
        <v>45</v>
      </c>
      <c r="P80" s="4" t="str">
        <f t="array" ref="P80">XLOOKUP(O80,Agregado!$B$2:$B$1511,Agregado!$G$2:$G$1511)</f>
        <v>#N/A</v>
      </c>
    </row>
    <row r="81" ht="15.75" customHeight="1">
      <c r="B81" s="13" t="s">
        <v>1000</v>
      </c>
      <c r="C81" s="7">
        <v>138603.32100000003</v>
      </c>
      <c r="D81" s="7">
        <v>92252.62800000006</v>
      </c>
      <c r="E81" s="7">
        <v>66025.18300000002</v>
      </c>
      <c r="F81" s="7">
        <f t="shared" si="1"/>
        <v>296881.132</v>
      </c>
      <c r="G81" s="14">
        <f t="shared" si="2"/>
        <v>-0.008545327625</v>
      </c>
      <c r="I81" s="15">
        <v>43651.0</v>
      </c>
      <c r="J81" s="10">
        <v>43665.0</v>
      </c>
      <c r="K81" s="11">
        <v>0.01016</v>
      </c>
      <c r="L81" s="4"/>
      <c r="M81" s="12">
        <v>43216.0</v>
      </c>
      <c r="N81" s="2">
        <v>266.31</v>
      </c>
      <c r="O81" s="3" t="s">
        <v>46</v>
      </c>
      <c r="P81" s="4" t="str">
        <f t="array" ref="P81">XLOOKUP(O81,Agregado!$B$2:$B$1511,Agregado!$G$2:$G$1511)</f>
        <v>#N/A</v>
      </c>
    </row>
    <row r="82" ht="15.75" customHeight="1">
      <c r="B82" s="13" t="s">
        <v>1001</v>
      </c>
      <c r="C82" s="7">
        <v>137272.52000000002</v>
      </c>
      <c r="D82" s="7">
        <v>92478.15400000005</v>
      </c>
      <c r="E82" s="7">
        <v>66043.56800000001</v>
      </c>
      <c r="F82" s="7">
        <f t="shared" si="1"/>
        <v>295794.242</v>
      </c>
      <c r="G82" s="14">
        <f t="shared" si="2"/>
        <v>-0.003667745502</v>
      </c>
      <c r="I82" s="15">
        <v>43658.0</v>
      </c>
      <c r="J82" s="10">
        <v>43672.0</v>
      </c>
      <c r="K82" s="11">
        <v>-0.00876999999999999</v>
      </c>
      <c r="L82" s="4"/>
      <c r="M82" s="12">
        <v>43217.0</v>
      </c>
      <c r="N82" s="2">
        <v>266.56</v>
      </c>
      <c r="O82" s="3" t="s">
        <v>47</v>
      </c>
      <c r="P82" s="4" t="str">
        <f t="array" ref="P82">XLOOKUP(O82,Agregado!$B$2:$B$1511,Agregado!$G$2:$G$1511)</f>
        <v>#N/A</v>
      </c>
    </row>
    <row r="83" ht="15.75" customHeight="1">
      <c r="B83" s="13" t="s">
        <v>1002</v>
      </c>
      <c r="C83" s="7">
        <v>138803.57300000003</v>
      </c>
      <c r="D83" s="7">
        <v>92518.36800000006</v>
      </c>
      <c r="E83" s="7">
        <v>66055.84600000002</v>
      </c>
      <c r="F83" s="7">
        <f t="shared" si="1"/>
        <v>297377.787</v>
      </c>
      <c r="G83" s="14">
        <f t="shared" si="2"/>
        <v>0.005339256352</v>
      </c>
      <c r="I83" s="15">
        <v>43665.0</v>
      </c>
      <c r="J83" s="10">
        <v>43679.0</v>
      </c>
      <c r="K83" s="11">
        <v>0.00436999999999999</v>
      </c>
      <c r="L83" s="4"/>
      <c r="M83" s="12">
        <v>43220.0</v>
      </c>
      <c r="N83" s="2">
        <v>264.51</v>
      </c>
      <c r="O83" s="3" t="s">
        <v>48</v>
      </c>
      <c r="P83" s="4" t="str">
        <f t="array" ref="P83">XLOOKUP(O83,Agregado!$B$2:$B$1511,Agregado!$G$2:$G$1511)</f>
        <v>#N/A</v>
      </c>
    </row>
    <row r="84" ht="15.75" customHeight="1">
      <c r="B84" s="13" t="s">
        <v>1003</v>
      </c>
      <c r="C84" s="7">
        <v>139709.94000000003</v>
      </c>
      <c r="D84" s="7">
        <v>92545.20900000006</v>
      </c>
      <c r="E84" s="7">
        <v>66111.03200000002</v>
      </c>
      <c r="F84" s="7">
        <f t="shared" si="1"/>
        <v>298366.181</v>
      </c>
      <c r="G84" s="14">
        <f t="shared" si="2"/>
        <v>0.003318186872</v>
      </c>
      <c r="I84" s="15">
        <v>43672.0</v>
      </c>
      <c r="J84" s="10">
        <v>43686.0</v>
      </c>
      <c r="K84" s="11">
        <v>-0.0155999999999999</v>
      </c>
      <c r="L84" s="4"/>
      <c r="M84" s="12">
        <v>43221.0</v>
      </c>
      <c r="N84" s="2">
        <v>264.98</v>
      </c>
      <c r="O84" s="3">
        <v>43105.0</v>
      </c>
      <c r="P84" s="4" t="str">
        <f t="array" ref="P84">XLOOKUP(O84,Agregado!$B$2:$B$1511,Agregado!$G$2:$G$1511)</f>
        <v>#N/A</v>
      </c>
    </row>
    <row r="85" ht="15.75" customHeight="1">
      <c r="B85" s="13" t="s">
        <v>1004</v>
      </c>
      <c r="C85" s="7">
        <v>139630.61800000005</v>
      </c>
      <c r="D85" s="7">
        <v>92278.99300000006</v>
      </c>
      <c r="E85" s="7">
        <v>66153.53400000001</v>
      </c>
      <c r="F85" s="7">
        <f t="shared" si="1"/>
        <v>298063.145</v>
      </c>
      <c r="G85" s="14">
        <f t="shared" si="2"/>
        <v>-0.001016167425</v>
      </c>
      <c r="I85" s="15">
        <v>43679.0</v>
      </c>
      <c r="J85" s="10">
        <v>43693.0</v>
      </c>
      <c r="K85" s="11">
        <v>-0.00272999999999999</v>
      </c>
      <c r="L85" s="4"/>
      <c r="M85" s="12">
        <v>43222.0</v>
      </c>
      <c r="N85" s="2">
        <v>263.2</v>
      </c>
      <c r="O85" s="3">
        <v>43136.0</v>
      </c>
      <c r="P85" s="4" t="str">
        <f t="array" ref="P85">XLOOKUP(O85,Agregado!$B$2:$B$1511,Agregado!$G$2:$G$1511)</f>
        <v>#N/A</v>
      </c>
    </row>
    <row r="86" ht="15.75" customHeight="1">
      <c r="B86" s="13" t="s">
        <v>1005</v>
      </c>
      <c r="C86" s="7">
        <v>140107.76400000005</v>
      </c>
      <c r="D86" s="7">
        <v>92612.61300000006</v>
      </c>
      <c r="E86" s="7">
        <v>66062.22500000002</v>
      </c>
      <c r="F86" s="7">
        <f t="shared" si="1"/>
        <v>298782.602</v>
      </c>
      <c r="G86" s="14">
        <f t="shared" si="2"/>
        <v>0.002410865293</v>
      </c>
      <c r="I86" s="15">
        <v>43686.0</v>
      </c>
      <c r="J86" s="10">
        <v>43700.0</v>
      </c>
      <c r="K86" s="11">
        <v>0.00114999999999999</v>
      </c>
      <c r="L86" s="4"/>
      <c r="M86" s="12">
        <v>43223.0</v>
      </c>
      <c r="N86" s="2">
        <v>262.62</v>
      </c>
      <c r="O86" s="3">
        <v>43164.0</v>
      </c>
      <c r="P86" s="4" t="str">
        <f t="array" ref="P86">XLOOKUP(O86,Agregado!$B$2:$B$1511,Agregado!$G$2:$G$1511)</f>
        <v>#N/A</v>
      </c>
    </row>
    <row r="87" ht="15.75" customHeight="1">
      <c r="B87" s="13" t="s">
        <v>1006</v>
      </c>
      <c r="C87" s="7">
        <v>139515.62300000005</v>
      </c>
      <c r="D87" s="7">
        <v>91804.45100000006</v>
      </c>
      <c r="E87" s="7">
        <v>66014.18200000002</v>
      </c>
      <c r="F87" s="7">
        <f t="shared" si="1"/>
        <v>297334.256</v>
      </c>
      <c r="G87" s="14">
        <f t="shared" si="2"/>
        <v>-0.004859278279</v>
      </c>
      <c r="I87" s="15">
        <v>43693.0</v>
      </c>
      <c r="J87" s="10">
        <v>43707.0</v>
      </c>
      <c r="K87" s="11">
        <v>0.00315</v>
      </c>
      <c r="L87" s="4"/>
      <c r="M87" s="12">
        <v>43224.0</v>
      </c>
      <c r="N87" s="2">
        <v>266.02</v>
      </c>
      <c r="O87" s="3">
        <v>43195.0</v>
      </c>
      <c r="P87" s="4" t="str">
        <f t="array" ref="P87">XLOOKUP(O87,Agregado!$B$2:$B$1511,Agregado!$G$2:$G$1511)</f>
        <v>#N/A</v>
      </c>
    </row>
    <row r="88" ht="15.75" customHeight="1">
      <c r="B88" s="13" t="s">
        <v>1007</v>
      </c>
      <c r="C88" s="7">
        <v>134696.75000000006</v>
      </c>
      <c r="D88" s="7">
        <v>95215.27200000006</v>
      </c>
      <c r="E88" s="7">
        <v>65990.43800000001</v>
      </c>
      <c r="F88" s="7">
        <f t="shared" si="1"/>
        <v>295902.46</v>
      </c>
      <c r="G88" s="14">
        <f t="shared" si="2"/>
        <v>-0.004827074055</v>
      </c>
      <c r="I88" s="15">
        <v>43700.0</v>
      </c>
      <c r="J88" s="10">
        <v>43714.0</v>
      </c>
      <c r="K88" s="11">
        <v>0.00147999999999999</v>
      </c>
      <c r="L88" s="4"/>
      <c r="M88" s="12">
        <v>43227.0</v>
      </c>
      <c r="N88" s="2">
        <v>266.92</v>
      </c>
      <c r="O88" s="3">
        <v>43286.0</v>
      </c>
      <c r="P88" s="4" t="str">
        <f t="array" ref="P88">XLOOKUP(O88,Agregado!$B$2:$B$1511,Agregado!$G$2:$G$1511)</f>
        <v>#N/A</v>
      </c>
    </row>
    <row r="89" ht="15.75" customHeight="1">
      <c r="B89" s="13" t="s">
        <v>1008</v>
      </c>
      <c r="C89" s="7">
        <v>136718.45100000006</v>
      </c>
      <c r="D89" s="7">
        <v>95188.48800000006</v>
      </c>
      <c r="E89" s="7">
        <v>66216.706</v>
      </c>
      <c r="F89" s="7">
        <f t="shared" si="1"/>
        <v>298123.645</v>
      </c>
      <c r="G89" s="14">
        <f t="shared" si="2"/>
        <v>0.007478443568</v>
      </c>
      <c r="I89" s="15">
        <v>43707.0</v>
      </c>
      <c r="J89" s="10">
        <v>43721.0</v>
      </c>
      <c r="K89" s="11">
        <v>0.02156</v>
      </c>
      <c r="L89" s="4"/>
      <c r="M89" s="12">
        <v>43228.0</v>
      </c>
      <c r="N89" s="2">
        <v>266.92</v>
      </c>
      <c r="O89" s="3">
        <v>43317.0</v>
      </c>
      <c r="P89" s="4" t="str">
        <f t="array" ref="P89">XLOOKUP(O89,Agregado!$B$2:$B$1511,Agregado!$G$2:$G$1511)</f>
        <v>#N/A</v>
      </c>
    </row>
    <row r="90" ht="15.75" customHeight="1">
      <c r="B90" s="13" t="s">
        <v>1009</v>
      </c>
      <c r="C90" s="7">
        <v>136411.47500000006</v>
      </c>
      <c r="D90" s="7">
        <v>95470.69600000005</v>
      </c>
      <c r="E90" s="7">
        <v>66461.96800000001</v>
      </c>
      <c r="F90" s="7">
        <f t="shared" si="1"/>
        <v>298344.139</v>
      </c>
      <c r="G90" s="14">
        <f t="shared" si="2"/>
        <v>0.0007393325036</v>
      </c>
      <c r="I90" s="15">
        <v>43714.0</v>
      </c>
      <c r="J90" s="10">
        <v>43728.0</v>
      </c>
      <c r="K90" s="11">
        <v>-0.00452999999999999</v>
      </c>
      <c r="L90" s="4"/>
      <c r="M90" s="12">
        <v>43229.0</v>
      </c>
      <c r="N90" s="2">
        <v>269.5</v>
      </c>
      <c r="O90" s="3">
        <v>43348.0</v>
      </c>
      <c r="P90" s="4" t="str">
        <f t="array" ref="P90">XLOOKUP(O90,Agregado!$B$2:$B$1511,Agregado!$G$2:$G$1511)</f>
        <v>#N/A</v>
      </c>
    </row>
    <row r="91" ht="15.75" customHeight="1">
      <c r="B91" s="13" t="s">
        <v>1010</v>
      </c>
      <c r="C91" s="7">
        <v>136958.55600000007</v>
      </c>
      <c r="D91" s="7">
        <v>97002.29300000005</v>
      </c>
      <c r="E91" s="7">
        <v>66449.89300000001</v>
      </c>
      <c r="F91" s="7">
        <f t="shared" si="1"/>
        <v>300410.742</v>
      </c>
      <c r="G91" s="14">
        <f t="shared" si="2"/>
        <v>0.006903029176</v>
      </c>
      <c r="I91" s="15">
        <v>43721.0</v>
      </c>
      <c r="J91" s="10">
        <v>43735.0</v>
      </c>
      <c r="K91" s="11">
        <v>0.01826</v>
      </c>
      <c r="L91" s="4"/>
      <c r="M91" s="12">
        <v>43230.0</v>
      </c>
      <c r="N91" s="2">
        <v>272.02</v>
      </c>
      <c r="O91" s="3">
        <v>43378.0</v>
      </c>
      <c r="P91" s="4" t="str">
        <f t="array" ref="P91">XLOOKUP(O91,Agregado!$B$2:$B$1511,Agregado!$G$2:$G$1511)</f>
        <v>#N/A</v>
      </c>
    </row>
    <row r="92" ht="15.75" customHeight="1">
      <c r="B92" s="13" t="s">
        <v>1011</v>
      </c>
      <c r="C92" s="7">
        <v>137174.13900000008</v>
      </c>
      <c r="D92" s="7">
        <v>97042.99300000005</v>
      </c>
      <c r="E92" s="7">
        <v>66450.10100000001</v>
      </c>
      <c r="F92" s="7">
        <f t="shared" si="1"/>
        <v>300667.233</v>
      </c>
      <c r="G92" s="14">
        <f t="shared" si="2"/>
        <v>0.0008534367461</v>
      </c>
      <c r="I92" s="15">
        <v>43728.0</v>
      </c>
      <c r="J92" s="10">
        <v>43742.0</v>
      </c>
      <c r="K92" s="11">
        <v>-0.01855</v>
      </c>
      <c r="L92" s="4"/>
      <c r="M92" s="12">
        <v>43231.0</v>
      </c>
      <c r="N92" s="2">
        <v>272.85</v>
      </c>
      <c r="O92" s="3">
        <v>43409.0</v>
      </c>
      <c r="P92" s="4" t="str">
        <f t="array" ref="P92">XLOOKUP(O92,Agregado!$B$2:$B$1511,Agregado!$G$2:$G$1511)</f>
        <v>#N/A</v>
      </c>
    </row>
    <row r="93" ht="15.75" customHeight="1">
      <c r="B93" s="13" t="s">
        <v>1012</v>
      </c>
      <c r="C93" s="7">
        <v>139473.03400000007</v>
      </c>
      <c r="D93" s="7">
        <v>97015.59900000005</v>
      </c>
      <c r="E93" s="7">
        <v>66613.09300000001</v>
      </c>
      <c r="F93" s="7">
        <f t="shared" si="1"/>
        <v>303101.726</v>
      </c>
      <c r="G93" s="14">
        <f t="shared" si="2"/>
        <v>0.008064363553</v>
      </c>
      <c r="I93" s="15">
        <v>43735.0</v>
      </c>
      <c r="J93" s="10">
        <v>43749.0</v>
      </c>
      <c r="K93" s="11">
        <v>5.2E-4</v>
      </c>
      <c r="L93" s="4"/>
      <c r="M93" s="12">
        <v>43234.0</v>
      </c>
      <c r="N93" s="2">
        <v>272.98</v>
      </c>
      <c r="O93" s="3" t="s">
        <v>49</v>
      </c>
      <c r="P93" s="4" t="str">
        <f t="array" ref="P93">XLOOKUP(O93,Agregado!$B$2:$B$1511,Agregado!$G$2:$G$1511)</f>
        <v>#N/A</v>
      </c>
    </row>
    <row r="94" ht="15.75" customHeight="1">
      <c r="B94" s="13" t="s">
        <v>1013</v>
      </c>
      <c r="C94" s="7">
        <v>139936.47900000008</v>
      </c>
      <c r="D94" s="7">
        <v>97029.32400000005</v>
      </c>
      <c r="E94" s="7">
        <v>66656.96800000001</v>
      </c>
      <c r="F94" s="7">
        <f t="shared" si="1"/>
        <v>303622.771</v>
      </c>
      <c r="G94" s="14">
        <f t="shared" si="2"/>
        <v>0.001717567465</v>
      </c>
      <c r="I94" s="15">
        <v>43742.0</v>
      </c>
      <c r="J94" s="10">
        <v>43756.0</v>
      </c>
      <c r="K94" s="11">
        <v>0.0034</v>
      </c>
      <c r="L94" s="4"/>
      <c r="M94" s="12">
        <v>43235.0</v>
      </c>
      <c r="N94" s="2">
        <v>271.1</v>
      </c>
      <c r="O94" s="3" t="s">
        <v>50</v>
      </c>
      <c r="P94" s="4" t="str">
        <f t="array" ref="P94">XLOOKUP(O94,Agregado!$B$2:$B$1511,Agregado!$G$2:$G$1511)</f>
        <v>#N/A</v>
      </c>
    </row>
    <row r="95" ht="15.75" customHeight="1">
      <c r="B95" s="13" t="s">
        <v>1014</v>
      </c>
      <c r="C95" s="7">
        <v>140454.92800000007</v>
      </c>
      <c r="D95" s="7">
        <v>96878.20800000006</v>
      </c>
      <c r="E95" s="7">
        <v>66651.546</v>
      </c>
      <c r="F95" s="7">
        <f t="shared" si="1"/>
        <v>303984.682</v>
      </c>
      <c r="G95" s="14">
        <f t="shared" si="2"/>
        <v>0.001191265976</v>
      </c>
      <c r="I95" s="15">
        <v>43749.0</v>
      </c>
      <c r="J95" s="10">
        <v>43763.0</v>
      </c>
      <c r="K95" s="11">
        <v>2.69999999999999E-4</v>
      </c>
      <c r="L95" s="4"/>
      <c r="M95" s="12">
        <v>43236.0</v>
      </c>
      <c r="N95" s="2">
        <v>272.24</v>
      </c>
      <c r="O95" s="3" t="s">
        <v>51</v>
      </c>
      <c r="P95" s="4" t="str">
        <f t="array" ref="P95">XLOOKUP(O95,Agregado!$B$2:$B$1511,Agregado!$G$2:$G$1511)</f>
        <v>#N/A</v>
      </c>
    </row>
    <row r="96" ht="15.75" customHeight="1">
      <c r="B96" s="13" t="s">
        <v>1015</v>
      </c>
      <c r="C96" s="7">
        <v>142067.4920000001</v>
      </c>
      <c r="D96" s="7">
        <v>96987.36300000006</v>
      </c>
      <c r="E96" s="7">
        <v>66757.783</v>
      </c>
      <c r="F96" s="7">
        <f t="shared" si="1"/>
        <v>305812.638</v>
      </c>
      <c r="G96" s="14">
        <f t="shared" si="2"/>
        <v>0.005995308327</v>
      </c>
      <c r="I96" s="15">
        <v>43756.0</v>
      </c>
      <c r="J96" s="10">
        <v>43770.0</v>
      </c>
      <c r="K96" s="11">
        <v>-0.01449</v>
      </c>
      <c r="L96" s="4"/>
      <c r="M96" s="12">
        <v>43237.0</v>
      </c>
      <c r="N96" s="2">
        <v>272.01</v>
      </c>
      <c r="O96" s="3" t="s">
        <v>52</v>
      </c>
      <c r="P96" s="4" t="str">
        <f t="array" ref="P96">XLOOKUP(O96,Agregado!$B$2:$B$1511,Agregado!$G$2:$G$1511)</f>
        <v>#N/A</v>
      </c>
    </row>
    <row r="97" ht="15.75" customHeight="1">
      <c r="B97" s="13" t="s">
        <v>1016</v>
      </c>
      <c r="C97" s="7">
        <v>143169.8670000001</v>
      </c>
      <c r="D97" s="7">
        <v>96973.65900000006</v>
      </c>
      <c r="E97" s="7">
        <v>66682.83799999999</v>
      </c>
      <c r="F97" s="7">
        <f t="shared" si="1"/>
        <v>306826.364</v>
      </c>
      <c r="G97" s="14">
        <f t="shared" si="2"/>
        <v>0.003309377698</v>
      </c>
      <c r="I97" s="15">
        <v>43763.0</v>
      </c>
      <c r="J97" s="10">
        <v>43777.0</v>
      </c>
      <c r="K97" s="11">
        <v>0.0058</v>
      </c>
      <c r="L97" s="4"/>
      <c r="M97" s="12">
        <v>43238.0</v>
      </c>
      <c r="N97" s="2">
        <v>271.33</v>
      </c>
      <c r="O97" s="3" t="s">
        <v>53</v>
      </c>
      <c r="P97" s="4" t="str">
        <f t="array" ref="P97">XLOOKUP(O97,Agregado!$B$2:$B$1511,Agregado!$G$2:$G$1511)</f>
        <v>#N/A</v>
      </c>
    </row>
    <row r="98" ht="15.75" customHeight="1">
      <c r="B98" s="13" t="s">
        <v>1017</v>
      </c>
      <c r="C98" s="7">
        <v>142163.32700000008</v>
      </c>
      <c r="D98" s="7">
        <v>97028.44200000005</v>
      </c>
      <c r="E98" s="7">
        <v>66683.09999999999</v>
      </c>
      <c r="F98" s="7">
        <f t="shared" si="1"/>
        <v>305874.869</v>
      </c>
      <c r="G98" s="14">
        <f t="shared" si="2"/>
        <v>-0.003105904521</v>
      </c>
      <c r="I98" s="15">
        <v>43770.0</v>
      </c>
      <c r="J98" s="10">
        <v>43784.0</v>
      </c>
      <c r="K98" s="11">
        <v>-0.00647</v>
      </c>
      <c r="L98" s="4"/>
      <c r="M98" s="12">
        <v>43241.0</v>
      </c>
      <c r="N98" s="2">
        <v>273.37</v>
      </c>
      <c r="O98" s="3" t="s">
        <v>54</v>
      </c>
      <c r="P98" s="4" t="str">
        <f t="array" ref="P98">XLOOKUP(O98,Agregado!$B$2:$B$1511,Agregado!$G$2:$G$1511)</f>
        <v>#N/A</v>
      </c>
    </row>
    <row r="99" ht="15.75" customHeight="1">
      <c r="B99" s="13" t="s">
        <v>1018</v>
      </c>
      <c r="C99" s="7">
        <v>141240.75900000008</v>
      </c>
      <c r="D99" s="7">
        <v>97096.74600000006</v>
      </c>
      <c r="E99" s="7">
        <v>66689.34099999999</v>
      </c>
      <c r="F99" s="7">
        <f t="shared" si="1"/>
        <v>305026.846</v>
      </c>
      <c r="G99" s="14">
        <f t="shared" si="2"/>
        <v>-0.002776301077</v>
      </c>
      <c r="I99" s="15">
        <v>43777.0</v>
      </c>
      <c r="J99" s="10">
        <v>43791.0</v>
      </c>
      <c r="K99" s="11">
        <v>0.00575</v>
      </c>
      <c r="L99" s="4"/>
      <c r="M99" s="12">
        <v>43242.0</v>
      </c>
      <c r="N99" s="2">
        <v>272.61</v>
      </c>
      <c r="O99" s="3" t="s">
        <v>55</v>
      </c>
      <c r="P99" s="4" t="str">
        <f t="array" ref="P99">XLOOKUP(O99,Agregado!$B$2:$B$1511,Agregado!$G$2:$G$1511)</f>
        <v>#N/A</v>
      </c>
    </row>
    <row r="100" ht="15.75" customHeight="1">
      <c r="B100" s="13" t="s">
        <v>1019</v>
      </c>
      <c r="C100" s="7">
        <v>141924.12800000008</v>
      </c>
      <c r="D100" s="7">
        <v>97261.89000000006</v>
      </c>
      <c r="E100" s="7">
        <v>66708.17499999999</v>
      </c>
      <c r="F100" s="7">
        <f t="shared" si="1"/>
        <v>305894.193</v>
      </c>
      <c r="G100" s="14">
        <f t="shared" si="2"/>
        <v>0.002839475243</v>
      </c>
      <c r="I100" s="15">
        <v>43784.0</v>
      </c>
      <c r="J100" s="10">
        <v>43798.0</v>
      </c>
      <c r="K100" s="11">
        <v>0.0131799999999999</v>
      </c>
      <c r="L100" s="4"/>
      <c r="M100" s="12">
        <v>43243.0</v>
      </c>
      <c r="N100" s="2">
        <v>273.36</v>
      </c>
      <c r="O100" s="3" t="s">
        <v>56</v>
      </c>
      <c r="P100" s="4" t="str">
        <f t="array" ref="P100">XLOOKUP(O100,Agregado!$B$2:$B$1511,Agregado!$G$2:$G$1511)</f>
        <v>#N/A</v>
      </c>
    </row>
    <row r="101" ht="15.75" customHeight="1">
      <c r="B101" s="13" t="s">
        <v>1020</v>
      </c>
      <c r="C101" s="7">
        <v>142114.87600000008</v>
      </c>
      <c r="D101" s="7">
        <v>97440.23900000006</v>
      </c>
      <c r="E101" s="7">
        <v>66745.72299999998</v>
      </c>
      <c r="F101" s="7">
        <f t="shared" si="1"/>
        <v>306300.838</v>
      </c>
      <c r="G101" s="14">
        <f t="shared" si="2"/>
        <v>0.001328482066</v>
      </c>
      <c r="I101" s="15">
        <v>43791.0</v>
      </c>
      <c r="J101" s="10">
        <v>43805.0</v>
      </c>
      <c r="K101" s="11">
        <v>0.01228</v>
      </c>
      <c r="L101" s="4"/>
      <c r="M101" s="12">
        <v>43244.0</v>
      </c>
      <c r="N101" s="2">
        <v>272.8</v>
      </c>
      <c r="O101" s="3" t="s">
        <v>57</v>
      </c>
      <c r="P101" s="4" t="str">
        <f t="array" ref="P101">XLOOKUP(O101,Agregado!$B$2:$B$1511,Agregado!$G$2:$G$1511)</f>
        <v>#N/A</v>
      </c>
    </row>
    <row r="102" ht="15.75" customHeight="1">
      <c r="B102" s="13" t="s">
        <v>1021</v>
      </c>
      <c r="C102" s="7">
        <v>143468.13100000008</v>
      </c>
      <c r="D102" s="7">
        <v>97564.11500000006</v>
      </c>
      <c r="E102" s="7">
        <v>66809.19599999998</v>
      </c>
      <c r="F102" s="7">
        <f t="shared" si="1"/>
        <v>307841.442</v>
      </c>
      <c r="G102" s="14">
        <f t="shared" si="2"/>
        <v>0.005017102003</v>
      </c>
      <c r="I102" s="15">
        <v>43798.0</v>
      </c>
      <c r="J102" s="10">
        <v>43812.0</v>
      </c>
      <c r="K102" s="11">
        <v>0.01062</v>
      </c>
      <c r="L102" s="4"/>
      <c r="M102" s="12">
        <v>43245.0</v>
      </c>
      <c r="N102" s="2">
        <v>272.15</v>
      </c>
      <c r="O102" s="3" t="s">
        <v>58</v>
      </c>
      <c r="P102" s="4" t="str">
        <f t="array" ref="P102">XLOOKUP(O102,Agregado!$B$2:$B$1511,Agregado!$G$2:$G$1511)</f>
        <v>#N/A</v>
      </c>
    </row>
    <row r="103" ht="15.75" customHeight="1">
      <c r="B103" s="13" t="s">
        <v>1022</v>
      </c>
      <c r="C103" s="7">
        <v>144327.5870000001</v>
      </c>
      <c r="D103" s="7">
        <v>97866.32200000006</v>
      </c>
      <c r="E103" s="7">
        <v>67009.94299999998</v>
      </c>
      <c r="F103" s="7">
        <f t="shared" si="1"/>
        <v>309203.852</v>
      </c>
      <c r="G103" s="14">
        <f t="shared" si="2"/>
        <v>0.004415922874</v>
      </c>
      <c r="I103" s="15">
        <v>43805.0</v>
      </c>
      <c r="J103" s="10">
        <v>43819.0</v>
      </c>
      <c r="K103" s="11">
        <v>-0.01823</v>
      </c>
      <c r="L103" s="4"/>
      <c r="M103" s="12">
        <v>43249.0</v>
      </c>
      <c r="N103" s="2">
        <v>269.02</v>
      </c>
      <c r="O103" s="3" t="s">
        <v>59</v>
      </c>
      <c r="P103" s="4" t="str">
        <f t="array" ref="P103">XLOOKUP(O103,Agregado!$B$2:$B$1511,Agregado!$G$2:$G$1511)</f>
        <v>#N/A</v>
      </c>
    </row>
    <row r="104" ht="15.75" customHeight="1">
      <c r="B104" s="13" t="s">
        <v>1023</v>
      </c>
      <c r="C104" s="7">
        <v>142735.0350000001</v>
      </c>
      <c r="D104" s="7">
        <v>97866.32200000006</v>
      </c>
      <c r="E104" s="7">
        <v>67154.29399999998</v>
      </c>
      <c r="F104" s="7">
        <f t="shared" si="1"/>
        <v>307755.651</v>
      </c>
      <c r="G104" s="14">
        <f t="shared" si="2"/>
        <v>-0.004694647389</v>
      </c>
      <c r="I104" s="15">
        <v>43812.0</v>
      </c>
      <c r="J104" s="10">
        <v>43826.0</v>
      </c>
      <c r="K104" s="11">
        <v>0.02022</v>
      </c>
      <c r="L104" s="4"/>
      <c r="M104" s="12">
        <v>43250.0</v>
      </c>
      <c r="N104" s="2">
        <v>272.61</v>
      </c>
      <c r="O104" s="3" t="s">
        <v>60</v>
      </c>
      <c r="P104" s="4" t="str">
        <f t="array" ref="P104">XLOOKUP(O104,Agregado!$B$2:$B$1511,Agregado!$G$2:$G$1511)</f>
        <v>#N/A</v>
      </c>
    </row>
    <row r="105" ht="15.75" customHeight="1">
      <c r="B105" s="13" t="s">
        <v>1024</v>
      </c>
      <c r="C105" s="7">
        <v>141645.1710000001</v>
      </c>
      <c r="D105" s="7">
        <v>97757.93800000005</v>
      </c>
      <c r="E105" s="7">
        <v>67296.45999999998</v>
      </c>
      <c r="F105" s="7">
        <f t="shared" si="1"/>
        <v>306699.569</v>
      </c>
      <c r="G105" s="14">
        <f t="shared" si="2"/>
        <v>-0.003437461366</v>
      </c>
      <c r="I105" s="15">
        <v>43819.0</v>
      </c>
      <c r="J105" s="10">
        <v>43833.0</v>
      </c>
      <c r="K105" s="11">
        <v>0.02365</v>
      </c>
      <c r="L105" s="4"/>
      <c r="M105" s="12">
        <v>43251.0</v>
      </c>
      <c r="N105" s="2">
        <v>270.94</v>
      </c>
      <c r="O105" s="3" t="s">
        <v>61</v>
      </c>
      <c r="P105" s="4" t="str">
        <f t="array" ref="P105">XLOOKUP(O105,Agregado!$B$2:$B$1511,Agregado!$G$2:$G$1511)</f>
        <v>#N/A</v>
      </c>
    </row>
    <row r="106" ht="15.75" customHeight="1">
      <c r="B106" s="13" t="s">
        <v>1025</v>
      </c>
      <c r="C106" s="7">
        <v>141536.1490000001</v>
      </c>
      <c r="D106" s="7">
        <v>97991.21800000005</v>
      </c>
      <c r="E106" s="7">
        <v>67058.64899999998</v>
      </c>
      <c r="F106" s="7">
        <f t="shared" si="1"/>
        <v>306586.016</v>
      </c>
      <c r="G106" s="14">
        <f t="shared" si="2"/>
        <v>-0.0003703103548</v>
      </c>
      <c r="I106" s="15">
        <v>43826.0</v>
      </c>
      <c r="J106" s="10">
        <v>43840.0</v>
      </c>
      <c r="K106" s="11">
        <v>2.9E-4</v>
      </c>
      <c r="L106" s="4"/>
      <c r="M106" s="12">
        <v>43252.0</v>
      </c>
      <c r="N106" s="2">
        <v>273.6</v>
      </c>
      <c r="O106" s="3">
        <v>43106.0</v>
      </c>
      <c r="P106" s="4" t="str">
        <f t="array" ref="P106">XLOOKUP(O106,Agregado!$B$2:$B$1511,Agregado!$G$2:$G$1511)</f>
        <v>#N/A</v>
      </c>
    </row>
    <row r="107" ht="15.75" customHeight="1">
      <c r="B107" s="13" t="s">
        <v>1026</v>
      </c>
      <c r="C107" s="7">
        <v>140940.5110000001</v>
      </c>
      <c r="D107" s="7">
        <v>97895.80200000005</v>
      </c>
      <c r="E107" s="7">
        <v>67090.10799999998</v>
      </c>
      <c r="F107" s="7">
        <f t="shared" si="1"/>
        <v>305926.421</v>
      </c>
      <c r="G107" s="14">
        <f t="shared" si="2"/>
        <v>-0.002153736692</v>
      </c>
      <c r="I107" s="15">
        <v>43833.0</v>
      </c>
      <c r="J107" s="10">
        <v>43847.0</v>
      </c>
      <c r="K107" s="11">
        <v>-0.00614</v>
      </c>
      <c r="L107" s="4"/>
      <c r="M107" s="12">
        <v>43255.0</v>
      </c>
      <c r="N107" s="2">
        <v>274.9</v>
      </c>
      <c r="O107" s="3">
        <v>43196.0</v>
      </c>
      <c r="P107" s="4" t="str">
        <f t="array" ref="P107">XLOOKUP(O107,Agregado!$B$2:$B$1511,Agregado!$G$2:$G$1511)</f>
        <v>#N/A</v>
      </c>
    </row>
    <row r="108" ht="15.75" customHeight="1">
      <c r="B108" s="13" t="s">
        <v>1027</v>
      </c>
      <c r="C108" s="7">
        <v>140174.1520000001</v>
      </c>
      <c r="D108" s="7">
        <v>97261.92200000005</v>
      </c>
      <c r="E108" s="7">
        <v>67090.90699999998</v>
      </c>
      <c r="F108" s="7">
        <f t="shared" si="1"/>
        <v>304526.981</v>
      </c>
      <c r="G108" s="14">
        <f t="shared" si="2"/>
        <v>-0.004584928012</v>
      </c>
      <c r="I108" s="15">
        <v>43840.0</v>
      </c>
      <c r="J108" s="10">
        <v>43854.0</v>
      </c>
      <c r="K108" s="11">
        <v>-0.00138999999999999</v>
      </c>
      <c r="L108" s="4"/>
      <c r="M108" s="12">
        <v>43256.0</v>
      </c>
      <c r="N108" s="2">
        <v>275.1</v>
      </c>
      <c r="O108" s="3">
        <v>43226.0</v>
      </c>
      <c r="P108" s="4" t="str">
        <f t="array" ref="P108">XLOOKUP(O108,Agregado!$B$2:$B$1511,Agregado!$G$2:$G$1511)</f>
        <v>#N/A</v>
      </c>
    </row>
    <row r="109" ht="15.75" customHeight="1">
      <c r="B109" s="13" t="s">
        <v>1028</v>
      </c>
      <c r="C109" s="7">
        <v>142442.3060000001</v>
      </c>
      <c r="D109" s="7">
        <v>97497.23600000005</v>
      </c>
      <c r="E109" s="7">
        <v>67867.78299999998</v>
      </c>
      <c r="F109" s="7">
        <f t="shared" si="1"/>
        <v>307807.325</v>
      </c>
      <c r="G109" s="14">
        <f t="shared" si="2"/>
        <v>0.01071432826</v>
      </c>
      <c r="I109" s="15">
        <v>43847.0</v>
      </c>
      <c r="J109" s="10">
        <v>43861.0</v>
      </c>
      <c r="K109" s="11">
        <v>0.00391</v>
      </c>
      <c r="L109" s="4"/>
      <c r="M109" s="12">
        <v>43257.0</v>
      </c>
      <c r="N109" s="2">
        <v>277.4</v>
      </c>
      <c r="O109" s="3">
        <v>43257.0</v>
      </c>
      <c r="P109" s="4" t="str">
        <f t="array" ref="P109">XLOOKUP(O109,Agregado!$B$2:$B$1511,Agregado!$G$2:$G$1511)</f>
        <v>#N/A</v>
      </c>
    </row>
    <row r="110" ht="15.75" customHeight="1">
      <c r="B110" s="13" t="s">
        <v>1029</v>
      </c>
      <c r="C110" s="7">
        <v>140640.1570000001</v>
      </c>
      <c r="D110" s="7">
        <v>97497.23600000005</v>
      </c>
      <c r="E110" s="7">
        <v>67861.46399999998</v>
      </c>
      <c r="F110" s="7">
        <f t="shared" si="1"/>
        <v>305998.857</v>
      </c>
      <c r="G110" s="14">
        <f t="shared" si="2"/>
        <v>-0.005892652391</v>
      </c>
      <c r="I110" s="15">
        <v>43854.0</v>
      </c>
      <c r="J110" s="10">
        <v>43868.0</v>
      </c>
      <c r="K110" s="11">
        <v>0.03209</v>
      </c>
      <c r="L110" s="4"/>
      <c r="M110" s="12">
        <v>43258.0</v>
      </c>
      <c r="N110" s="2">
        <v>277.37</v>
      </c>
      <c r="O110" s="3">
        <v>43287.0</v>
      </c>
      <c r="P110" s="4" t="str">
        <f t="array" ref="P110">XLOOKUP(O110,Agregado!$B$2:$B$1511,Agregado!$G$2:$G$1511)</f>
        <v>#N/A</v>
      </c>
    </row>
    <row r="111" ht="15.75" customHeight="1">
      <c r="B111" s="13" t="s">
        <v>1030</v>
      </c>
      <c r="C111" s="7">
        <v>139544.0540000001</v>
      </c>
      <c r="D111" s="7">
        <v>97539.15100000004</v>
      </c>
      <c r="E111" s="7">
        <v>67185.92099999997</v>
      </c>
      <c r="F111" s="7">
        <f t="shared" si="1"/>
        <v>304269.126</v>
      </c>
      <c r="G111" s="14">
        <f t="shared" si="2"/>
        <v>-0.005668773982</v>
      </c>
      <c r="I111" s="15">
        <v>43861.0</v>
      </c>
      <c r="J111" s="10">
        <v>43875.0</v>
      </c>
      <c r="K111" s="11">
        <v>0.00332999999999999</v>
      </c>
      <c r="L111" s="4"/>
      <c r="M111" s="12">
        <v>43259.0</v>
      </c>
      <c r="N111" s="2">
        <v>278.19</v>
      </c>
      <c r="O111" s="3">
        <v>43318.0</v>
      </c>
      <c r="P111" s="4" t="str">
        <f t="array" ref="P111">XLOOKUP(O111,Agregado!$B$2:$B$1511,Agregado!$G$2:$G$1511)</f>
        <v>#N/A</v>
      </c>
    </row>
    <row r="112" ht="15.75" customHeight="1">
      <c r="B112" s="13" t="s">
        <v>1031</v>
      </c>
      <c r="C112" s="7">
        <v>139876.8690000001</v>
      </c>
      <c r="D112" s="7">
        <v>97636.90000000004</v>
      </c>
      <c r="E112" s="7">
        <v>67212.12399999997</v>
      </c>
      <c r="F112" s="7">
        <f t="shared" si="1"/>
        <v>304725.893</v>
      </c>
      <c r="G112" s="14">
        <f t="shared" si="2"/>
        <v>0.00150006838</v>
      </c>
      <c r="I112" s="15">
        <v>43868.0</v>
      </c>
      <c r="J112" s="10">
        <v>43882.0</v>
      </c>
      <c r="K112" s="11">
        <v>-0.00388999999999999</v>
      </c>
      <c r="L112" s="4"/>
      <c r="M112" s="12">
        <v>43262.0</v>
      </c>
      <c r="N112" s="2">
        <v>278.56</v>
      </c>
      <c r="O112" s="3">
        <v>43410.0</v>
      </c>
      <c r="P112" s="4" t="str">
        <f t="array" ref="P112">XLOOKUP(O112,Agregado!$B$2:$B$1511,Agregado!$G$2:$G$1511)</f>
        <v>#N/A</v>
      </c>
    </row>
    <row r="113" ht="15.75" customHeight="1">
      <c r="B113" s="13" t="s">
        <v>1032</v>
      </c>
      <c r="C113" s="7">
        <v>138833.55200000008</v>
      </c>
      <c r="D113" s="7">
        <v>97720.95000000004</v>
      </c>
      <c r="E113" s="7">
        <v>67263.57799999996</v>
      </c>
      <c r="F113" s="7">
        <f t="shared" si="1"/>
        <v>303818.08</v>
      </c>
      <c r="G113" s="14">
        <f t="shared" si="2"/>
        <v>-0.00298355982</v>
      </c>
      <c r="I113" s="15">
        <v>43875.0</v>
      </c>
      <c r="J113" s="10">
        <v>43889.0</v>
      </c>
      <c r="K113" s="11">
        <v>-0.05166</v>
      </c>
      <c r="L113" s="4"/>
      <c r="M113" s="12">
        <v>43263.0</v>
      </c>
      <c r="N113" s="2">
        <v>278.92</v>
      </c>
      <c r="O113" s="3">
        <v>43440.0</v>
      </c>
      <c r="P113" s="4" t="str">
        <f t="array" ref="P113">XLOOKUP(O113,Agregado!$B$2:$B$1511,Agregado!$G$2:$G$1511)</f>
        <v>#N/A</v>
      </c>
    </row>
    <row r="114" ht="15.75" customHeight="1">
      <c r="B114" s="13" t="s">
        <v>1033</v>
      </c>
      <c r="C114" s="7">
        <v>139460.2120000001</v>
      </c>
      <c r="D114" s="7">
        <v>94818.11500000003</v>
      </c>
      <c r="E114" s="7">
        <v>67250.96899999997</v>
      </c>
      <c r="F114" s="7">
        <f t="shared" si="1"/>
        <v>301529.296</v>
      </c>
      <c r="G114" s="14">
        <f t="shared" si="2"/>
        <v>-0.007561922286</v>
      </c>
      <c r="I114" s="15">
        <v>43882.0</v>
      </c>
      <c r="J114" s="10">
        <v>43896.0</v>
      </c>
      <c r="K114" s="11">
        <v>0.01411</v>
      </c>
      <c r="L114" s="4"/>
      <c r="M114" s="12">
        <v>43264.0</v>
      </c>
      <c r="N114" s="2">
        <v>278.03</v>
      </c>
      <c r="O114" s="3" t="s">
        <v>62</v>
      </c>
      <c r="P114" s="4" t="str">
        <f t="array" ref="P114">XLOOKUP(O114,Agregado!$B$2:$B$1511,Agregado!$G$2:$G$1511)</f>
        <v>#N/A</v>
      </c>
    </row>
    <row r="115" ht="15.75" customHeight="1">
      <c r="B115" s="13" t="s">
        <v>1034</v>
      </c>
      <c r="C115" s="7">
        <v>140157.73400000008</v>
      </c>
      <c r="D115" s="7">
        <v>94663.58300000003</v>
      </c>
      <c r="E115" s="7">
        <v>67090.86399999997</v>
      </c>
      <c r="F115" s="7">
        <f t="shared" si="1"/>
        <v>301912.181</v>
      </c>
      <c r="G115" s="14">
        <f t="shared" si="2"/>
        <v>0.001269004753</v>
      </c>
      <c r="I115" s="15">
        <v>43889.0</v>
      </c>
      <c r="J115" s="10">
        <v>43903.0</v>
      </c>
      <c r="K115" s="11">
        <v>0.03178</v>
      </c>
      <c r="L115" s="4"/>
      <c r="M115" s="12">
        <v>43265.0</v>
      </c>
      <c r="N115" s="2">
        <v>278.73</v>
      </c>
      <c r="O115" s="3" t="s">
        <v>63</v>
      </c>
      <c r="P115" s="4" t="str">
        <f t="array" ref="P115">XLOOKUP(O115,Agregado!$B$2:$B$1511,Agregado!$G$2:$G$1511)</f>
        <v>#N/A</v>
      </c>
    </row>
    <row r="116" ht="15.75" customHeight="1">
      <c r="B116" s="13" t="s">
        <v>1035</v>
      </c>
      <c r="C116" s="7">
        <v>140143.8390000001</v>
      </c>
      <c r="D116" s="7">
        <v>94831.49100000002</v>
      </c>
      <c r="E116" s="7">
        <v>67665.51099999997</v>
      </c>
      <c r="F116" s="7">
        <f t="shared" si="1"/>
        <v>302640.841</v>
      </c>
      <c r="G116" s="14">
        <f t="shared" si="2"/>
        <v>0.002410575504</v>
      </c>
      <c r="I116" s="15">
        <v>43896.0</v>
      </c>
      <c r="J116" s="10">
        <v>43910.0</v>
      </c>
      <c r="K116" s="11">
        <v>-0.01815</v>
      </c>
      <c r="L116" s="4"/>
      <c r="M116" s="12">
        <v>43266.0</v>
      </c>
      <c r="N116" s="2">
        <v>277.13</v>
      </c>
      <c r="O116" s="3" t="s">
        <v>64</v>
      </c>
      <c r="P116" s="4" t="str">
        <f t="array" ref="P116">XLOOKUP(O116,Agregado!$B$2:$B$1511,Agregado!$G$2:$G$1511)</f>
        <v>#N/A</v>
      </c>
    </row>
    <row r="117" ht="15.75" customHeight="1">
      <c r="B117" s="13" t="s">
        <v>1036</v>
      </c>
      <c r="C117" s="7">
        <v>138137.43500000008</v>
      </c>
      <c r="D117" s="7">
        <v>94719.24100000002</v>
      </c>
      <c r="E117" s="7">
        <v>67627.54999999997</v>
      </c>
      <c r="F117" s="7">
        <f t="shared" si="1"/>
        <v>300484.226</v>
      </c>
      <c r="G117" s="14">
        <f t="shared" si="2"/>
        <v>-0.007151499115</v>
      </c>
      <c r="I117" s="15">
        <v>43903.0</v>
      </c>
      <c r="J117" s="10">
        <v>43917.0</v>
      </c>
      <c r="K117" s="11">
        <v>0.00465999999999999</v>
      </c>
      <c r="L117" s="4"/>
      <c r="M117" s="12">
        <v>43269.0</v>
      </c>
      <c r="N117" s="2">
        <v>276.56</v>
      </c>
      <c r="O117" s="3" t="s">
        <v>65</v>
      </c>
      <c r="P117" s="4" t="str">
        <f t="array" ref="P117">XLOOKUP(O117,Agregado!$B$2:$B$1511,Agregado!$G$2:$G$1511)</f>
        <v>#N/A</v>
      </c>
    </row>
    <row r="118" ht="15.75" customHeight="1">
      <c r="B118" s="13" t="s">
        <v>1037</v>
      </c>
      <c r="C118" s="7">
        <v>140063.74500000008</v>
      </c>
      <c r="D118" s="7">
        <v>94733.25900000002</v>
      </c>
      <c r="E118" s="7">
        <v>67159.08299999997</v>
      </c>
      <c r="F118" s="7">
        <f t="shared" si="1"/>
        <v>301956.087</v>
      </c>
      <c r="G118" s="14">
        <f t="shared" si="2"/>
        <v>0.004886339432</v>
      </c>
      <c r="I118" s="15">
        <v>43910.0</v>
      </c>
      <c r="J118" s="10">
        <v>43924.0</v>
      </c>
      <c r="K118" s="11">
        <v>-5.0E-4</v>
      </c>
      <c r="L118" s="4"/>
      <c r="M118" s="12">
        <v>43270.0</v>
      </c>
      <c r="N118" s="2">
        <v>275.5</v>
      </c>
      <c r="O118" s="3" t="s">
        <v>66</v>
      </c>
      <c r="P118" s="4" t="str">
        <f t="array" ref="P118">XLOOKUP(O118,Agregado!$B$2:$B$1511,Agregado!$G$2:$G$1511)</f>
        <v>#N/A</v>
      </c>
    </row>
    <row r="119" ht="15.75" customHeight="1">
      <c r="B119" s="13" t="s">
        <v>1038</v>
      </c>
      <c r="C119" s="7">
        <v>141985.98700000008</v>
      </c>
      <c r="D119" s="7">
        <v>94915.11300000003</v>
      </c>
      <c r="E119" s="7">
        <v>67159.84699999997</v>
      </c>
      <c r="F119" s="7">
        <f t="shared" si="1"/>
        <v>304060.947</v>
      </c>
      <c r="G119" s="14">
        <f t="shared" si="2"/>
        <v>0.006946565347</v>
      </c>
      <c r="I119" s="15">
        <v>43917.0</v>
      </c>
      <c r="J119" s="10">
        <v>43930.0</v>
      </c>
      <c r="K119" s="11">
        <v>0.01173</v>
      </c>
      <c r="L119" s="4"/>
      <c r="M119" s="12">
        <v>43271.0</v>
      </c>
      <c r="N119" s="2">
        <v>275.97</v>
      </c>
      <c r="O119" s="3" t="s">
        <v>67</v>
      </c>
      <c r="P119" s="4" t="str">
        <f t="array" ref="P119">XLOOKUP(O119,Agregado!$B$2:$B$1511,Agregado!$G$2:$G$1511)</f>
        <v>#N/A</v>
      </c>
    </row>
    <row r="120" ht="15.75" customHeight="1">
      <c r="B120" s="13" t="s">
        <v>1039</v>
      </c>
      <c r="C120" s="7">
        <v>142357.8880000001</v>
      </c>
      <c r="D120" s="7">
        <v>94970.84600000002</v>
      </c>
      <c r="E120" s="7">
        <v>67188.38199999997</v>
      </c>
      <c r="F120" s="7">
        <f t="shared" si="1"/>
        <v>304517.116</v>
      </c>
      <c r="G120" s="14">
        <f t="shared" si="2"/>
        <v>0.001499130886</v>
      </c>
      <c r="I120" s="15">
        <v>43924.0</v>
      </c>
      <c r="J120" s="10">
        <v>43938.0</v>
      </c>
      <c r="K120" s="11">
        <v>-0.0153</v>
      </c>
      <c r="L120" s="4"/>
      <c r="M120" s="12">
        <v>43272.0</v>
      </c>
      <c r="N120" s="2">
        <v>274.24</v>
      </c>
      <c r="O120" s="3" t="s">
        <v>68</v>
      </c>
      <c r="P120" s="4" t="str">
        <f t="array" ref="P120">XLOOKUP(O120,Agregado!$B$2:$B$1511,Agregado!$G$2:$G$1511)</f>
        <v>#N/A</v>
      </c>
    </row>
    <row r="121" ht="15.75" customHeight="1">
      <c r="B121" s="13" t="s">
        <v>1040</v>
      </c>
      <c r="C121" s="7">
        <v>142909.7900000001</v>
      </c>
      <c r="D121" s="7">
        <v>94245.08300000001</v>
      </c>
      <c r="E121" s="7">
        <v>67207.48199999997</v>
      </c>
      <c r="F121" s="7">
        <f t="shared" si="1"/>
        <v>304362.355</v>
      </c>
      <c r="G121" s="14">
        <f t="shared" si="2"/>
        <v>-0.0005083469248</v>
      </c>
      <c r="I121" s="15">
        <v>43930.0</v>
      </c>
      <c r="J121" s="10">
        <v>43945.0</v>
      </c>
      <c r="K121" s="11">
        <v>-0.0079</v>
      </c>
      <c r="L121" s="4"/>
      <c r="M121" s="12">
        <v>43273.0</v>
      </c>
      <c r="N121" s="2">
        <v>274.74</v>
      </c>
      <c r="O121" s="3" t="s">
        <v>69</v>
      </c>
      <c r="P121" s="4" t="str">
        <f t="array" ref="P121">XLOOKUP(O121,Agregado!$B$2:$B$1511,Agregado!$G$2:$G$1511)</f>
        <v>#N/A</v>
      </c>
    </row>
    <row r="122" ht="15.75" customHeight="1">
      <c r="B122" s="13" t="s">
        <v>1041</v>
      </c>
      <c r="C122" s="7">
        <v>141415.2430000001</v>
      </c>
      <c r="D122" s="7">
        <v>94245.08300000001</v>
      </c>
      <c r="E122" s="7">
        <v>67233.30899999998</v>
      </c>
      <c r="F122" s="7">
        <f t="shared" si="1"/>
        <v>302893.635</v>
      </c>
      <c r="G122" s="14">
        <f t="shared" si="2"/>
        <v>-0.004837244549</v>
      </c>
      <c r="I122" s="15">
        <v>43938.0</v>
      </c>
      <c r="J122" s="10">
        <v>43952.0</v>
      </c>
      <c r="K122" s="11">
        <v>-0.01759</v>
      </c>
      <c r="L122" s="4"/>
      <c r="M122" s="12">
        <v>43276.0</v>
      </c>
      <c r="N122" s="2">
        <v>271.0</v>
      </c>
      <c r="O122" s="3" t="s">
        <v>70</v>
      </c>
      <c r="P122" s="4" t="str">
        <f t="array" ref="P122">XLOOKUP(O122,Agregado!$B$2:$B$1511,Agregado!$G$2:$G$1511)</f>
        <v>#N/A</v>
      </c>
    </row>
    <row r="123" ht="15.75" customHeight="1">
      <c r="B123" s="13" t="s">
        <v>1042</v>
      </c>
      <c r="C123" s="7">
        <v>141332.8200000001</v>
      </c>
      <c r="D123" s="7">
        <v>94245.08300000001</v>
      </c>
      <c r="E123" s="7">
        <v>67309.56999999998</v>
      </c>
      <c r="F123" s="7">
        <f t="shared" si="1"/>
        <v>302887.473</v>
      </c>
      <c r="G123" s="14">
        <f t="shared" si="2"/>
        <v>-0.00002034398207</v>
      </c>
      <c r="I123" s="15">
        <v>43945.0</v>
      </c>
      <c r="J123" s="10">
        <v>43959.0</v>
      </c>
      <c r="K123" s="11">
        <v>-0.00658</v>
      </c>
      <c r="L123" s="4"/>
      <c r="M123" s="12">
        <v>43277.0</v>
      </c>
      <c r="N123" s="2">
        <v>271.6</v>
      </c>
      <c r="O123" s="3" t="s">
        <v>71</v>
      </c>
      <c r="P123" s="4" t="str">
        <f t="array" ref="P123">XLOOKUP(O123,Agregado!$B$2:$B$1511,Agregado!$G$2:$G$1511)</f>
        <v>#N/A</v>
      </c>
    </row>
    <row r="124" ht="15.75" customHeight="1">
      <c r="B124" s="13" t="s">
        <v>1043</v>
      </c>
      <c r="C124" s="7">
        <v>141061.8420000001</v>
      </c>
      <c r="D124" s="7">
        <v>94313.61000000002</v>
      </c>
      <c r="E124" s="7">
        <v>67216.07299999997</v>
      </c>
      <c r="F124" s="7">
        <f t="shared" si="1"/>
        <v>302591.525</v>
      </c>
      <c r="G124" s="14">
        <f t="shared" si="2"/>
        <v>-0.0009775666028</v>
      </c>
      <c r="I124" s="15">
        <v>43952.0</v>
      </c>
      <c r="J124" s="10">
        <v>43966.0</v>
      </c>
      <c r="K124" s="11">
        <v>-0.00385</v>
      </c>
      <c r="L124" s="4"/>
      <c r="M124" s="12">
        <v>43278.0</v>
      </c>
      <c r="N124" s="2">
        <v>269.35</v>
      </c>
      <c r="O124" s="3" t="s">
        <v>72</v>
      </c>
      <c r="P124" s="4" t="str">
        <f t="array" ref="P124">XLOOKUP(O124,Agregado!$B$2:$B$1511,Agregado!$G$2:$G$1511)</f>
        <v>#N/A</v>
      </c>
    </row>
    <row r="125" ht="15.75" customHeight="1">
      <c r="B125" s="13" t="s">
        <v>1044</v>
      </c>
      <c r="C125" s="7">
        <v>138142.4420000001</v>
      </c>
      <c r="D125" s="7">
        <v>94327.28100000002</v>
      </c>
      <c r="E125" s="7">
        <v>67178.76799999998</v>
      </c>
      <c r="F125" s="7">
        <f t="shared" si="1"/>
        <v>299648.491</v>
      </c>
      <c r="G125" s="14">
        <f t="shared" si="2"/>
        <v>-0.009773702675</v>
      </c>
      <c r="I125" s="15">
        <v>43959.0</v>
      </c>
      <c r="J125" s="10">
        <v>43973.0</v>
      </c>
      <c r="K125" s="11">
        <v>-0.00117</v>
      </c>
      <c r="L125" s="4"/>
      <c r="M125" s="12">
        <v>43279.0</v>
      </c>
      <c r="N125" s="2">
        <v>270.89</v>
      </c>
      <c r="O125" s="3" t="s">
        <v>73</v>
      </c>
      <c r="P125" s="4" t="str">
        <f t="array" ref="P125">XLOOKUP(O125,Agregado!$B$2:$B$1511,Agregado!$G$2:$G$1511)</f>
        <v>#N/A</v>
      </c>
    </row>
    <row r="126" ht="15.75" customHeight="1">
      <c r="B126" s="13" t="s">
        <v>1045</v>
      </c>
      <c r="C126" s="7">
        <v>137900.12800000008</v>
      </c>
      <c r="D126" s="7">
        <v>94340.83500000002</v>
      </c>
      <c r="E126" s="7">
        <v>67396.16999999998</v>
      </c>
      <c r="F126" s="7">
        <f t="shared" si="1"/>
        <v>299637.133</v>
      </c>
      <c r="G126" s="14">
        <f t="shared" si="2"/>
        <v>-0.00003790513086</v>
      </c>
      <c r="I126" s="15">
        <v>43966.0</v>
      </c>
      <c r="J126" s="10">
        <v>43980.0</v>
      </c>
      <c r="K126" s="11">
        <v>0.00505</v>
      </c>
      <c r="L126" s="4"/>
      <c r="M126" s="12">
        <v>43280.0</v>
      </c>
      <c r="N126" s="2">
        <v>271.28</v>
      </c>
      <c r="O126" s="3" t="s">
        <v>74</v>
      </c>
      <c r="P126" s="4" t="str">
        <f t="array" ref="P126">XLOOKUP(O126,Agregado!$B$2:$B$1511,Agregado!$G$2:$G$1511)</f>
        <v>#N/A</v>
      </c>
    </row>
    <row r="127" ht="15.75" customHeight="1">
      <c r="B127" s="13" t="s">
        <v>1046</v>
      </c>
      <c r="C127" s="7">
        <v>138008.50100000008</v>
      </c>
      <c r="D127" s="7">
        <v>94340.83500000002</v>
      </c>
      <c r="E127" s="7">
        <v>67365.06099999999</v>
      </c>
      <c r="F127" s="7">
        <f t="shared" si="1"/>
        <v>299714.397</v>
      </c>
      <c r="G127" s="14">
        <f t="shared" si="2"/>
        <v>0.0002578253214</v>
      </c>
      <c r="I127" s="15">
        <v>43973.0</v>
      </c>
      <c r="J127" s="10">
        <v>43987.0</v>
      </c>
      <c r="K127" s="11">
        <v>-9.3E-4</v>
      </c>
      <c r="L127" s="4"/>
      <c r="M127" s="12">
        <v>43283.0</v>
      </c>
      <c r="N127" s="2">
        <v>271.86</v>
      </c>
      <c r="O127" s="3">
        <v>43138.0</v>
      </c>
      <c r="P127" s="4" t="str">
        <f t="array" ref="P127">XLOOKUP(O127,Agregado!$B$2:$B$1511,Agregado!$G$2:$G$1511)</f>
        <v>#N/A</v>
      </c>
    </row>
    <row r="128" ht="15.75" customHeight="1">
      <c r="B128" s="13" t="s">
        <v>1047</v>
      </c>
      <c r="C128" s="7">
        <v>136245.99900000007</v>
      </c>
      <c r="D128" s="7">
        <v>94504.64200000002</v>
      </c>
      <c r="E128" s="7">
        <v>67172.03199999999</v>
      </c>
      <c r="F128" s="7">
        <f t="shared" si="1"/>
        <v>297922.673</v>
      </c>
      <c r="G128" s="14">
        <f t="shared" si="2"/>
        <v>-0.005996044951</v>
      </c>
      <c r="I128" s="15">
        <v>43980.0</v>
      </c>
      <c r="J128" s="10">
        <v>43994.0</v>
      </c>
      <c r="K128" s="11">
        <v>0.00526</v>
      </c>
      <c r="L128" s="4"/>
      <c r="M128" s="12">
        <v>43284.0</v>
      </c>
      <c r="N128" s="2">
        <v>270.9</v>
      </c>
      <c r="O128" s="3">
        <v>43166.0</v>
      </c>
      <c r="P128" s="4" t="str">
        <f t="array" ref="P128">XLOOKUP(O128,Agregado!$B$2:$B$1511,Agregado!$G$2:$G$1511)</f>
        <v>#N/A</v>
      </c>
    </row>
    <row r="129" ht="15.75" customHeight="1">
      <c r="B129" s="13" t="s">
        <v>1048</v>
      </c>
      <c r="C129" s="7">
        <v>136490.79300000006</v>
      </c>
      <c r="D129" s="7">
        <v>94490.94900000002</v>
      </c>
      <c r="E129" s="7">
        <v>67235.059</v>
      </c>
      <c r="F129" s="7">
        <f t="shared" si="1"/>
        <v>298216.801</v>
      </c>
      <c r="G129" s="14">
        <f t="shared" si="2"/>
        <v>0.0009867758694</v>
      </c>
      <c r="I129" s="15">
        <v>43987.0</v>
      </c>
      <c r="J129" s="10">
        <v>44001.0</v>
      </c>
      <c r="K129" s="11">
        <v>0.01378</v>
      </c>
      <c r="L129" s="4"/>
      <c r="M129" s="12">
        <v>43286.0</v>
      </c>
      <c r="N129" s="2">
        <v>273.11</v>
      </c>
      <c r="O129" s="3">
        <v>43227.0</v>
      </c>
      <c r="P129" s="4" t="str">
        <f t="array" ref="P129">XLOOKUP(O129,Agregado!$B$2:$B$1511,Agregado!$G$2:$G$1511)</f>
        <v>#N/A</v>
      </c>
    </row>
    <row r="130" ht="15.75" customHeight="1">
      <c r="B130" s="13" t="s">
        <v>1049</v>
      </c>
      <c r="C130" s="7">
        <v>137302.72700000007</v>
      </c>
      <c r="D130" s="7">
        <v>94749.82900000003</v>
      </c>
      <c r="E130" s="7">
        <v>67266.144</v>
      </c>
      <c r="F130" s="7">
        <f t="shared" si="1"/>
        <v>299318.7</v>
      </c>
      <c r="G130" s="14">
        <f t="shared" si="2"/>
        <v>0.0036881499</v>
      </c>
      <c r="I130" s="15">
        <v>43994.0</v>
      </c>
      <c r="J130" s="10">
        <v>44008.0</v>
      </c>
      <c r="K130" s="11">
        <v>0.00913</v>
      </c>
      <c r="L130" s="4"/>
      <c r="M130" s="12">
        <v>43287.0</v>
      </c>
      <c r="N130" s="2">
        <v>275.42</v>
      </c>
      <c r="O130" s="3">
        <v>43258.0</v>
      </c>
      <c r="P130" s="4" t="str">
        <f t="array" ref="P130">XLOOKUP(O130,Agregado!$B$2:$B$1511,Agregado!$G$2:$G$1511)</f>
        <v>#N/A</v>
      </c>
    </row>
    <row r="131" ht="15.75" customHeight="1">
      <c r="B131" s="13" t="s">
        <v>1050</v>
      </c>
      <c r="C131" s="7">
        <v>136087.70700000008</v>
      </c>
      <c r="D131" s="7">
        <v>94804.81300000002</v>
      </c>
      <c r="E131" s="7">
        <v>67273.159</v>
      </c>
      <c r="F131" s="7">
        <f t="shared" si="1"/>
        <v>298165.679</v>
      </c>
      <c r="G131" s="14">
        <f t="shared" si="2"/>
        <v>-0.003859590215</v>
      </c>
      <c r="I131" s="15">
        <v>44001.0</v>
      </c>
      <c r="J131" s="10">
        <v>44014.0</v>
      </c>
      <c r="K131" s="11">
        <v>-0.00463</v>
      </c>
      <c r="L131" s="4"/>
      <c r="M131" s="12">
        <v>43290.0</v>
      </c>
      <c r="N131" s="2">
        <v>277.9</v>
      </c>
      <c r="O131" s="3">
        <v>43350.0</v>
      </c>
      <c r="P131" s="4" t="str">
        <f t="array" ref="P131">XLOOKUP(O131,Agregado!$B$2:$B$1511,Agregado!$G$2:$G$1511)</f>
        <v>#N/A</v>
      </c>
    </row>
    <row r="132" ht="15.75" customHeight="1">
      <c r="B132" s="13" t="s">
        <v>1051</v>
      </c>
      <c r="C132" s="7">
        <v>135867.4130000001</v>
      </c>
      <c r="D132" s="7">
        <v>94721.63100000002</v>
      </c>
      <c r="E132" s="7">
        <v>67273.965</v>
      </c>
      <c r="F132" s="7">
        <f t="shared" si="1"/>
        <v>297863.009</v>
      </c>
      <c r="G132" s="14">
        <f t="shared" si="2"/>
        <v>-0.001015622342</v>
      </c>
      <c r="I132" s="15">
        <v>44008.0</v>
      </c>
      <c r="J132" s="10">
        <v>44022.0</v>
      </c>
      <c r="K132" s="11">
        <v>-0.01001</v>
      </c>
      <c r="L132" s="4"/>
      <c r="M132" s="12">
        <v>43291.0</v>
      </c>
      <c r="N132" s="2">
        <v>278.9</v>
      </c>
      <c r="O132" s="3">
        <v>43380.0</v>
      </c>
      <c r="P132" s="4" t="str">
        <f t="array" ref="P132">XLOOKUP(O132,Agregado!$B$2:$B$1511,Agregado!$G$2:$G$1511)</f>
        <v>#N/A</v>
      </c>
    </row>
    <row r="133" ht="15.75" customHeight="1">
      <c r="B133" s="13" t="s">
        <v>1052</v>
      </c>
      <c r="C133" s="7">
        <v>137117.8360000001</v>
      </c>
      <c r="D133" s="7">
        <v>94595.72200000002</v>
      </c>
      <c r="E133" s="7">
        <v>67293.34599999999</v>
      </c>
      <c r="F133" s="7">
        <f t="shared" si="1"/>
        <v>299006.904</v>
      </c>
      <c r="G133" s="14">
        <f t="shared" si="2"/>
        <v>0.003832983957</v>
      </c>
      <c r="I133" s="15">
        <v>44014.0</v>
      </c>
      <c r="J133" s="10">
        <v>44029.0</v>
      </c>
      <c r="K133" s="11">
        <v>0.01046</v>
      </c>
      <c r="L133" s="4"/>
      <c r="M133" s="12">
        <v>43292.0</v>
      </c>
      <c r="N133" s="2">
        <v>276.86</v>
      </c>
      <c r="O133" s="3">
        <v>43411.0</v>
      </c>
      <c r="P133" s="4" t="str">
        <f t="array" ref="P133">XLOOKUP(O133,Agregado!$B$2:$B$1511,Agregado!$G$2:$G$1511)</f>
        <v>#N/A</v>
      </c>
    </row>
    <row r="134" ht="15.75" customHeight="1">
      <c r="B134" s="13" t="s">
        <v>1053</v>
      </c>
      <c r="C134" s="7">
        <v>135932.7690000001</v>
      </c>
      <c r="D134" s="7">
        <v>94272.83100000002</v>
      </c>
      <c r="E134" s="7">
        <v>67307.18599999999</v>
      </c>
      <c r="F134" s="7">
        <f t="shared" si="1"/>
        <v>297512.786</v>
      </c>
      <c r="G134" s="14">
        <f t="shared" si="2"/>
        <v>-0.005009461212</v>
      </c>
      <c r="I134" s="15">
        <v>44022.0</v>
      </c>
      <c r="J134" s="10">
        <v>44036.0</v>
      </c>
      <c r="K134" s="11">
        <v>0.00281</v>
      </c>
      <c r="L134" s="4"/>
      <c r="M134" s="12">
        <v>43293.0</v>
      </c>
      <c r="N134" s="2">
        <v>279.37</v>
      </c>
      <c r="O134" s="3">
        <v>43441.0</v>
      </c>
      <c r="P134" s="4" t="str">
        <f t="array" ref="P134">XLOOKUP(O134,Agregado!$B$2:$B$1511,Agregado!$G$2:$G$1511)</f>
        <v>#N/A</v>
      </c>
    </row>
    <row r="135" ht="15.75" customHeight="1">
      <c r="B135" s="13" t="s">
        <v>1054</v>
      </c>
      <c r="C135" s="7">
        <v>138230.7440000001</v>
      </c>
      <c r="D135" s="7">
        <v>94509.79600000002</v>
      </c>
      <c r="E135" s="7">
        <v>67409.14099999999</v>
      </c>
      <c r="F135" s="7">
        <f t="shared" si="1"/>
        <v>300149.681</v>
      </c>
      <c r="G135" s="14">
        <f t="shared" si="2"/>
        <v>0.008824084682</v>
      </c>
      <c r="I135" s="15">
        <v>44029.0</v>
      </c>
      <c r="J135" s="10">
        <v>44043.0</v>
      </c>
      <c r="K135" s="11">
        <v>-0.00794</v>
      </c>
      <c r="L135" s="4"/>
      <c r="M135" s="12">
        <v>43294.0</v>
      </c>
      <c r="N135" s="2">
        <v>279.59</v>
      </c>
      <c r="O135" s="3" t="s">
        <v>75</v>
      </c>
      <c r="P135" s="4" t="str">
        <f t="array" ref="P135">XLOOKUP(O135,Agregado!$B$2:$B$1511,Agregado!$G$2:$G$1511)</f>
        <v>#N/A</v>
      </c>
    </row>
    <row r="136" ht="15.75" customHeight="1">
      <c r="B136" s="13" t="s">
        <v>1055</v>
      </c>
      <c r="C136" s="7">
        <v>136945.9320000001</v>
      </c>
      <c r="D136" s="7">
        <v>94481.67100000002</v>
      </c>
      <c r="E136" s="7">
        <v>67319.42799999999</v>
      </c>
      <c r="F136" s="7">
        <f t="shared" si="1"/>
        <v>298747.031</v>
      </c>
      <c r="G136" s="14">
        <f t="shared" si="2"/>
        <v>-0.004684121774</v>
      </c>
      <c r="I136" s="15">
        <v>44036.0</v>
      </c>
      <c r="J136" s="10">
        <v>44050.0</v>
      </c>
      <c r="K136" s="11">
        <v>0.00103</v>
      </c>
      <c r="L136" s="4"/>
      <c r="M136" s="12">
        <v>43297.0</v>
      </c>
      <c r="N136" s="2">
        <v>279.34</v>
      </c>
      <c r="O136" s="3" t="s">
        <v>76</v>
      </c>
      <c r="P136" s="4" t="str">
        <f t="array" ref="P136">XLOOKUP(O136,Agregado!$B$2:$B$1511,Agregado!$G$2:$G$1511)</f>
        <v>#N/A</v>
      </c>
    </row>
    <row r="137" ht="15.75" customHeight="1">
      <c r="B137" s="13" t="s">
        <v>1056</v>
      </c>
      <c r="C137" s="7">
        <v>135561.8800000001</v>
      </c>
      <c r="D137" s="7">
        <v>94326.81600000002</v>
      </c>
      <c r="E137" s="7">
        <v>67429.45299999998</v>
      </c>
      <c r="F137" s="7">
        <f t="shared" si="1"/>
        <v>297318.149</v>
      </c>
      <c r="G137" s="14">
        <f t="shared" si="2"/>
        <v>-0.004794390899</v>
      </c>
      <c r="I137" s="15">
        <v>44043.0</v>
      </c>
      <c r="J137" s="10">
        <v>44057.0</v>
      </c>
      <c r="K137" s="11">
        <v>5.5E-4</v>
      </c>
      <c r="L137" s="4"/>
      <c r="M137" s="12">
        <v>43298.0</v>
      </c>
      <c r="N137" s="2">
        <v>280.47</v>
      </c>
      <c r="O137" s="3" t="s">
        <v>77</v>
      </c>
      <c r="P137" s="4" t="str">
        <f t="array" ref="P137">XLOOKUP(O137,Agregado!$B$2:$B$1511,Agregado!$G$2:$G$1511)</f>
        <v>#N/A</v>
      </c>
    </row>
    <row r="138" ht="15.75" customHeight="1">
      <c r="B138" s="13" t="s">
        <v>1057</v>
      </c>
      <c r="C138" s="7">
        <v>136344.0100000001</v>
      </c>
      <c r="D138" s="7">
        <v>94326.81600000002</v>
      </c>
      <c r="E138" s="7">
        <v>67450.19399999997</v>
      </c>
      <c r="F138" s="7">
        <f t="shared" si="1"/>
        <v>298121.02</v>
      </c>
      <c r="G138" s="14">
        <f t="shared" si="2"/>
        <v>0.002696737226</v>
      </c>
      <c r="I138" s="15">
        <v>44050.0</v>
      </c>
      <c r="J138" s="10">
        <v>44064.0</v>
      </c>
      <c r="K138" s="11">
        <v>-0.00473999999999999</v>
      </c>
      <c r="L138" s="4"/>
      <c r="M138" s="12">
        <v>43299.0</v>
      </c>
      <c r="N138" s="2">
        <v>281.06</v>
      </c>
      <c r="O138" s="3" t="s">
        <v>78</v>
      </c>
      <c r="P138" s="4" t="str">
        <f t="array" ref="P138">XLOOKUP(O138,Agregado!$B$2:$B$1511,Agregado!$G$2:$G$1511)</f>
        <v>#N/A</v>
      </c>
    </row>
    <row r="139" ht="15.75" customHeight="1">
      <c r="B139" s="13" t="s">
        <v>1058</v>
      </c>
      <c r="C139" s="7">
        <v>136301.9440000001</v>
      </c>
      <c r="D139" s="7">
        <v>94326.81600000002</v>
      </c>
      <c r="E139" s="7">
        <v>67508.42099999997</v>
      </c>
      <c r="F139" s="7">
        <f t="shared" si="1"/>
        <v>298137.181</v>
      </c>
      <c r="G139" s="14">
        <f t="shared" si="2"/>
        <v>0.00005420805945</v>
      </c>
      <c r="I139" s="15">
        <v>44057.0</v>
      </c>
      <c r="J139" s="10">
        <v>44071.0</v>
      </c>
      <c r="K139" s="11">
        <v>-0.00526</v>
      </c>
      <c r="L139" s="4"/>
      <c r="M139" s="12">
        <v>43300.0</v>
      </c>
      <c r="N139" s="2">
        <v>280.0</v>
      </c>
      <c r="O139" s="3" t="s">
        <v>79</v>
      </c>
      <c r="P139" s="4" t="str">
        <f t="array" ref="P139">XLOOKUP(O139,Agregado!$B$2:$B$1511,Agregado!$G$2:$G$1511)</f>
        <v>#N/A</v>
      </c>
    </row>
    <row r="140" ht="15.75" customHeight="1">
      <c r="B140" s="13" t="s">
        <v>1059</v>
      </c>
      <c r="C140" s="7">
        <v>135627.4310000001</v>
      </c>
      <c r="D140" s="7">
        <v>94680.57600000002</v>
      </c>
      <c r="E140" s="7">
        <v>67502.21599999997</v>
      </c>
      <c r="F140" s="7">
        <f t="shared" si="1"/>
        <v>297810.223</v>
      </c>
      <c r="G140" s="14">
        <f t="shared" si="2"/>
        <v>-0.001097271439</v>
      </c>
      <c r="I140" s="15">
        <v>44064.0</v>
      </c>
      <c r="J140" s="10">
        <v>44078.0</v>
      </c>
      <c r="K140" s="11">
        <v>-0.00532</v>
      </c>
      <c r="L140" s="4"/>
      <c r="M140" s="12">
        <v>43301.0</v>
      </c>
      <c r="N140" s="2">
        <v>279.68</v>
      </c>
      <c r="O140" s="3" t="s">
        <v>80</v>
      </c>
      <c r="P140" s="4" t="str">
        <f t="array" ref="P140">XLOOKUP(O140,Agregado!$B$2:$B$1511,Agregado!$G$2:$G$1511)</f>
        <v>#N/A</v>
      </c>
    </row>
    <row r="141" ht="15.75" customHeight="1">
      <c r="B141" s="13" t="s">
        <v>1060</v>
      </c>
      <c r="C141" s="7">
        <v>136453.3350000001</v>
      </c>
      <c r="D141" s="7">
        <v>94088.54600000002</v>
      </c>
      <c r="E141" s="7">
        <v>67535.43799999997</v>
      </c>
      <c r="F141" s="7">
        <f t="shared" si="1"/>
        <v>298077.319</v>
      </c>
      <c r="G141" s="14">
        <f t="shared" si="2"/>
        <v>0.0008964645141</v>
      </c>
      <c r="I141" s="15">
        <v>44071.0</v>
      </c>
      <c r="J141" s="10">
        <v>44085.0</v>
      </c>
      <c r="K141" s="11">
        <v>0.0126</v>
      </c>
      <c r="L141" s="4"/>
      <c r="M141" s="12">
        <v>43304.0</v>
      </c>
      <c r="N141" s="2">
        <v>280.2</v>
      </c>
      <c r="O141" s="3" t="s">
        <v>81</v>
      </c>
      <c r="P141" s="4" t="str">
        <f t="array" ref="P141">XLOOKUP(O141,Agregado!$B$2:$B$1511,Agregado!$G$2:$G$1511)</f>
        <v>#N/A</v>
      </c>
    </row>
    <row r="142" ht="15.75" customHeight="1">
      <c r="B142" s="13" t="s">
        <v>1061</v>
      </c>
      <c r="C142" s="7">
        <v>135138.6910000001</v>
      </c>
      <c r="D142" s="7">
        <v>93891.38200000001</v>
      </c>
      <c r="E142" s="7">
        <v>67284.68899999997</v>
      </c>
      <c r="F142" s="7">
        <f t="shared" si="1"/>
        <v>296314.762</v>
      </c>
      <c r="G142" s="14">
        <f t="shared" si="2"/>
        <v>-0.005930638117</v>
      </c>
      <c r="I142" s="15">
        <v>44078.0</v>
      </c>
      <c r="J142" s="10">
        <v>44092.0</v>
      </c>
      <c r="K142" s="11">
        <v>0.02285</v>
      </c>
      <c r="L142" s="4"/>
      <c r="M142" s="12">
        <v>43305.0</v>
      </c>
      <c r="N142" s="2">
        <v>281.61</v>
      </c>
      <c r="O142" s="3" t="s">
        <v>82</v>
      </c>
      <c r="P142" s="4" t="str">
        <f t="array" ref="P142">XLOOKUP(O142,Agregado!$B$2:$B$1511,Agregado!$G$2:$G$1511)</f>
        <v>#N/A</v>
      </c>
    </row>
    <row r="143" ht="15.75" customHeight="1">
      <c r="B143" s="13" t="s">
        <v>1062</v>
      </c>
      <c r="C143" s="7">
        <v>136119.4760000001</v>
      </c>
      <c r="D143" s="7">
        <v>93820.83700000001</v>
      </c>
      <c r="E143" s="7">
        <v>67400.60399999996</v>
      </c>
      <c r="F143" s="7">
        <f t="shared" si="1"/>
        <v>297340.917</v>
      </c>
      <c r="G143" s="14">
        <f t="shared" si="2"/>
        <v>0.003457074726</v>
      </c>
      <c r="I143" s="15">
        <v>44085.0</v>
      </c>
      <c r="J143" s="10">
        <v>44099.0</v>
      </c>
      <c r="K143" s="11">
        <v>-0.01977</v>
      </c>
      <c r="L143" s="4"/>
      <c r="M143" s="12">
        <v>43306.0</v>
      </c>
      <c r="N143" s="2">
        <v>284.01</v>
      </c>
      <c r="O143" s="3" t="s">
        <v>83</v>
      </c>
      <c r="P143" s="4" t="str">
        <f t="array" ref="P143">XLOOKUP(O143,Agregado!$B$2:$B$1511,Agregado!$G$2:$G$1511)</f>
        <v>#N/A</v>
      </c>
    </row>
    <row r="144" ht="15.75" customHeight="1">
      <c r="B144" s="13" t="s">
        <v>1063</v>
      </c>
      <c r="C144" s="7">
        <v>138217.19800000012</v>
      </c>
      <c r="D144" s="7">
        <v>93849.19100000002</v>
      </c>
      <c r="E144" s="7">
        <v>67872.85499999997</v>
      </c>
      <c r="F144" s="7">
        <f t="shared" si="1"/>
        <v>299939.244</v>
      </c>
      <c r="G144" s="14">
        <f t="shared" si="2"/>
        <v>0.008700584954</v>
      </c>
      <c r="I144" s="15">
        <v>44092.0</v>
      </c>
      <c r="J144" s="10">
        <v>44106.0</v>
      </c>
      <c r="K144" s="11">
        <v>-0.00963</v>
      </c>
      <c r="L144" s="4"/>
      <c r="M144" s="12">
        <v>43307.0</v>
      </c>
      <c r="N144" s="2">
        <v>283.34</v>
      </c>
      <c r="O144" s="3" t="s">
        <v>84</v>
      </c>
      <c r="P144" s="4" t="str">
        <f t="array" ref="P144">XLOOKUP(O144,Agregado!$B$2:$B$1511,Agregado!$G$2:$G$1511)</f>
        <v>#N/A</v>
      </c>
    </row>
    <row r="145" ht="15.75" customHeight="1">
      <c r="B145" s="13" t="s">
        <v>1064</v>
      </c>
      <c r="C145" s="7">
        <v>139211.65900000013</v>
      </c>
      <c r="D145" s="7">
        <v>93834.88500000002</v>
      </c>
      <c r="E145" s="7">
        <v>67958.01199999997</v>
      </c>
      <c r="F145" s="7">
        <f t="shared" si="1"/>
        <v>301004.556</v>
      </c>
      <c r="G145" s="14">
        <f t="shared" si="2"/>
        <v>0.003545466701</v>
      </c>
      <c r="I145" s="15">
        <v>44099.0</v>
      </c>
      <c r="J145" s="10">
        <v>44113.0</v>
      </c>
      <c r="K145" s="11">
        <v>0.00492</v>
      </c>
      <c r="L145" s="4"/>
      <c r="M145" s="12">
        <v>43308.0</v>
      </c>
      <c r="N145" s="2">
        <v>281.42</v>
      </c>
      <c r="O145" s="3" t="s">
        <v>85</v>
      </c>
      <c r="P145" s="4" t="str">
        <f t="array" ref="P145">XLOOKUP(O145,Agregado!$B$2:$B$1511,Agregado!$G$2:$G$1511)</f>
        <v>#N/A</v>
      </c>
    </row>
    <row r="146" ht="15.75" customHeight="1">
      <c r="B146" s="13" t="s">
        <v>1065</v>
      </c>
      <c r="C146" s="7">
        <v>138418.49600000013</v>
      </c>
      <c r="D146" s="7">
        <v>93963.25100000002</v>
      </c>
      <c r="E146" s="7">
        <v>67991.30899999998</v>
      </c>
      <c r="F146" s="7">
        <f t="shared" si="1"/>
        <v>300373.056</v>
      </c>
      <c r="G146" s="14">
        <f t="shared" si="2"/>
        <v>-0.002100178721</v>
      </c>
      <c r="I146" s="15">
        <v>44106.0</v>
      </c>
      <c r="J146" s="10">
        <v>44120.0</v>
      </c>
      <c r="K146" s="11">
        <v>0.00113999999999999</v>
      </c>
      <c r="L146" s="4"/>
      <c r="M146" s="12">
        <v>43311.0</v>
      </c>
      <c r="N146" s="2">
        <v>279.95</v>
      </c>
      <c r="O146" s="3" t="s">
        <v>86</v>
      </c>
      <c r="P146" s="4" t="str">
        <f t="array" ref="P146">XLOOKUP(O146,Agregado!$B$2:$B$1511,Agregado!$G$2:$G$1511)</f>
        <v>#N/A</v>
      </c>
    </row>
    <row r="147" ht="15.75" customHeight="1">
      <c r="B147" s="13" t="s">
        <v>1066</v>
      </c>
      <c r="C147" s="7">
        <v>139572.30500000014</v>
      </c>
      <c r="D147" s="7">
        <v>93722.37400000003</v>
      </c>
      <c r="E147" s="7">
        <v>68004.79199999997</v>
      </c>
      <c r="F147" s="7">
        <f t="shared" si="1"/>
        <v>301299.471</v>
      </c>
      <c r="G147" s="14">
        <f t="shared" si="2"/>
        <v>0.003079468284</v>
      </c>
      <c r="I147" s="15">
        <v>44113.0</v>
      </c>
      <c r="J147" s="10">
        <v>44127.0</v>
      </c>
      <c r="K147" s="11">
        <v>0.00506999999999999</v>
      </c>
      <c r="L147" s="4"/>
      <c r="M147" s="12">
        <v>43312.0</v>
      </c>
      <c r="N147" s="2">
        <v>281.33</v>
      </c>
      <c r="O147" s="3" t="s">
        <v>87</v>
      </c>
      <c r="P147" s="4" t="str">
        <f t="array" ref="P147">XLOOKUP(O147,Agregado!$B$2:$B$1511,Agregado!$G$2:$G$1511)</f>
        <v>#N/A</v>
      </c>
    </row>
    <row r="148" ht="15.75" customHeight="1">
      <c r="B148" s="13" t="s">
        <v>1067</v>
      </c>
      <c r="C148" s="7">
        <v>140817.52200000014</v>
      </c>
      <c r="D148" s="7">
        <v>93186.99900000003</v>
      </c>
      <c r="E148" s="7">
        <v>68004.88099999998</v>
      </c>
      <c r="F148" s="7">
        <f t="shared" si="1"/>
        <v>302009.402</v>
      </c>
      <c r="G148" s="14">
        <f t="shared" si="2"/>
        <v>0.002353458931</v>
      </c>
      <c r="I148" s="15">
        <v>44120.0</v>
      </c>
      <c r="J148" s="10">
        <v>44134.0</v>
      </c>
      <c r="K148" s="11">
        <v>-0.01727</v>
      </c>
      <c r="L148" s="4"/>
      <c r="M148" s="12">
        <v>43313.0</v>
      </c>
      <c r="N148" s="2">
        <v>280.86</v>
      </c>
      <c r="O148" s="3">
        <v>43108.0</v>
      </c>
      <c r="P148" s="4" t="str">
        <f t="array" ref="P148">XLOOKUP(O148,Agregado!$B$2:$B$1511,Agregado!$G$2:$G$1511)</f>
        <v>#N/A</v>
      </c>
    </row>
    <row r="149" ht="15.75" customHeight="1">
      <c r="B149" s="13" t="s">
        <v>1068</v>
      </c>
      <c r="C149" s="7">
        <v>142785.89900000015</v>
      </c>
      <c r="D149" s="7">
        <v>93186.99900000003</v>
      </c>
      <c r="E149" s="7">
        <v>68017.83099999998</v>
      </c>
      <c r="F149" s="7">
        <f t="shared" si="1"/>
        <v>303990.729</v>
      </c>
      <c r="G149" s="14">
        <f t="shared" si="2"/>
        <v>0.00653905489</v>
      </c>
      <c r="I149" s="15">
        <v>44127.0</v>
      </c>
      <c r="J149" s="10">
        <v>44141.0</v>
      </c>
      <c r="K149" s="11">
        <v>0.01873</v>
      </c>
      <c r="L149" s="4"/>
      <c r="M149" s="12">
        <v>43314.0</v>
      </c>
      <c r="N149" s="2">
        <v>282.39</v>
      </c>
      <c r="O149" s="3">
        <v>43139.0</v>
      </c>
      <c r="P149" s="4" t="str">
        <f t="array" ref="P149">XLOOKUP(O149,Agregado!$B$2:$B$1511,Agregado!$G$2:$G$1511)</f>
        <v>#N/A</v>
      </c>
    </row>
    <row r="150" ht="15.75" customHeight="1">
      <c r="B150" s="13" t="s">
        <v>1069</v>
      </c>
      <c r="C150" s="7">
        <v>139794.29200000016</v>
      </c>
      <c r="D150" s="7">
        <v>93172.85600000003</v>
      </c>
      <c r="E150" s="7">
        <v>68018.21899999998</v>
      </c>
      <c r="F150" s="7">
        <f t="shared" si="1"/>
        <v>300985.367</v>
      </c>
      <c r="G150" s="14">
        <f t="shared" si="2"/>
        <v>-0.009935555281</v>
      </c>
      <c r="I150" s="15">
        <v>44134.0</v>
      </c>
      <c r="J150" s="10">
        <v>44148.0</v>
      </c>
      <c r="K150" s="11">
        <v>0.03175</v>
      </c>
      <c r="L150" s="4"/>
      <c r="M150" s="12">
        <v>43315.0</v>
      </c>
      <c r="N150" s="2">
        <v>283.6</v>
      </c>
      <c r="O150" s="3">
        <v>43167.0</v>
      </c>
      <c r="P150" s="4" t="str">
        <f t="array" ref="P150">XLOOKUP(O150,Agregado!$B$2:$B$1511,Agregado!$G$2:$G$1511)</f>
        <v>#N/A</v>
      </c>
    </row>
    <row r="151" ht="15.75" customHeight="1">
      <c r="B151" s="13" t="s">
        <v>1070</v>
      </c>
      <c r="C151" s="7">
        <v>136223.06700000016</v>
      </c>
      <c r="D151" s="7">
        <v>93286.57200000003</v>
      </c>
      <c r="E151" s="7">
        <v>68018.49999999999</v>
      </c>
      <c r="F151" s="7">
        <f t="shared" si="1"/>
        <v>297528.139</v>
      </c>
      <c r="G151" s="14">
        <f t="shared" si="2"/>
        <v>-0.01155284356</v>
      </c>
      <c r="I151" s="15">
        <v>44141.0</v>
      </c>
      <c r="J151" s="10">
        <v>44155.0</v>
      </c>
      <c r="K151" s="11">
        <v>-0.00415</v>
      </c>
      <c r="L151" s="4"/>
      <c r="M151" s="12">
        <v>43318.0</v>
      </c>
      <c r="N151" s="2">
        <v>284.64</v>
      </c>
      <c r="O151" s="3">
        <v>43259.0</v>
      </c>
      <c r="P151" s="4" t="str">
        <f t="array" ref="P151">XLOOKUP(O151,Agregado!$B$2:$B$1511,Agregado!$G$2:$G$1511)</f>
        <v>#N/A</v>
      </c>
    </row>
    <row r="152" ht="15.75" customHeight="1">
      <c r="B152" s="13" t="s">
        <v>1071</v>
      </c>
      <c r="C152" s="7">
        <v>135911.04800000016</v>
      </c>
      <c r="D152" s="7">
        <v>93229.44200000002</v>
      </c>
      <c r="E152" s="7">
        <v>68032.23099999999</v>
      </c>
      <c r="F152" s="7">
        <f t="shared" si="1"/>
        <v>297172.721</v>
      </c>
      <c r="G152" s="14">
        <f t="shared" si="2"/>
        <v>-0.001195283431</v>
      </c>
      <c r="I152" s="15">
        <v>44148.0</v>
      </c>
      <c r="J152" s="10">
        <v>44162.0</v>
      </c>
      <c r="K152" s="11">
        <v>0.00871</v>
      </c>
      <c r="L152" s="4"/>
      <c r="M152" s="12">
        <v>43319.0</v>
      </c>
      <c r="N152" s="2">
        <v>285.58</v>
      </c>
      <c r="O152" s="3">
        <v>43289.0</v>
      </c>
      <c r="P152" s="4" t="str">
        <f t="array" ref="P152">XLOOKUP(O152,Agregado!$B$2:$B$1511,Agregado!$G$2:$G$1511)</f>
        <v>#N/A</v>
      </c>
    </row>
    <row r="153" ht="15.75" customHeight="1">
      <c r="B153" s="13" t="s">
        <v>1072</v>
      </c>
      <c r="C153" s="7">
        <v>135612.13300000015</v>
      </c>
      <c r="D153" s="7">
        <v>93301.11300000003</v>
      </c>
      <c r="E153" s="7">
        <v>68190.51599999999</v>
      </c>
      <c r="F153" s="7">
        <f t="shared" si="1"/>
        <v>297103.762</v>
      </c>
      <c r="G153" s="14">
        <f t="shared" si="2"/>
        <v>-0.0002320771637</v>
      </c>
      <c r="I153" s="15">
        <v>44155.0</v>
      </c>
      <c r="J153" s="10">
        <v>44169.0</v>
      </c>
      <c r="K153" s="11">
        <v>-0.0248499999999999</v>
      </c>
      <c r="L153" s="4"/>
      <c r="M153" s="12">
        <v>43320.0</v>
      </c>
      <c r="N153" s="2">
        <v>285.46</v>
      </c>
      <c r="O153" s="3">
        <v>43320.0</v>
      </c>
      <c r="P153" s="4" t="str">
        <f t="array" ref="P153">XLOOKUP(O153,Agregado!$B$2:$B$1511,Agregado!$G$2:$G$1511)</f>
        <v>#N/A</v>
      </c>
    </row>
    <row r="154" ht="15.75" customHeight="1">
      <c r="B154" s="13" t="s">
        <v>1073</v>
      </c>
      <c r="C154" s="7">
        <v>136440.03700000016</v>
      </c>
      <c r="D154" s="7">
        <v>93588.61100000003</v>
      </c>
      <c r="E154" s="7">
        <v>68400.93899999998</v>
      </c>
      <c r="F154" s="7">
        <f t="shared" si="1"/>
        <v>298429.587</v>
      </c>
      <c r="G154" s="14">
        <f t="shared" si="2"/>
        <v>0.004452570768</v>
      </c>
      <c r="I154" s="15">
        <v>44162.0</v>
      </c>
      <c r="J154" s="10">
        <v>44176.0</v>
      </c>
      <c r="K154" s="11">
        <v>-0.01809</v>
      </c>
      <c r="L154" s="4"/>
      <c r="M154" s="12">
        <v>43321.0</v>
      </c>
      <c r="N154" s="2">
        <v>285.07</v>
      </c>
      <c r="O154" s="3">
        <v>43351.0</v>
      </c>
      <c r="P154" s="4" t="str">
        <f t="array" ref="P154">XLOOKUP(O154,Agregado!$B$2:$B$1511,Agregado!$G$2:$G$1511)</f>
        <v>#N/A</v>
      </c>
    </row>
    <row r="155" ht="15.75" customHeight="1">
      <c r="B155" s="13" t="s">
        <v>1074</v>
      </c>
      <c r="C155" s="7">
        <v>140550.04500000016</v>
      </c>
      <c r="D155" s="7">
        <v>94105.98500000003</v>
      </c>
      <c r="E155" s="7">
        <v>68684.12199999999</v>
      </c>
      <c r="F155" s="7">
        <f t="shared" si="1"/>
        <v>303340.152</v>
      </c>
      <c r="G155" s="14">
        <f t="shared" si="2"/>
        <v>0.01632077415</v>
      </c>
      <c r="I155" s="15">
        <v>44169.0</v>
      </c>
      <c r="J155" s="10">
        <v>44183.0</v>
      </c>
      <c r="K155" s="11">
        <v>-0.0082</v>
      </c>
      <c r="L155" s="4"/>
      <c r="M155" s="12">
        <v>43322.0</v>
      </c>
      <c r="N155" s="2">
        <v>283.16</v>
      </c>
      <c r="O155" s="3">
        <v>43381.0</v>
      </c>
      <c r="P155" s="4" t="str">
        <f t="array" ref="P155">XLOOKUP(O155,Agregado!$B$2:$B$1511,Agregado!$G$2:$G$1511)</f>
        <v>#N/A</v>
      </c>
    </row>
    <row r="156" ht="15.75" customHeight="1">
      <c r="B156" s="13" t="s">
        <v>1075</v>
      </c>
      <c r="C156" s="7">
        <v>141177.22000000015</v>
      </c>
      <c r="D156" s="7">
        <v>94680.16400000003</v>
      </c>
      <c r="E156" s="7">
        <v>68687.26599999999</v>
      </c>
      <c r="F156" s="7">
        <f t="shared" si="1"/>
        <v>304544.65</v>
      </c>
      <c r="G156" s="14">
        <f t="shared" si="2"/>
        <v>0.003962920515</v>
      </c>
      <c r="I156" s="15">
        <v>44176.0</v>
      </c>
      <c r="J156" s="10">
        <v>44189.0</v>
      </c>
      <c r="K156" s="11">
        <v>0.01015</v>
      </c>
      <c r="L156" s="4"/>
      <c r="M156" s="12">
        <v>43325.0</v>
      </c>
      <c r="N156" s="2">
        <v>282.1</v>
      </c>
      <c r="O156" s="3" t="s">
        <v>88</v>
      </c>
      <c r="P156" s="4" t="str">
        <f t="array" ref="P156">XLOOKUP(O156,Agregado!$B$2:$B$1511,Agregado!$G$2:$G$1511)</f>
        <v>#N/A</v>
      </c>
    </row>
    <row r="157" ht="15.75" customHeight="1">
      <c r="B157" s="13" t="s">
        <v>1076</v>
      </c>
      <c r="C157" s="7">
        <v>139945.55900000015</v>
      </c>
      <c r="D157" s="7">
        <v>94751.44800000003</v>
      </c>
      <c r="E157" s="7">
        <v>68700.81999999999</v>
      </c>
      <c r="F157" s="7">
        <f t="shared" si="1"/>
        <v>303397.827</v>
      </c>
      <c r="G157" s="14">
        <f t="shared" si="2"/>
        <v>-0.0037728055</v>
      </c>
      <c r="I157" s="15">
        <v>44183.0</v>
      </c>
      <c r="J157" s="10">
        <v>44196.0</v>
      </c>
      <c r="K157" s="11">
        <v>0.00173</v>
      </c>
      <c r="L157" s="4"/>
      <c r="M157" s="12">
        <v>43326.0</v>
      </c>
      <c r="N157" s="2">
        <v>283.9</v>
      </c>
      <c r="O157" s="3" t="s">
        <v>89</v>
      </c>
      <c r="P157" s="4" t="str">
        <f t="array" ref="P157">XLOOKUP(O157,Agregado!$B$2:$B$1511,Agregado!$G$2:$G$1511)</f>
        <v>#N/A</v>
      </c>
    </row>
    <row r="158" ht="15.75" customHeight="1">
      <c r="B158" s="13" t="s">
        <v>1077</v>
      </c>
      <c r="C158" s="7">
        <v>138902.11300000016</v>
      </c>
      <c r="D158" s="7">
        <v>94879.24600000003</v>
      </c>
      <c r="E158" s="7">
        <v>68720.41299999999</v>
      </c>
      <c r="F158" s="7">
        <f t="shared" si="1"/>
        <v>302501.772</v>
      </c>
      <c r="G158" s="14">
        <f t="shared" si="2"/>
        <v>-0.002957769422</v>
      </c>
      <c r="I158" s="15">
        <v>44189.0</v>
      </c>
      <c r="J158" s="10">
        <v>44204.0</v>
      </c>
      <c r="K158" s="11">
        <v>-2.0E-18</v>
      </c>
      <c r="L158" s="4"/>
      <c r="M158" s="12">
        <v>43327.0</v>
      </c>
      <c r="N158" s="2">
        <v>281.78</v>
      </c>
      <c r="O158" s="3" t="s">
        <v>90</v>
      </c>
      <c r="P158" s="4" t="str">
        <f t="array" ref="P158">XLOOKUP(O158,Agregado!$B$2:$B$1511,Agregado!$G$2:$G$1511)</f>
        <v>#N/A</v>
      </c>
    </row>
    <row r="159" ht="15.75" customHeight="1">
      <c r="B159" s="13" t="s">
        <v>1078</v>
      </c>
      <c r="C159" s="7">
        <v>137568.09500000015</v>
      </c>
      <c r="D159" s="7">
        <v>95093.62200000003</v>
      </c>
      <c r="E159" s="7">
        <v>69757.06799999998</v>
      </c>
      <c r="F159" s="7">
        <f t="shared" si="1"/>
        <v>302418.785</v>
      </c>
      <c r="G159" s="14">
        <f t="shared" si="2"/>
        <v>-0.00027437322</v>
      </c>
      <c r="I159" s="15">
        <v>44196.0</v>
      </c>
      <c r="J159" s="10">
        <v>44211.0</v>
      </c>
      <c r="K159" s="11">
        <v>-4.5E-4</v>
      </c>
      <c r="L159" s="4"/>
      <c r="M159" s="12">
        <v>43328.0</v>
      </c>
      <c r="N159" s="2">
        <v>284.06</v>
      </c>
      <c r="O159" s="3" t="s">
        <v>91</v>
      </c>
      <c r="P159" s="4" t="str">
        <f t="array" ref="P159">XLOOKUP(O159,Agregado!$B$2:$B$1511,Agregado!$G$2:$G$1511)</f>
        <v>#N/A</v>
      </c>
    </row>
    <row r="160" ht="15.75" customHeight="1">
      <c r="B160" s="13" t="s">
        <v>1079</v>
      </c>
      <c r="C160" s="7">
        <v>137483.57500000016</v>
      </c>
      <c r="D160" s="7">
        <v>95292.22200000004</v>
      </c>
      <c r="E160" s="7">
        <v>69901.08899999998</v>
      </c>
      <c r="F160" s="7">
        <f t="shared" si="1"/>
        <v>302676.886</v>
      </c>
      <c r="G160" s="14">
        <f t="shared" si="2"/>
        <v>0.0008530915953</v>
      </c>
      <c r="I160" s="15">
        <v>44204.0</v>
      </c>
      <c r="J160" s="10">
        <v>44218.0</v>
      </c>
      <c r="K160" s="11">
        <v>-0.0141</v>
      </c>
      <c r="L160" s="4"/>
      <c r="M160" s="12">
        <v>43329.0</v>
      </c>
      <c r="N160" s="2">
        <v>285.06</v>
      </c>
      <c r="O160" s="3" t="s">
        <v>92</v>
      </c>
      <c r="P160" s="4" t="str">
        <f t="array" ref="P160">XLOOKUP(O160,Agregado!$B$2:$B$1511,Agregado!$G$2:$G$1511)</f>
        <v>#N/A</v>
      </c>
    </row>
    <row r="161" ht="15.75" customHeight="1">
      <c r="B161" s="13" t="s">
        <v>1080</v>
      </c>
      <c r="C161" s="7">
        <v>139131.01500000016</v>
      </c>
      <c r="D161" s="7">
        <v>95506.75700000004</v>
      </c>
      <c r="E161" s="7">
        <v>69986.14299999998</v>
      </c>
      <c r="F161" s="7">
        <f t="shared" si="1"/>
        <v>304623.915</v>
      </c>
      <c r="G161" s="14">
        <f t="shared" si="2"/>
        <v>0.006412096502</v>
      </c>
      <c r="I161" s="15">
        <v>44211.0</v>
      </c>
      <c r="J161" s="10">
        <v>44225.0</v>
      </c>
      <c r="K161" s="11">
        <v>-0.01515</v>
      </c>
      <c r="L161" s="4"/>
      <c r="M161" s="12">
        <v>43332.0</v>
      </c>
      <c r="N161" s="2">
        <v>285.67</v>
      </c>
      <c r="O161" s="3" t="s">
        <v>93</v>
      </c>
      <c r="P161" s="4" t="str">
        <f t="array" ref="P161">XLOOKUP(O161,Agregado!$B$2:$B$1511,Agregado!$G$2:$G$1511)</f>
        <v>#N/A</v>
      </c>
    </row>
    <row r="162" ht="15.75" customHeight="1">
      <c r="B162" s="13" t="s">
        <v>1081</v>
      </c>
      <c r="C162" s="7">
        <v>137677.49700000015</v>
      </c>
      <c r="D162" s="7">
        <v>95736.37200000005</v>
      </c>
      <c r="E162" s="7">
        <v>70025.91899999998</v>
      </c>
      <c r="F162" s="7">
        <f t="shared" si="1"/>
        <v>303439.788</v>
      </c>
      <c r="G162" s="14">
        <f t="shared" si="2"/>
        <v>-0.003894751458</v>
      </c>
      <c r="I162" s="15">
        <v>44218.0</v>
      </c>
      <c r="J162" s="10">
        <v>44232.0</v>
      </c>
      <c r="K162" s="11">
        <v>0.04243</v>
      </c>
      <c r="L162" s="4"/>
      <c r="M162" s="12">
        <v>43333.0</v>
      </c>
      <c r="N162" s="2">
        <v>286.34</v>
      </c>
      <c r="O162" s="3" t="s">
        <v>94</v>
      </c>
      <c r="P162" s="4" t="str">
        <f t="array" ref="P162">XLOOKUP(O162,Agregado!$B$2:$B$1511,Agregado!$G$2:$G$1511)</f>
        <v>#N/A</v>
      </c>
    </row>
    <row r="163" ht="15.75" customHeight="1">
      <c r="B163" s="13" t="s">
        <v>1082</v>
      </c>
      <c r="C163" s="7">
        <v>138334.61500000014</v>
      </c>
      <c r="D163" s="7">
        <v>95822.69000000005</v>
      </c>
      <c r="E163" s="7">
        <v>70118.25099999997</v>
      </c>
      <c r="F163" s="7">
        <f t="shared" si="1"/>
        <v>304275.556</v>
      </c>
      <c r="G163" s="14">
        <f t="shared" si="2"/>
        <v>0.002750526328</v>
      </c>
      <c r="I163" s="15">
        <v>44225.0</v>
      </c>
      <c r="J163" s="10">
        <v>44239.0</v>
      </c>
      <c r="K163" s="11">
        <v>0.01823</v>
      </c>
      <c r="L163" s="4"/>
      <c r="M163" s="12">
        <v>43334.0</v>
      </c>
      <c r="N163" s="2">
        <v>286.17</v>
      </c>
      <c r="O163" s="3" t="s">
        <v>95</v>
      </c>
      <c r="P163" s="4" t="str">
        <f t="array" ref="P163">XLOOKUP(O163,Agregado!$B$2:$B$1511,Agregado!$G$2:$G$1511)</f>
        <v>#N/A</v>
      </c>
    </row>
    <row r="164" ht="15.75" customHeight="1">
      <c r="B164" s="13" t="s">
        <v>1083</v>
      </c>
      <c r="C164" s="7">
        <v>138735.43800000014</v>
      </c>
      <c r="D164" s="7">
        <v>95894.77200000004</v>
      </c>
      <c r="E164" s="7">
        <v>70138.07999999997</v>
      </c>
      <c r="F164" s="7">
        <f t="shared" si="1"/>
        <v>304768.29</v>
      </c>
      <c r="G164" s="14">
        <f t="shared" si="2"/>
        <v>0.001618057914</v>
      </c>
      <c r="I164" s="15">
        <v>44232.0</v>
      </c>
      <c r="J164" s="10">
        <v>44246.0</v>
      </c>
      <c r="K164" s="11">
        <v>0.0097</v>
      </c>
      <c r="L164" s="4"/>
      <c r="M164" s="12">
        <v>43335.0</v>
      </c>
      <c r="N164" s="2">
        <v>285.79</v>
      </c>
      <c r="O164" s="3" t="s">
        <v>96</v>
      </c>
      <c r="P164" s="4" t="str">
        <f t="array" ref="P164">XLOOKUP(O164,Agregado!$B$2:$B$1511,Agregado!$G$2:$G$1511)</f>
        <v>#N/A</v>
      </c>
    </row>
    <row r="165" ht="15.75" customHeight="1">
      <c r="B165" s="13" t="s">
        <v>1084</v>
      </c>
      <c r="C165" s="7">
        <v>137347.38600000014</v>
      </c>
      <c r="D165" s="7">
        <v>95894.77200000004</v>
      </c>
      <c r="E165" s="7">
        <v>70126.26399999997</v>
      </c>
      <c r="F165" s="7">
        <f t="shared" si="1"/>
        <v>303368.422</v>
      </c>
      <c r="G165" s="14">
        <f t="shared" si="2"/>
        <v>-0.004603801892</v>
      </c>
      <c r="I165" s="15">
        <v>44239.0</v>
      </c>
      <c r="J165" s="10">
        <v>44253.0</v>
      </c>
      <c r="K165" s="11">
        <v>0.00505</v>
      </c>
      <c r="L165" s="4"/>
      <c r="M165" s="12">
        <v>43336.0</v>
      </c>
      <c r="N165" s="2">
        <v>287.51</v>
      </c>
      <c r="O165" s="3" t="s">
        <v>97</v>
      </c>
      <c r="P165" s="4" t="str">
        <f t="array" ref="P165">XLOOKUP(O165,Agregado!$B$2:$B$1511,Agregado!$G$2:$G$1511)</f>
        <v>#N/A</v>
      </c>
    </row>
    <row r="166" ht="15.75" customHeight="1">
      <c r="B166" s="13" t="s">
        <v>1085</v>
      </c>
      <c r="C166" s="7">
        <v>136904.50500000015</v>
      </c>
      <c r="D166" s="7">
        <v>96297.62700000004</v>
      </c>
      <c r="E166" s="7">
        <v>70081.07399999996</v>
      </c>
      <c r="F166" s="7">
        <f t="shared" si="1"/>
        <v>303283.206</v>
      </c>
      <c r="G166" s="14">
        <f t="shared" si="2"/>
        <v>-0.0002809388342</v>
      </c>
      <c r="I166" s="15">
        <v>44246.0</v>
      </c>
      <c r="J166" s="10">
        <v>44260.0</v>
      </c>
      <c r="K166" s="11">
        <v>-0.00807</v>
      </c>
      <c r="L166" s="4"/>
      <c r="M166" s="12">
        <v>43339.0</v>
      </c>
      <c r="N166" s="2">
        <v>289.78</v>
      </c>
      <c r="O166" s="3" t="s">
        <v>98</v>
      </c>
      <c r="P166" s="4" t="str">
        <f t="array" ref="P166">XLOOKUP(O166,Agregado!$B$2:$B$1511,Agregado!$G$2:$G$1511)</f>
        <v>#N/A</v>
      </c>
    </row>
    <row r="167" ht="15.75" customHeight="1">
      <c r="B167" s="13" t="s">
        <v>1086</v>
      </c>
      <c r="C167" s="7">
        <v>135768.90100000016</v>
      </c>
      <c r="D167" s="7">
        <v>96442.39700000004</v>
      </c>
      <c r="E167" s="7">
        <v>70121.35799999996</v>
      </c>
      <c r="F167" s="7">
        <f t="shared" si="1"/>
        <v>302332.656</v>
      </c>
      <c r="G167" s="14">
        <f t="shared" si="2"/>
        <v>-0.00313912115</v>
      </c>
      <c r="I167" s="15">
        <v>44253.0</v>
      </c>
      <c r="J167" s="10">
        <v>44267.0</v>
      </c>
      <c r="K167" s="11">
        <v>-0.00405</v>
      </c>
      <c r="L167" s="4"/>
      <c r="M167" s="12">
        <v>43340.0</v>
      </c>
      <c r="N167" s="2">
        <v>289.92</v>
      </c>
      <c r="O167" s="3" t="s">
        <v>99</v>
      </c>
      <c r="P167" s="4" t="str">
        <f t="array" ref="P167">XLOOKUP(O167,Agregado!$B$2:$B$1511,Agregado!$G$2:$G$1511)</f>
        <v>#N/A</v>
      </c>
    </row>
    <row r="168" ht="15.75" customHeight="1">
      <c r="B168" s="13" t="s">
        <v>1087</v>
      </c>
      <c r="C168" s="7">
        <v>138028.75300000017</v>
      </c>
      <c r="D168" s="7">
        <v>96515.34500000004</v>
      </c>
      <c r="E168" s="7">
        <v>70035.37299999996</v>
      </c>
      <c r="F168" s="7">
        <f t="shared" si="1"/>
        <v>304579.471</v>
      </c>
      <c r="G168" s="14">
        <f t="shared" si="2"/>
        <v>0.007404120512</v>
      </c>
      <c r="I168" s="15">
        <v>44260.0</v>
      </c>
      <c r="J168" s="10">
        <v>44274.0</v>
      </c>
      <c r="K168" s="11">
        <v>0.0221999999999999</v>
      </c>
      <c r="L168" s="4"/>
      <c r="M168" s="12">
        <v>43341.0</v>
      </c>
      <c r="N168" s="2">
        <v>291.48</v>
      </c>
      <c r="O168" s="3" t="s">
        <v>100</v>
      </c>
      <c r="P168" s="4" t="str">
        <f t="array" ref="P168">XLOOKUP(O168,Agregado!$B$2:$B$1511,Agregado!$G$2:$G$1511)</f>
        <v>#N/A</v>
      </c>
    </row>
    <row r="169" ht="15.75" customHeight="1">
      <c r="B169" s="13" t="s">
        <v>1088</v>
      </c>
      <c r="C169" s="7">
        <v>139666.14400000017</v>
      </c>
      <c r="D169" s="7">
        <v>96500.75100000005</v>
      </c>
      <c r="E169" s="7">
        <v>69936.18199999996</v>
      </c>
      <c r="F169" s="7">
        <f t="shared" si="1"/>
        <v>306103.077</v>
      </c>
      <c r="G169" s="14">
        <f t="shared" si="2"/>
        <v>0.004989856567</v>
      </c>
      <c r="I169" s="15">
        <v>44267.0</v>
      </c>
      <c r="J169" s="10">
        <v>44281.0</v>
      </c>
      <c r="K169" s="11">
        <v>0.01522</v>
      </c>
      <c r="L169" s="4"/>
      <c r="M169" s="12">
        <v>43342.0</v>
      </c>
      <c r="N169" s="2">
        <v>290.3</v>
      </c>
      <c r="O169" s="3" t="s">
        <v>101</v>
      </c>
      <c r="P169" s="4" t="str">
        <f t="array" ref="P169">XLOOKUP(O169,Agregado!$B$2:$B$1511,Agregado!$G$2:$G$1511)</f>
        <v>#N/A</v>
      </c>
    </row>
    <row r="170" ht="15.75" customHeight="1">
      <c r="B170" s="13" t="s">
        <v>1089</v>
      </c>
      <c r="C170" s="7">
        <v>140161.65000000017</v>
      </c>
      <c r="D170" s="7">
        <v>96442.03800000004</v>
      </c>
      <c r="E170" s="7">
        <v>69936.85299999996</v>
      </c>
      <c r="F170" s="7">
        <f t="shared" si="1"/>
        <v>306540.541</v>
      </c>
      <c r="G170" s="14">
        <f t="shared" si="2"/>
        <v>0.001428119257</v>
      </c>
      <c r="I170" s="15">
        <v>44274.0</v>
      </c>
      <c r="J170" s="10">
        <v>44287.0</v>
      </c>
      <c r="K170" s="11">
        <v>0.00278</v>
      </c>
      <c r="L170" s="4"/>
      <c r="M170" s="12">
        <v>43343.0</v>
      </c>
      <c r="N170" s="2">
        <v>290.31</v>
      </c>
      <c r="O170" s="3" t="s">
        <v>102</v>
      </c>
      <c r="P170" s="4" t="str">
        <f t="array" ref="P170">XLOOKUP(O170,Agregado!$B$2:$B$1511,Agregado!$G$2:$G$1511)</f>
        <v>#N/A</v>
      </c>
    </row>
    <row r="171" ht="15.75" customHeight="1">
      <c r="B171" s="13" t="s">
        <v>1090</v>
      </c>
      <c r="C171" s="7">
        <v>135459.86700000017</v>
      </c>
      <c r="D171" s="7">
        <v>99964.37600000005</v>
      </c>
      <c r="E171" s="7">
        <v>69937.34499999996</v>
      </c>
      <c r="F171" s="7">
        <f t="shared" si="1"/>
        <v>305361.588</v>
      </c>
      <c r="G171" s="14">
        <f t="shared" si="2"/>
        <v>-0.003853408586</v>
      </c>
      <c r="I171" s="15">
        <v>44281.0</v>
      </c>
      <c r="J171" s="10">
        <v>44295.0</v>
      </c>
      <c r="K171" s="11">
        <v>-0.00629</v>
      </c>
      <c r="L171" s="4"/>
      <c r="M171" s="12">
        <v>43347.0</v>
      </c>
      <c r="N171" s="2">
        <v>289.81</v>
      </c>
      <c r="O171" s="3">
        <v>43199.0</v>
      </c>
      <c r="P171" s="4" t="str">
        <f t="array" ref="P171">XLOOKUP(O171,Agregado!$B$2:$B$1511,Agregado!$G$2:$G$1511)</f>
        <v>#N/A</v>
      </c>
    </row>
    <row r="172" ht="15.75" customHeight="1">
      <c r="B172" s="13" t="s">
        <v>1091</v>
      </c>
      <c r="C172" s="7">
        <v>134617.99300000016</v>
      </c>
      <c r="D172" s="7">
        <v>99774.33000000005</v>
      </c>
      <c r="E172" s="7">
        <v>70045.66199999995</v>
      </c>
      <c r="F172" s="7">
        <f t="shared" si="1"/>
        <v>304437.985</v>
      </c>
      <c r="G172" s="14">
        <f t="shared" si="2"/>
        <v>-0.003029204175</v>
      </c>
      <c r="I172" s="15">
        <v>44287.0</v>
      </c>
      <c r="J172" s="10">
        <v>44302.0</v>
      </c>
      <c r="K172" s="11">
        <v>0.0067</v>
      </c>
      <c r="L172" s="4"/>
      <c r="M172" s="12">
        <v>43348.0</v>
      </c>
      <c r="N172" s="2">
        <v>289.03</v>
      </c>
      <c r="O172" s="3">
        <v>43229.0</v>
      </c>
      <c r="P172" s="4" t="str">
        <f t="array" ref="P172">XLOOKUP(O172,Agregado!$B$2:$B$1511,Agregado!$G$2:$G$1511)</f>
        <v>#N/A</v>
      </c>
    </row>
    <row r="173" ht="15.75" customHeight="1">
      <c r="B173" s="13" t="s">
        <v>1092</v>
      </c>
      <c r="C173" s="7">
        <v>130531.15400000016</v>
      </c>
      <c r="D173" s="7">
        <v>99774.33000000005</v>
      </c>
      <c r="E173" s="7">
        <v>73874.13399999995</v>
      </c>
      <c r="F173" s="7">
        <f t="shared" si="1"/>
        <v>304179.618</v>
      </c>
      <c r="G173" s="14">
        <f t="shared" si="2"/>
        <v>-0.0008490290595</v>
      </c>
      <c r="I173" s="15">
        <v>44295.0</v>
      </c>
      <c r="J173" s="10">
        <v>44309.0</v>
      </c>
      <c r="K173" s="11">
        <v>-0.0058</v>
      </c>
      <c r="L173" s="4"/>
      <c r="M173" s="12">
        <v>43349.0</v>
      </c>
      <c r="N173" s="2">
        <v>288.16</v>
      </c>
      <c r="O173" s="3">
        <v>43260.0</v>
      </c>
      <c r="P173" s="4" t="str">
        <f t="array" ref="P173">XLOOKUP(O173,Agregado!$B$2:$B$1511,Agregado!$G$2:$G$1511)</f>
        <v>#N/A</v>
      </c>
    </row>
    <row r="174" ht="15.75" customHeight="1">
      <c r="B174" s="13" t="s">
        <v>1093</v>
      </c>
      <c r="C174" s="7">
        <v>133667.23200000016</v>
      </c>
      <c r="D174" s="7">
        <v>99395.89400000004</v>
      </c>
      <c r="E174" s="7">
        <v>73835.00799999994</v>
      </c>
      <c r="F174" s="7">
        <f t="shared" si="1"/>
        <v>306898.134</v>
      </c>
      <c r="G174" s="14">
        <f t="shared" si="2"/>
        <v>0.008897505843</v>
      </c>
      <c r="I174" s="15">
        <v>44302.0</v>
      </c>
      <c r="J174" s="10">
        <v>44316.0</v>
      </c>
      <c r="K174" s="11">
        <v>0.01385</v>
      </c>
      <c r="L174" s="4"/>
      <c r="M174" s="12">
        <v>43350.0</v>
      </c>
      <c r="N174" s="2">
        <v>287.6</v>
      </c>
      <c r="O174" s="3">
        <v>43290.0</v>
      </c>
      <c r="P174" s="4" t="str">
        <f t="array" ref="P174">XLOOKUP(O174,Agregado!$B$2:$B$1511,Agregado!$G$2:$G$1511)</f>
        <v>#N/A</v>
      </c>
    </row>
    <row r="175" ht="15.75" customHeight="1">
      <c r="B175" s="13" t="s">
        <v>1094</v>
      </c>
      <c r="C175" s="7">
        <v>133091.08700000017</v>
      </c>
      <c r="D175" s="7">
        <v>99149.28600000005</v>
      </c>
      <c r="E175" s="7">
        <v>73611.27499999995</v>
      </c>
      <c r="F175" s="7">
        <f t="shared" si="1"/>
        <v>305851.648</v>
      </c>
      <c r="G175" s="14">
        <f t="shared" si="2"/>
        <v>-0.003415707515</v>
      </c>
      <c r="I175" s="15">
        <v>44309.0</v>
      </c>
      <c r="J175" s="10">
        <v>44323.0</v>
      </c>
      <c r="K175" s="11">
        <v>-0.00274</v>
      </c>
      <c r="L175" s="4"/>
      <c r="M175" s="12">
        <v>43353.0</v>
      </c>
      <c r="N175" s="2">
        <v>288.1</v>
      </c>
      <c r="O175" s="3">
        <v>43382.0</v>
      </c>
      <c r="P175" s="4" t="str">
        <f t="array" ref="P175">XLOOKUP(O175,Agregado!$B$2:$B$1511,Agregado!$G$2:$G$1511)</f>
        <v>#N/A</v>
      </c>
    </row>
    <row r="176" ht="15.75" customHeight="1">
      <c r="B176" s="13" t="s">
        <v>1095</v>
      </c>
      <c r="C176" s="7">
        <v>132013.11600000018</v>
      </c>
      <c r="D176" s="7">
        <v>99771.73100000006</v>
      </c>
      <c r="E176" s="7">
        <v>73586.79199999996</v>
      </c>
      <c r="F176" s="7">
        <f t="shared" si="1"/>
        <v>305371.639</v>
      </c>
      <c r="G176" s="14">
        <f t="shared" si="2"/>
        <v>-0.001570650559</v>
      </c>
      <c r="I176" s="15">
        <v>44316.0</v>
      </c>
      <c r="J176" s="10">
        <v>44330.0</v>
      </c>
      <c r="K176" s="11">
        <v>0.00671</v>
      </c>
      <c r="L176" s="4"/>
      <c r="M176" s="12">
        <v>43354.0</v>
      </c>
      <c r="N176" s="2">
        <v>289.05</v>
      </c>
      <c r="O176" s="3">
        <v>43413.0</v>
      </c>
      <c r="P176" s="4" t="str">
        <f t="array" ref="P176">XLOOKUP(O176,Agregado!$B$2:$B$1511,Agregado!$G$2:$G$1511)</f>
        <v>#N/A</v>
      </c>
    </row>
    <row r="177" ht="15.75" customHeight="1">
      <c r="B177" s="13" t="s">
        <v>1096</v>
      </c>
      <c r="C177" s="7">
        <v>133150.72000000018</v>
      </c>
      <c r="D177" s="7">
        <v>99771.73100000006</v>
      </c>
      <c r="E177" s="7">
        <v>73587.02399999996</v>
      </c>
      <c r="F177" s="7">
        <f t="shared" si="1"/>
        <v>306509.475</v>
      </c>
      <c r="G177" s="14">
        <f t="shared" si="2"/>
        <v>0.003719145061</v>
      </c>
      <c r="I177" s="15">
        <v>44323.0</v>
      </c>
      <c r="J177" s="10">
        <v>44337.0</v>
      </c>
      <c r="K177" s="11">
        <v>-0.01613</v>
      </c>
      <c r="L177" s="4"/>
      <c r="M177" s="12">
        <v>43355.0</v>
      </c>
      <c r="N177" s="2">
        <v>289.12</v>
      </c>
      <c r="O177" s="3">
        <v>43443.0</v>
      </c>
      <c r="P177" s="4" t="str">
        <f t="array" ref="P177">XLOOKUP(O177,Agregado!$B$2:$B$1511,Agregado!$G$2:$G$1511)</f>
        <v>#N/A</v>
      </c>
    </row>
    <row r="178" ht="15.75" customHeight="1">
      <c r="B178" s="13" t="s">
        <v>1097</v>
      </c>
      <c r="C178" s="7">
        <v>132138.90000000017</v>
      </c>
      <c r="D178" s="7">
        <v>99859.07900000006</v>
      </c>
      <c r="E178" s="7">
        <v>73627.17099999996</v>
      </c>
      <c r="F178" s="7">
        <f t="shared" si="1"/>
        <v>305625.15</v>
      </c>
      <c r="G178" s="14">
        <f t="shared" si="2"/>
        <v>-0.002889317412</v>
      </c>
      <c r="I178" s="15">
        <v>44330.0</v>
      </c>
      <c r="J178" s="10">
        <v>44344.0</v>
      </c>
      <c r="K178" s="11">
        <v>0.00844</v>
      </c>
      <c r="L178" s="4"/>
      <c r="M178" s="12">
        <v>43356.0</v>
      </c>
      <c r="N178" s="2">
        <v>290.83</v>
      </c>
      <c r="O178" s="3" t="s">
        <v>103</v>
      </c>
      <c r="P178" s="4" t="str">
        <f t="array" ref="P178">XLOOKUP(O178,Agregado!$B$2:$B$1511,Agregado!$G$2:$G$1511)</f>
        <v>#N/A</v>
      </c>
    </row>
    <row r="179" ht="15.75" customHeight="1">
      <c r="B179" s="13" t="s">
        <v>1098</v>
      </c>
      <c r="C179" s="7">
        <v>131574.96900000016</v>
      </c>
      <c r="D179" s="7">
        <v>100019.27500000005</v>
      </c>
      <c r="E179" s="7">
        <v>73959.25099999996</v>
      </c>
      <c r="F179" s="7">
        <f t="shared" si="1"/>
        <v>305553.495</v>
      </c>
      <c r="G179" s="14">
        <f t="shared" si="2"/>
        <v>-0.0002344813613</v>
      </c>
      <c r="I179" s="15">
        <v>44337.0</v>
      </c>
      <c r="J179" s="10">
        <v>44351.0</v>
      </c>
      <c r="K179" s="11">
        <v>-3.29999999999999E-4</v>
      </c>
      <c r="L179" s="4"/>
      <c r="M179" s="12">
        <v>43357.0</v>
      </c>
      <c r="N179" s="2">
        <v>290.88</v>
      </c>
      <c r="O179" s="3" t="s">
        <v>104</v>
      </c>
      <c r="P179" s="4" t="str">
        <f t="array" ref="P179">XLOOKUP(O179,Agregado!$B$2:$B$1511,Agregado!$G$2:$G$1511)</f>
        <v>#N/A</v>
      </c>
    </row>
    <row r="180" ht="15.75" customHeight="1">
      <c r="B180" s="13" t="s">
        <v>1099</v>
      </c>
      <c r="C180" s="7">
        <v>130920.68700000015</v>
      </c>
      <c r="D180" s="7">
        <v>100033.91900000005</v>
      </c>
      <c r="E180" s="7">
        <v>73974.13999999996</v>
      </c>
      <c r="F180" s="7">
        <f t="shared" si="1"/>
        <v>304928.746</v>
      </c>
      <c r="G180" s="14">
        <f t="shared" si="2"/>
        <v>-0.002046740023</v>
      </c>
      <c r="I180" s="15">
        <v>44344.0</v>
      </c>
      <c r="J180" s="10">
        <v>44358.0</v>
      </c>
      <c r="K180" s="11">
        <v>-0.00470999999999999</v>
      </c>
      <c r="L180" s="4"/>
      <c r="M180" s="12">
        <v>43360.0</v>
      </c>
      <c r="N180" s="2">
        <v>289.34</v>
      </c>
      <c r="O180" s="3" t="s">
        <v>105</v>
      </c>
      <c r="P180" s="4" t="str">
        <f t="array" ref="P180">XLOOKUP(O180,Agregado!$B$2:$B$1511,Agregado!$G$2:$G$1511)</f>
        <v>#N/A</v>
      </c>
    </row>
    <row r="181" ht="15.75" customHeight="1">
      <c r="B181" s="13" t="s">
        <v>1100</v>
      </c>
      <c r="C181" s="7">
        <v>131909.79200000016</v>
      </c>
      <c r="D181" s="7">
        <v>100033.91900000005</v>
      </c>
      <c r="E181" s="7">
        <v>74148.11099999996</v>
      </c>
      <c r="F181" s="7">
        <f t="shared" si="1"/>
        <v>306091.822</v>
      </c>
      <c r="G181" s="14">
        <f t="shared" si="2"/>
        <v>0.003806999193</v>
      </c>
      <c r="I181" s="15">
        <v>44351.0</v>
      </c>
      <c r="J181" s="10">
        <v>44365.0</v>
      </c>
      <c r="K181" s="11">
        <v>0.00697</v>
      </c>
      <c r="L181" s="4"/>
      <c r="M181" s="12">
        <v>43361.0</v>
      </c>
      <c r="N181" s="2">
        <v>290.91</v>
      </c>
      <c r="O181" s="3" t="s">
        <v>106</v>
      </c>
      <c r="P181" s="4" t="str">
        <f t="array" ref="P181">XLOOKUP(O181,Agregado!$B$2:$B$1511,Agregado!$G$2:$G$1511)</f>
        <v>#N/A</v>
      </c>
    </row>
    <row r="182" ht="15.75" customHeight="1">
      <c r="B182" s="13" t="s">
        <v>1101</v>
      </c>
      <c r="C182" s="7">
        <v>135815.41200000016</v>
      </c>
      <c r="D182" s="7">
        <v>100048.48800000006</v>
      </c>
      <c r="E182" s="7">
        <v>76069.01199999996</v>
      </c>
      <c r="F182" s="7">
        <f t="shared" si="1"/>
        <v>311932.912</v>
      </c>
      <c r="G182" s="14">
        <f t="shared" si="2"/>
        <v>0.01890301021</v>
      </c>
      <c r="I182" s="15">
        <v>44358.0</v>
      </c>
      <c r="J182" s="10">
        <v>44372.0</v>
      </c>
      <c r="K182" s="11">
        <v>0.01273</v>
      </c>
      <c r="L182" s="4"/>
      <c r="M182" s="12">
        <v>43362.0</v>
      </c>
      <c r="N182" s="2">
        <v>291.22</v>
      </c>
      <c r="O182" s="3" t="s">
        <v>107</v>
      </c>
      <c r="P182" s="4" t="str">
        <f t="array" ref="P182">XLOOKUP(O182,Agregado!$B$2:$B$1511,Agregado!$G$2:$G$1511)</f>
        <v>#N/A</v>
      </c>
    </row>
    <row r="183" ht="15.75" customHeight="1">
      <c r="B183" s="13" t="s">
        <v>1102</v>
      </c>
      <c r="C183" s="7">
        <v>134841.02700000015</v>
      </c>
      <c r="D183" s="7">
        <v>100048.48800000006</v>
      </c>
      <c r="E183" s="7">
        <v>76166.23299999996</v>
      </c>
      <c r="F183" s="7">
        <f t="shared" si="1"/>
        <v>311055.748</v>
      </c>
      <c r="G183" s="14">
        <f t="shared" si="2"/>
        <v>-0.002815988913</v>
      </c>
      <c r="I183" s="15">
        <v>44365.0</v>
      </c>
      <c r="J183" s="10">
        <v>44379.0</v>
      </c>
      <c r="K183" s="11">
        <v>0.01526</v>
      </c>
      <c r="L183" s="4"/>
      <c r="M183" s="12">
        <v>43363.0</v>
      </c>
      <c r="N183" s="2">
        <v>293.58</v>
      </c>
      <c r="O183" s="3" t="s">
        <v>108</v>
      </c>
      <c r="P183" s="4" t="str">
        <f t="array" ref="P183">XLOOKUP(O183,Agregado!$B$2:$B$1511,Agregado!$G$2:$G$1511)</f>
        <v>#N/A</v>
      </c>
    </row>
    <row r="184" ht="15.75" customHeight="1">
      <c r="B184" s="13" t="s">
        <v>1103</v>
      </c>
      <c r="C184" s="7">
        <v>140243.23600000015</v>
      </c>
      <c r="D184" s="7">
        <v>100620.46400000005</v>
      </c>
      <c r="E184" s="7">
        <v>76313.45199999996</v>
      </c>
      <c r="F184" s="7">
        <f t="shared" si="1"/>
        <v>317177.152</v>
      </c>
      <c r="G184" s="14">
        <f t="shared" si="2"/>
        <v>0.01948830677</v>
      </c>
      <c r="I184" s="15">
        <v>44372.0</v>
      </c>
      <c r="J184" s="10">
        <v>44386.0</v>
      </c>
      <c r="K184" s="11">
        <v>0.00353</v>
      </c>
      <c r="L184" s="4"/>
      <c r="M184" s="12">
        <v>43364.0</v>
      </c>
      <c r="N184" s="2">
        <v>291.99</v>
      </c>
      <c r="O184" s="3" t="s">
        <v>109</v>
      </c>
      <c r="P184" s="4" t="str">
        <f t="array" ref="P184">XLOOKUP(O184,Agregado!$B$2:$B$1511,Agregado!$G$2:$G$1511)</f>
        <v>#N/A</v>
      </c>
    </row>
    <row r="185" ht="15.75" customHeight="1">
      <c r="B185" s="13" t="s">
        <v>1104</v>
      </c>
      <c r="C185" s="7">
        <v>142767.40600000016</v>
      </c>
      <c r="D185" s="7">
        <v>100856.97200000005</v>
      </c>
      <c r="E185" s="7">
        <v>76475.31499999996</v>
      </c>
      <c r="F185" s="7">
        <f t="shared" si="1"/>
        <v>320099.693</v>
      </c>
      <c r="G185" s="14">
        <f t="shared" si="2"/>
        <v>0.009172030998</v>
      </c>
      <c r="I185" s="15">
        <v>44379.0</v>
      </c>
      <c r="J185" s="10">
        <v>44393.0</v>
      </c>
      <c r="K185" s="11">
        <v>0.00373</v>
      </c>
      <c r="L185" s="4"/>
      <c r="M185" s="12">
        <v>43367.0</v>
      </c>
      <c r="N185" s="2">
        <v>291.02</v>
      </c>
      <c r="O185" s="3" t="s">
        <v>110</v>
      </c>
      <c r="P185" s="4" t="str">
        <f t="array" ref="P185">XLOOKUP(O185,Agregado!$B$2:$B$1511,Agregado!$G$2:$G$1511)</f>
        <v>#N/A</v>
      </c>
    </row>
    <row r="186" ht="15.75" customHeight="1">
      <c r="B186" s="13" t="s">
        <v>1105</v>
      </c>
      <c r="C186" s="7">
        <v>140270.10200000016</v>
      </c>
      <c r="D186" s="7">
        <v>100679.65400000005</v>
      </c>
      <c r="E186" s="7">
        <v>74737.42699999995</v>
      </c>
      <c r="F186" s="7">
        <f t="shared" si="1"/>
        <v>315687.183</v>
      </c>
      <c r="G186" s="14">
        <f t="shared" si="2"/>
        <v>-0.01388069183</v>
      </c>
      <c r="I186" s="15">
        <v>44386.0</v>
      </c>
      <c r="J186" s="10">
        <v>44400.0</v>
      </c>
      <c r="K186" s="11">
        <v>-0.00610999999999999</v>
      </c>
      <c r="L186" s="4"/>
      <c r="M186" s="12">
        <v>43368.0</v>
      </c>
      <c r="N186" s="2">
        <v>290.75</v>
      </c>
      <c r="O186" s="3" t="s">
        <v>111</v>
      </c>
      <c r="P186" s="4" t="str">
        <f t="array" ref="P186">XLOOKUP(O186,Agregado!$B$2:$B$1511,Agregado!$G$2:$G$1511)</f>
        <v>#N/A</v>
      </c>
    </row>
    <row r="187" ht="15.75" customHeight="1">
      <c r="B187" s="13" t="s">
        <v>1106</v>
      </c>
      <c r="C187" s="7">
        <v>140211.89100000015</v>
      </c>
      <c r="D187" s="7">
        <v>100208.46800000005</v>
      </c>
      <c r="E187" s="7">
        <v>74583.80499999995</v>
      </c>
      <c r="F187" s="7">
        <f t="shared" si="1"/>
        <v>315004.164</v>
      </c>
      <c r="G187" s="14">
        <f t="shared" si="2"/>
        <v>-0.002165938284</v>
      </c>
      <c r="I187" s="15">
        <v>44393.0</v>
      </c>
      <c r="J187" s="10">
        <v>44407.0</v>
      </c>
      <c r="K187" s="11">
        <v>0.0073</v>
      </c>
      <c r="L187" s="4"/>
      <c r="M187" s="12">
        <v>43369.0</v>
      </c>
      <c r="N187" s="2">
        <v>289.88</v>
      </c>
      <c r="O187" s="3" t="s">
        <v>112</v>
      </c>
      <c r="P187" s="4" t="str">
        <f t="array" ref="P187">XLOOKUP(O187,Agregado!$B$2:$B$1511,Agregado!$G$2:$G$1511)</f>
        <v>#N/A</v>
      </c>
    </row>
    <row r="188" ht="15.75" customHeight="1">
      <c r="B188" s="13" t="s">
        <v>1107</v>
      </c>
      <c r="C188" s="7">
        <v>139383.40900000016</v>
      </c>
      <c r="D188" s="7">
        <v>100252.58700000006</v>
      </c>
      <c r="E188" s="7">
        <v>74617.34599999995</v>
      </c>
      <c r="F188" s="7">
        <f t="shared" si="1"/>
        <v>314253.342</v>
      </c>
      <c r="G188" s="14">
        <f t="shared" si="2"/>
        <v>-0.002386375527</v>
      </c>
      <c r="I188" s="15">
        <v>44400.0</v>
      </c>
      <c r="J188" s="10">
        <v>44414.0</v>
      </c>
      <c r="K188" s="11">
        <v>-0.00313999999999999</v>
      </c>
      <c r="L188" s="4"/>
      <c r="M188" s="12">
        <v>43370.0</v>
      </c>
      <c r="N188" s="2">
        <v>290.69</v>
      </c>
      <c r="O188" s="3" t="s">
        <v>113</v>
      </c>
      <c r="P188" s="4" t="str">
        <f t="array" ref="P188">XLOOKUP(O188,Agregado!$B$2:$B$1511,Agregado!$G$2:$G$1511)</f>
        <v>#N/A</v>
      </c>
    </row>
    <row r="189" ht="15.75" customHeight="1">
      <c r="B189" s="13" t="s">
        <v>1108</v>
      </c>
      <c r="C189" s="7">
        <v>140614.79800000016</v>
      </c>
      <c r="D189" s="7">
        <v>100427.71600000006</v>
      </c>
      <c r="E189" s="7">
        <v>74411.00999999995</v>
      </c>
      <c r="F189" s="7">
        <f t="shared" si="1"/>
        <v>315453.524</v>
      </c>
      <c r="G189" s="14">
        <f t="shared" si="2"/>
        <v>0.003811879838</v>
      </c>
      <c r="I189" s="15">
        <v>44407.0</v>
      </c>
      <c r="J189" s="10">
        <v>44421.0</v>
      </c>
      <c r="K189" s="11">
        <v>0.01171</v>
      </c>
      <c r="L189" s="4"/>
      <c r="M189" s="12">
        <v>43371.0</v>
      </c>
      <c r="N189" s="2">
        <v>290.72</v>
      </c>
      <c r="O189" s="3" t="s">
        <v>114</v>
      </c>
      <c r="P189" s="4" t="str">
        <f t="array" ref="P189">XLOOKUP(O189,Agregado!$B$2:$B$1511,Agregado!$G$2:$G$1511)</f>
        <v>#N/A</v>
      </c>
    </row>
    <row r="190" ht="15.75" customHeight="1">
      <c r="B190" s="13" t="s">
        <v>1109</v>
      </c>
      <c r="C190" s="7">
        <v>140571.20900000015</v>
      </c>
      <c r="D190" s="7">
        <v>100427.71600000006</v>
      </c>
      <c r="E190" s="7">
        <v>74357.60399999995</v>
      </c>
      <c r="F190" s="7">
        <f t="shared" si="1"/>
        <v>315356.529</v>
      </c>
      <c r="G190" s="14">
        <f t="shared" si="2"/>
        <v>-0.0003075252219</v>
      </c>
      <c r="I190" s="15">
        <v>44414.0</v>
      </c>
      <c r="J190" s="10">
        <v>44428.0</v>
      </c>
      <c r="K190" s="11">
        <v>0.01414</v>
      </c>
      <c r="L190" s="4"/>
      <c r="M190" s="12">
        <v>43374.0</v>
      </c>
      <c r="N190" s="2">
        <v>291.73</v>
      </c>
      <c r="O190" s="3">
        <v>43110.0</v>
      </c>
      <c r="P190" s="4" t="str">
        <f t="array" ref="P190">XLOOKUP(O190,Agregado!$B$2:$B$1511,Agregado!$G$2:$G$1511)</f>
        <v>#N/A</v>
      </c>
    </row>
    <row r="191" ht="15.75" customHeight="1">
      <c r="B191" s="13" t="s">
        <v>1110</v>
      </c>
      <c r="C191" s="7">
        <v>139626.76800000016</v>
      </c>
      <c r="D191" s="7">
        <v>100354.52800000006</v>
      </c>
      <c r="E191" s="7">
        <v>74479.80999999995</v>
      </c>
      <c r="F191" s="7">
        <f t="shared" si="1"/>
        <v>314461.106</v>
      </c>
      <c r="G191" s="14">
        <f t="shared" si="2"/>
        <v>-0.002843437699</v>
      </c>
      <c r="I191" s="15">
        <v>44421.0</v>
      </c>
      <c r="J191" s="10">
        <v>44435.0</v>
      </c>
      <c r="K191" s="11">
        <v>-0.00228</v>
      </c>
      <c r="L191" s="4"/>
      <c r="M191" s="12">
        <v>43375.0</v>
      </c>
      <c r="N191" s="2">
        <v>291.56</v>
      </c>
      <c r="O191" s="3">
        <v>43141.0</v>
      </c>
      <c r="P191" s="4" t="str">
        <f t="array" ref="P191">XLOOKUP(O191,Agregado!$B$2:$B$1511,Agregado!$G$2:$G$1511)</f>
        <v>#N/A</v>
      </c>
    </row>
    <row r="192" ht="15.75" customHeight="1">
      <c r="B192" s="13" t="s">
        <v>1111</v>
      </c>
      <c r="C192" s="7">
        <v>140574.63000000015</v>
      </c>
      <c r="D192" s="7">
        <v>100530.82000000007</v>
      </c>
      <c r="E192" s="7">
        <v>74520.87799999995</v>
      </c>
      <c r="F192" s="7">
        <f t="shared" si="1"/>
        <v>315626.328</v>
      </c>
      <c r="G192" s="14">
        <f t="shared" si="2"/>
        <v>0.003698608369</v>
      </c>
      <c r="I192" s="15">
        <v>44428.0</v>
      </c>
      <c r="J192" s="10">
        <v>44442.0</v>
      </c>
      <c r="K192" s="11">
        <v>0.01952</v>
      </c>
      <c r="L192" s="4"/>
      <c r="M192" s="12">
        <v>43376.0</v>
      </c>
      <c r="N192" s="2">
        <v>291.72</v>
      </c>
      <c r="O192" s="3">
        <v>43169.0</v>
      </c>
      <c r="P192" s="4" t="str">
        <f t="array" ref="P192">XLOOKUP(O192,Agregado!$B$2:$B$1511,Agregado!$G$2:$G$1511)</f>
        <v>#N/A</v>
      </c>
    </row>
    <row r="193" ht="15.75" customHeight="1">
      <c r="B193" s="13" t="s">
        <v>1112</v>
      </c>
      <c r="C193" s="7">
        <v>141143.13500000015</v>
      </c>
      <c r="D193" s="7">
        <v>100912.64800000006</v>
      </c>
      <c r="E193" s="7">
        <v>74574.57099999995</v>
      </c>
      <c r="F193" s="7">
        <f t="shared" si="1"/>
        <v>316630.354</v>
      </c>
      <c r="G193" s="14">
        <f t="shared" si="2"/>
        <v>0.003176010227</v>
      </c>
      <c r="I193" s="15">
        <v>44435.0</v>
      </c>
      <c r="J193" s="10">
        <v>44449.0</v>
      </c>
      <c r="K193" s="11">
        <v>0.00587</v>
      </c>
      <c r="L193" s="4"/>
      <c r="M193" s="12">
        <v>43377.0</v>
      </c>
      <c r="N193" s="2">
        <v>289.44</v>
      </c>
      <c r="O193" s="3">
        <v>43200.0</v>
      </c>
      <c r="P193" s="4" t="str">
        <f t="array" ref="P193">XLOOKUP(O193,Agregado!$B$2:$B$1511,Agregado!$G$2:$G$1511)</f>
        <v>#N/A</v>
      </c>
    </row>
    <row r="194" ht="15.75" customHeight="1">
      <c r="B194" s="13" t="s">
        <v>1113</v>
      </c>
      <c r="C194" s="7">
        <v>140676.33200000014</v>
      </c>
      <c r="D194" s="7">
        <v>101191.87500000006</v>
      </c>
      <c r="E194" s="7">
        <v>74655.36899999995</v>
      </c>
      <c r="F194" s="7">
        <f t="shared" si="1"/>
        <v>316523.576</v>
      </c>
      <c r="G194" s="14">
        <f t="shared" si="2"/>
        <v>-0.0003372892308</v>
      </c>
      <c r="I194" s="15">
        <v>44442.0</v>
      </c>
      <c r="J194" s="10">
        <v>44456.0</v>
      </c>
      <c r="K194" s="11">
        <v>0.02954</v>
      </c>
      <c r="L194" s="4"/>
      <c r="M194" s="12">
        <v>43378.0</v>
      </c>
      <c r="N194" s="2">
        <v>287.82</v>
      </c>
      <c r="O194" s="3">
        <v>43230.0</v>
      </c>
      <c r="P194" s="4" t="str">
        <f t="array" ref="P194">XLOOKUP(O194,Agregado!$B$2:$B$1511,Agregado!$G$2:$G$1511)</f>
        <v>#N/A</v>
      </c>
    </row>
    <row r="195" ht="15.75" customHeight="1">
      <c r="B195" s="13" t="s">
        <v>1114</v>
      </c>
      <c r="C195" s="7">
        <v>143425.98300000015</v>
      </c>
      <c r="D195" s="7">
        <v>101570.94200000005</v>
      </c>
      <c r="E195" s="7">
        <v>75200.71499999995</v>
      </c>
      <c r="F195" s="7">
        <f t="shared" si="1"/>
        <v>320197.64</v>
      </c>
      <c r="G195" s="14">
        <f t="shared" si="2"/>
        <v>0.0115407016</v>
      </c>
      <c r="I195" s="15">
        <v>44449.0</v>
      </c>
      <c r="J195" s="10">
        <v>44463.0</v>
      </c>
      <c r="K195" s="11">
        <v>-0.0115999999999999</v>
      </c>
      <c r="L195" s="4"/>
      <c r="M195" s="12">
        <v>43381.0</v>
      </c>
      <c r="N195" s="2">
        <v>287.82</v>
      </c>
      <c r="O195" s="3">
        <v>43322.0</v>
      </c>
      <c r="P195" s="4" t="str">
        <f t="array" ref="P195">XLOOKUP(O195,Agregado!$B$2:$B$1511,Agregado!$G$2:$G$1511)</f>
        <v>#N/A</v>
      </c>
    </row>
    <row r="196" ht="15.75" customHeight="1">
      <c r="B196" s="13" t="s">
        <v>1115</v>
      </c>
      <c r="C196" s="7">
        <v>141468.68200000015</v>
      </c>
      <c r="D196" s="7">
        <v>101643.43800000005</v>
      </c>
      <c r="E196" s="7">
        <v>75346.99599999996</v>
      </c>
      <c r="F196" s="7">
        <f t="shared" si="1"/>
        <v>318459.116</v>
      </c>
      <c r="G196" s="14">
        <f t="shared" si="2"/>
        <v>-0.005444327576</v>
      </c>
      <c r="I196" s="15">
        <v>44456.0</v>
      </c>
      <c r="J196" s="10">
        <v>44470.0</v>
      </c>
      <c r="K196" s="11">
        <v>-0.01867</v>
      </c>
      <c r="L196" s="4"/>
      <c r="M196" s="12">
        <v>43382.0</v>
      </c>
      <c r="N196" s="2">
        <v>287.4</v>
      </c>
      <c r="O196" s="3">
        <v>43353.0</v>
      </c>
      <c r="P196" s="4" t="str">
        <f t="array" ref="P196">XLOOKUP(O196,Agregado!$B$2:$B$1511,Agregado!$G$2:$G$1511)</f>
        <v>#N/A</v>
      </c>
    </row>
    <row r="197" ht="15.75" customHeight="1">
      <c r="B197" s="13" t="s">
        <v>1116</v>
      </c>
      <c r="C197" s="7">
        <v>142921.69100000014</v>
      </c>
      <c r="D197" s="7">
        <v>101628.94500000005</v>
      </c>
      <c r="E197" s="7">
        <v>75585.81099999996</v>
      </c>
      <c r="F197" s="7">
        <f t="shared" si="1"/>
        <v>320136.447</v>
      </c>
      <c r="G197" s="14">
        <f t="shared" si="2"/>
        <v>0.005253199222</v>
      </c>
      <c r="I197" s="15">
        <v>44463.0</v>
      </c>
      <c r="J197" s="10">
        <v>44477.0</v>
      </c>
      <c r="K197" s="11">
        <v>-0.00310999999999999</v>
      </c>
      <c r="L197" s="4"/>
      <c r="M197" s="12">
        <v>43383.0</v>
      </c>
      <c r="N197" s="2">
        <v>278.3</v>
      </c>
      <c r="O197" s="3">
        <v>43383.0</v>
      </c>
      <c r="P197" s="4" t="str">
        <f t="array" ref="P197">XLOOKUP(O197,Agregado!$B$2:$B$1511,Agregado!$G$2:$G$1511)</f>
        <v>#N/A</v>
      </c>
    </row>
    <row r="198" ht="15.75" customHeight="1">
      <c r="B198" s="13" t="s">
        <v>1117</v>
      </c>
      <c r="C198" s="7">
        <v>143855.73600000015</v>
      </c>
      <c r="D198" s="7">
        <v>101556.56000000006</v>
      </c>
      <c r="E198" s="7">
        <v>75593.43199999996</v>
      </c>
      <c r="F198" s="7">
        <f t="shared" si="1"/>
        <v>321005.728</v>
      </c>
      <c r="G198" s="14">
        <f t="shared" si="2"/>
        <v>0.00271166542</v>
      </c>
      <c r="I198" s="15">
        <v>44470.0</v>
      </c>
      <c r="J198" s="10">
        <v>44484.0</v>
      </c>
      <c r="K198" s="11">
        <v>0.00520999999999999</v>
      </c>
      <c r="L198" s="4"/>
      <c r="M198" s="12">
        <v>43384.0</v>
      </c>
      <c r="N198" s="2">
        <v>272.17</v>
      </c>
      <c r="O198" s="3">
        <v>43414.0</v>
      </c>
      <c r="P198" s="4" t="str">
        <f t="array" ref="P198">XLOOKUP(O198,Agregado!$B$2:$B$1511,Agregado!$G$2:$G$1511)</f>
        <v>#N/A</v>
      </c>
    </row>
    <row r="199" ht="15.75" customHeight="1">
      <c r="B199" s="13" t="s">
        <v>1118</v>
      </c>
      <c r="C199" s="7">
        <v>146329.62200000015</v>
      </c>
      <c r="D199" s="7">
        <v>101528.55800000006</v>
      </c>
      <c r="E199" s="7">
        <v>75842.65899999996</v>
      </c>
      <c r="F199" s="7">
        <f t="shared" si="1"/>
        <v>323700.839</v>
      </c>
      <c r="G199" s="14">
        <f t="shared" si="2"/>
        <v>0.008360785627</v>
      </c>
      <c r="I199" s="15">
        <v>44477.0</v>
      </c>
      <c r="J199" s="10">
        <v>44491.0</v>
      </c>
      <c r="K199" s="11">
        <v>0.01332</v>
      </c>
      <c r="L199" s="4"/>
      <c r="M199" s="12">
        <v>43385.0</v>
      </c>
      <c r="N199" s="2">
        <v>275.95</v>
      </c>
      <c r="O199" s="3">
        <v>43444.0</v>
      </c>
      <c r="P199" s="4" t="str">
        <f t="array" ref="P199">XLOOKUP(O199,Agregado!$B$2:$B$1511,Agregado!$G$2:$G$1511)</f>
        <v>#N/A</v>
      </c>
    </row>
    <row r="200" ht="15.75" customHeight="1">
      <c r="B200" s="13" t="s">
        <v>1119</v>
      </c>
      <c r="C200" s="7">
        <v>139713.92400000014</v>
      </c>
      <c r="D200" s="7">
        <v>101501.13100000007</v>
      </c>
      <c r="E200" s="7">
        <v>75642.81399999995</v>
      </c>
      <c r="F200" s="7">
        <f t="shared" si="1"/>
        <v>316857.869</v>
      </c>
      <c r="G200" s="14">
        <f t="shared" si="2"/>
        <v>-0.02136644228</v>
      </c>
      <c r="I200" s="15">
        <v>44484.0</v>
      </c>
      <c r="J200" s="10">
        <v>44498.0</v>
      </c>
      <c r="K200" s="11">
        <v>0.0287</v>
      </c>
      <c r="L200" s="4"/>
      <c r="M200" s="12">
        <v>43388.0</v>
      </c>
      <c r="N200" s="2">
        <v>274.4</v>
      </c>
      <c r="O200" s="3" t="s">
        <v>115</v>
      </c>
      <c r="P200" s="4" t="str">
        <f t="array" ref="P200">XLOOKUP(O200,Agregado!$B$2:$B$1511,Agregado!$G$2:$G$1511)</f>
        <v>#N/A</v>
      </c>
    </row>
    <row r="201" ht="15.75" customHeight="1">
      <c r="B201" s="13" t="s">
        <v>1120</v>
      </c>
      <c r="C201" s="7">
        <v>137283.87100000016</v>
      </c>
      <c r="D201" s="7">
        <v>101431.58300000007</v>
      </c>
      <c r="E201" s="7">
        <v>75852.15699999995</v>
      </c>
      <c r="F201" s="7">
        <f t="shared" si="1"/>
        <v>314567.611</v>
      </c>
      <c r="G201" s="14">
        <f t="shared" si="2"/>
        <v>-0.007254278189</v>
      </c>
      <c r="I201" s="15">
        <v>44491.0</v>
      </c>
      <c r="J201" s="10">
        <v>44505.0</v>
      </c>
      <c r="K201" s="11">
        <v>0.01186</v>
      </c>
      <c r="L201" s="4"/>
      <c r="M201" s="12">
        <v>43389.0</v>
      </c>
      <c r="N201" s="2">
        <v>280.4</v>
      </c>
      <c r="O201" s="3" t="s">
        <v>116</v>
      </c>
      <c r="P201" s="4" t="str">
        <f t="array" ref="P201">XLOOKUP(O201,Agregado!$B$2:$B$1511,Agregado!$G$2:$G$1511)</f>
        <v>#N/A</v>
      </c>
    </row>
    <row r="202" ht="15.75" customHeight="1">
      <c r="B202" s="13" t="s">
        <v>1121</v>
      </c>
      <c r="C202" s="7">
        <v>133838.65300000017</v>
      </c>
      <c r="D202" s="7">
        <v>101528.37600000008</v>
      </c>
      <c r="E202" s="7">
        <v>75727.77199999995</v>
      </c>
      <c r="F202" s="7">
        <f t="shared" si="1"/>
        <v>311094.801</v>
      </c>
      <c r="G202" s="14">
        <f t="shared" si="2"/>
        <v>-0.01110134027</v>
      </c>
      <c r="I202" s="15">
        <v>44498.0</v>
      </c>
      <c r="J202" s="10">
        <v>44512.0</v>
      </c>
      <c r="K202" s="11">
        <v>0.00362999999999999</v>
      </c>
      <c r="L202" s="4"/>
      <c r="M202" s="12">
        <v>43390.0</v>
      </c>
      <c r="N202" s="2">
        <v>280.45</v>
      </c>
      <c r="O202" s="3" t="s">
        <v>117</v>
      </c>
      <c r="P202" s="4" t="str">
        <f t="array" ref="P202">XLOOKUP(O202,Agregado!$B$2:$B$1511,Agregado!$G$2:$G$1511)</f>
        <v>#N/A</v>
      </c>
    </row>
    <row r="203" ht="15.75" customHeight="1">
      <c r="B203" s="13" t="s">
        <v>1122</v>
      </c>
      <c r="C203" s="7">
        <v>131581.26800000016</v>
      </c>
      <c r="D203" s="7">
        <v>101881.51000000008</v>
      </c>
      <c r="E203" s="7">
        <v>75928.14299999995</v>
      </c>
      <c r="F203" s="7">
        <f t="shared" si="1"/>
        <v>309390.921</v>
      </c>
      <c r="G203" s="14">
        <f t="shared" si="2"/>
        <v>-0.005492098279</v>
      </c>
      <c r="I203" s="15">
        <v>44505.0</v>
      </c>
      <c r="J203" s="10">
        <v>44519.0</v>
      </c>
      <c r="K203" s="11">
        <v>-0.00175</v>
      </c>
      <c r="L203" s="4"/>
      <c r="M203" s="12">
        <v>43391.0</v>
      </c>
      <c r="N203" s="2">
        <v>276.4</v>
      </c>
      <c r="O203" s="3" t="s">
        <v>118</v>
      </c>
      <c r="P203" s="4" t="str">
        <f t="array" ref="P203">XLOOKUP(O203,Agregado!$B$2:$B$1511,Agregado!$G$2:$G$1511)</f>
        <v>#N/A</v>
      </c>
    </row>
    <row r="204" ht="15.75" customHeight="1">
      <c r="B204" s="13" t="s">
        <v>1123</v>
      </c>
      <c r="C204" s="7">
        <v>134875.50800000015</v>
      </c>
      <c r="D204" s="7">
        <v>101839.14300000008</v>
      </c>
      <c r="E204" s="7">
        <v>76082.73899999996</v>
      </c>
      <c r="F204" s="7">
        <f t="shared" si="1"/>
        <v>312797.39</v>
      </c>
      <c r="G204" s="14">
        <f t="shared" si="2"/>
        <v>0.01095007083</v>
      </c>
      <c r="I204" s="15">
        <v>44512.0</v>
      </c>
      <c r="J204" s="10">
        <v>44526.0</v>
      </c>
      <c r="K204" s="11">
        <v>-0.00318</v>
      </c>
      <c r="L204" s="4"/>
      <c r="M204" s="12">
        <v>43392.0</v>
      </c>
      <c r="N204" s="2">
        <v>276.25</v>
      </c>
      <c r="O204" s="3" t="s">
        <v>119</v>
      </c>
      <c r="P204" s="4" t="str">
        <f t="array" ref="P204">XLOOKUP(O204,Agregado!$B$2:$B$1511,Agregado!$G$2:$G$1511)</f>
        <v>#N/A</v>
      </c>
    </row>
    <row r="205" ht="15.75" customHeight="1">
      <c r="B205" s="13" t="s">
        <v>1124</v>
      </c>
      <c r="C205" s="7">
        <v>136036.19900000014</v>
      </c>
      <c r="D205" s="7">
        <v>101894.82500000008</v>
      </c>
      <c r="E205" s="7">
        <v>76070.39799999996</v>
      </c>
      <c r="F205" s="7">
        <f t="shared" si="1"/>
        <v>314001.422</v>
      </c>
      <c r="G205" s="14">
        <f t="shared" si="2"/>
        <v>0.003841849914</v>
      </c>
      <c r="I205" s="15">
        <v>44519.0</v>
      </c>
      <c r="J205" s="10">
        <v>44533.0</v>
      </c>
      <c r="K205" s="11">
        <v>0.02554</v>
      </c>
      <c r="L205" s="4"/>
      <c r="M205" s="12">
        <v>43395.0</v>
      </c>
      <c r="N205" s="2">
        <v>275.01</v>
      </c>
      <c r="O205" s="3" t="s">
        <v>120</v>
      </c>
      <c r="P205" s="4" t="str">
        <f t="array" ref="P205">XLOOKUP(O205,Agregado!$B$2:$B$1511,Agregado!$G$2:$G$1511)</f>
        <v>#N/A</v>
      </c>
    </row>
    <row r="206" ht="15.75" customHeight="1">
      <c r="B206" s="13" t="s">
        <v>1125</v>
      </c>
      <c r="C206" s="7">
        <v>135345.54800000013</v>
      </c>
      <c r="D206" s="7">
        <v>101894.82500000008</v>
      </c>
      <c r="E206" s="7">
        <v>76000.58399999996</v>
      </c>
      <c r="F206" s="7">
        <f t="shared" si="1"/>
        <v>313240.957</v>
      </c>
      <c r="G206" s="14">
        <f t="shared" si="2"/>
        <v>-0.002424789517</v>
      </c>
      <c r="I206" s="15">
        <v>44526.0</v>
      </c>
      <c r="J206" s="10">
        <v>44540.0</v>
      </c>
      <c r="K206" s="11">
        <v>-0.00439</v>
      </c>
      <c r="L206" s="4"/>
      <c r="M206" s="12">
        <v>43396.0</v>
      </c>
      <c r="N206" s="2">
        <v>273.61</v>
      </c>
      <c r="O206" s="3" t="s">
        <v>121</v>
      </c>
      <c r="P206" s="4" t="str">
        <f t="array" ref="P206">XLOOKUP(O206,Agregado!$B$2:$B$1511,Agregado!$G$2:$G$1511)</f>
        <v>#N/A</v>
      </c>
    </row>
    <row r="207" ht="15.75" customHeight="1">
      <c r="B207" s="13" t="s">
        <v>1126</v>
      </c>
      <c r="C207" s="7">
        <v>135909.46400000012</v>
      </c>
      <c r="D207" s="7">
        <v>102061.09900000009</v>
      </c>
      <c r="E207" s="7">
        <v>76096.87099999996</v>
      </c>
      <c r="F207" s="7">
        <f t="shared" si="1"/>
        <v>314067.434</v>
      </c>
      <c r="G207" s="14">
        <f t="shared" si="2"/>
        <v>0.002634995769</v>
      </c>
      <c r="I207" s="15">
        <v>44533.0</v>
      </c>
      <c r="J207" s="10">
        <v>44547.0</v>
      </c>
      <c r="K207" s="11">
        <v>0.02039</v>
      </c>
      <c r="L207" s="4"/>
      <c r="M207" s="12">
        <v>43397.0</v>
      </c>
      <c r="N207" s="2">
        <v>265.32</v>
      </c>
      <c r="O207" s="3" t="s">
        <v>122</v>
      </c>
      <c r="P207" s="4" t="str">
        <f t="array" ref="P207">XLOOKUP(O207,Agregado!$B$2:$B$1511,Agregado!$G$2:$G$1511)</f>
        <v>#N/A</v>
      </c>
    </row>
    <row r="208" ht="15.75" customHeight="1">
      <c r="B208" s="13" t="s">
        <v>1127</v>
      </c>
      <c r="C208" s="7">
        <v>134869.8620000001</v>
      </c>
      <c r="D208" s="7">
        <v>102378.0510000001</v>
      </c>
      <c r="E208" s="7">
        <v>76184.90299999996</v>
      </c>
      <c r="F208" s="7">
        <f t="shared" si="1"/>
        <v>313432.816</v>
      </c>
      <c r="G208" s="14">
        <f t="shared" si="2"/>
        <v>-0.002022686736</v>
      </c>
      <c r="I208" s="15">
        <v>44540.0</v>
      </c>
      <c r="J208" s="10">
        <v>44553.0</v>
      </c>
      <c r="K208" s="11">
        <v>-2.69999999999999E-4</v>
      </c>
      <c r="L208" s="4"/>
      <c r="M208" s="12">
        <v>43398.0</v>
      </c>
      <c r="N208" s="2">
        <v>270.08</v>
      </c>
      <c r="O208" s="3" t="s">
        <v>123</v>
      </c>
      <c r="P208" s="4" t="str">
        <f t="array" ref="P208">XLOOKUP(O208,Agregado!$B$2:$B$1511,Agregado!$G$2:$G$1511)</f>
        <v>#N/A</v>
      </c>
    </row>
    <row r="209" ht="15.75" customHeight="1">
      <c r="B209" s="13" t="s">
        <v>1128</v>
      </c>
      <c r="C209" s="7">
        <v>136805.40200000012</v>
      </c>
      <c r="D209" s="7">
        <v>104448.10600000009</v>
      </c>
      <c r="E209" s="7">
        <v>76057.36499999996</v>
      </c>
      <c r="F209" s="7">
        <f t="shared" si="1"/>
        <v>317310.873</v>
      </c>
      <c r="G209" s="14">
        <f t="shared" si="2"/>
        <v>0.01229693118</v>
      </c>
      <c r="I209" s="15">
        <v>44547.0</v>
      </c>
      <c r="J209" s="10">
        <v>44561.0</v>
      </c>
      <c r="K209" s="11">
        <v>0.02376</v>
      </c>
      <c r="L209" s="4"/>
      <c r="M209" s="12">
        <v>43399.0</v>
      </c>
      <c r="N209" s="2">
        <v>265.33</v>
      </c>
      <c r="O209" s="3" t="s">
        <v>124</v>
      </c>
      <c r="P209" s="4" t="str">
        <f t="array" ref="P209">XLOOKUP(O209,Agregado!$B$2:$B$1511,Agregado!$G$2:$G$1511)</f>
        <v>#N/A</v>
      </c>
    </row>
    <row r="210" ht="15.75" customHeight="1">
      <c r="B210" s="13" t="s">
        <v>1129</v>
      </c>
      <c r="C210" s="7">
        <v>135009.4030000001</v>
      </c>
      <c r="D210" s="7">
        <v>104461.7100000001</v>
      </c>
      <c r="E210" s="7">
        <v>76070.29099999997</v>
      </c>
      <c r="F210" s="7">
        <f t="shared" si="1"/>
        <v>315541.404</v>
      </c>
      <c r="G210" s="14">
        <f t="shared" si="2"/>
        <v>-0.005592058922</v>
      </c>
      <c r="I210" s="15">
        <v>44553.0</v>
      </c>
      <c r="J210" s="10">
        <v>44568.0</v>
      </c>
      <c r="K210" s="11">
        <v>-0.00464999999999999</v>
      </c>
      <c r="L210" s="4"/>
      <c r="M210" s="12">
        <v>43402.0</v>
      </c>
      <c r="N210" s="2">
        <v>263.86</v>
      </c>
      <c r="O210" s="3" t="s">
        <v>125</v>
      </c>
      <c r="P210" s="4" t="str">
        <f t="array" ref="P210">XLOOKUP(O210,Agregado!$B$2:$B$1511,Agregado!$G$2:$G$1511)</f>
        <v>#N/A</v>
      </c>
    </row>
    <row r="211" ht="15.75" customHeight="1">
      <c r="B211" s="13" t="s">
        <v>1130</v>
      </c>
      <c r="C211" s="7">
        <v>131147.8290000001</v>
      </c>
      <c r="D211" s="7">
        <v>104662.2330000001</v>
      </c>
      <c r="E211" s="7">
        <v>76266.76999999997</v>
      </c>
      <c r="F211" s="7">
        <f t="shared" si="1"/>
        <v>312076.832</v>
      </c>
      <c r="G211" s="14">
        <f t="shared" si="2"/>
        <v>-0.01104049243</v>
      </c>
      <c r="I211" s="15">
        <v>44561.0</v>
      </c>
      <c r="J211" s="10">
        <v>44575.0</v>
      </c>
      <c r="K211" s="11">
        <v>-0.00475</v>
      </c>
      <c r="L211" s="4"/>
      <c r="M211" s="12">
        <v>43403.0</v>
      </c>
      <c r="N211" s="2">
        <v>267.77</v>
      </c>
      <c r="O211" s="3" t="s">
        <v>126</v>
      </c>
      <c r="P211" s="4" t="str">
        <f t="array" ref="P211">XLOOKUP(O211,Agregado!$B$2:$B$1511,Agregado!$G$2:$G$1511)</f>
        <v>#N/A</v>
      </c>
    </row>
    <row r="212" ht="15.75" customHeight="1">
      <c r="B212" s="13" t="s">
        <v>1131</v>
      </c>
      <c r="C212" s="7">
        <v>135603.74100000013</v>
      </c>
      <c r="D212" s="7">
        <v>104662.2330000001</v>
      </c>
      <c r="E212" s="7">
        <v>76425.83299999997</v>
      </c>
      <c r="F212" s="7">
        <f t="shared" si="1"/>
        <v>316691.807</v>
      </c>
      <c r="G212" s="14">
        <f t="shared" si="2"/>
        <v>0.0146796694</v>
      </c>
      <c r="I212" s="15">
        <v>44568.0</v>
      </c>
      <c r="J212" s="10">
        <v>44582.0</v>
      </c>
      <c r="K212" s="11">
        <v>-0.01359</v>
      </c>
      <c r="L212" s="4"/>
      <c r="M212" s="12">
        <v>43404.0</v>
      </c>
      <c r="N212" s="2">
        <v>270.63</v>
      </c>
      <c r="O212" s="3" t="s">
        <v>127</v>
      </c>
      <c r="P212" s="4" t="str">
        <f t="array" ref="P212">XLOOKUP(O212,Agregado!$B$2:$B$1511,Agregado!$G$2:$G$1511)</f>
        <v>#N/A</v>
      </c>
    </row>
    <row r="213" ht="15.75" customHeight="1">
      <c r="B213" s="13" t="s">
        <v>1132</v>
      </c>
      <c r="C213" s="7">
        <v>137665.90400000013</v>
      </c>
      <c r="D213" s="7">
        <v>105215.3160000001</v>
      </c>
      <c r="E213" s="7">
        <v>76525.26199999997</v>
      </c>
      <c r="F213" s="7">
        <f t="shared" si="1"/>
        <v>319406.482</v>
      </c>
      <c r="G213" s="14">
        <f t="shared" si="2"/>
        <v>0.008535446575</v>
      </c>
      <c r="I213" s="15">
        <v>44575.0</v>
      </c>
      <c r="J213" s="10">
        <v>44589.0</v>
      </c>
      <c r="K213" s="11">
        <v>-0.00242</v>
      </c>
      <c r="L213" s="4"/>
      <c r="M213" s="12">
        <v>43405.0</v>
      </c>
      <c r="N213" s="2">
        <v>273.51</v>
      </c>
      <c r="O213" s="3">
        <v>43111.0</v>
      </c>
      <c r="P213" s="4" t="str">
        <f t="array" ref="P213">XLOOKUP(O213,Agregado!$B$2:$B$1511,Agregado!$G$2:$G$1511)</f>
        <v>#N/A</v>
      </c>
    </row>
    <row r="214" ht="15.75" customHeight="1">
      <c r="B214" s="13" t="s">
        <v>1133</v>
      </c>
      <c r="C214" s="7">
        <v>136204.00000000012</v>
      </c>
      <c r="D214" s="7">
        <v>104997.13000000009</v>
      </c>
      <c r="E214" s="7">
        <v>76550.93799999998</v>
      </c>
      <c r="F214" s="7">
        <f t="shared" si="1"/>
        <v>317752.068</v>
      </c>
      <c r="G214" s="14">
        <f t="shared" si="2"/>
        <v>-0.005193111567</v>
      </c>
      <c r="I214" s="15">
        <v>44582.0</v>
      </c>
      <c r="J214" s="10">
        <v>44596.0</v>
      </c>
      <c r="K214" s="11">
        <v>0.0236499999999999</v>
      </c>
      <c r="L214" s="4"/>
      <c r="M214" s="12">
        <v>43406.0</v>
      </c>
      <c r="N214" s="2">
        <v>271.89</v>
      </c>
      <c r="O214" s="3">
        <v>43142.0</v>
      </c>
      <c r="P214" s="4" t="str">
        <f t="array" ref="P214">XLOOKUP(O214,Agregado!$B$2:$B$1511,Agregado!$G$2:$G$1511)</f>
        <v>#N/A</v>
      </c>
    </row>
    <row r="215" ht="15.75" customHeight="1">
      <c r="B215" s="13" t="s">
        <v>1134</v>
      </c>
      <c r="C215" s="7">
        <v>133577.58400000012</v>
      </c>
      <c r="D215" s="7">
        <v>105286.53000000009</v>
      </c>
      <c r="E215" s="7">
        <v>76986.69499999998</v>
      </c>
      <c r="F215" s="7">
        <f t="shared" si="1"/>
        <v>315850.809</v>
      </c>
      <c r="G215" s="14">
        <f t="shared" si="2"/>
        <v>-0.006001439626</v>
      </c>
      <c r="I215" s="15">
        <v>44589.0</v>
      </c>
      <c r="J215" s="10">
        <v>44603.0</v>
      </c>
      <c r="K215" s="11">
        <v>0.01606</v>
      </c>
      <c r="L215" s="4"/>
      <c r="M215" s="12">
        <v>43409.0</v>
      </c>
      <c r="N215" s="2">
        <v>273.39</v>
      </c>
      <c r="O215" s="3">
        <v>43231.0</v>
      </c>
      <c r="P215" s="4" t="str">
        <f t="array" ref="P215">XLOOKUP(O215,Agregado!$B$2:$B$1511,Agregado!$G$2:$G$1511)</f>
        <v>#N/A</v>
      </c>
    </row>
    <row r="216" ht="15.75" customHeight="1">
      <c r="B216" s="13" t="s">
        <v>1135</v>
      </c>
      <c r="C216" s="7">
        <v>133931.03200000012</v>
      </c>
      <c r="D216" s="7">
        <v>105560.43300000009</v>
      </c>
      <c r="E216" s="7">
        <v>77092.99599999998</v>
      </c>
      <c r="F216" s="7">
        <f t="shared" si="1"/>
        <v>316584.461</v>
      </c>
      <c r="G216" s="14">
        <f t="shared" si="2"/>
        <v>0.002320086699</v>
      </c>
      <c r="I216" s="15">
        <v>44596.0</v>
      </c>
      <c r="J216" s="10">
        <v>44610.0</v>
      </c>
      <c r="K216" s="11">
        <v>-0.00565</v>
      </c>
      <c r="L216" s="4"/>
      <c r="M216" s="12">
        <v>43410.0</v>
      </c>
      <c r="N216" s="2">
        <v>275.12</v>
      </c>
      <c r="O216" s="3">
        <v>43262.0</v>
      </c>
      <c r="P216" s="4" t="str">
        <f t="array" ref="P216">XLOOKUP(O216,Agregado!$B$2:$B$1511,Agregado!$G$2:$G$1511)</f>
        <v>#N/A</v>
      </c>
    </row>
    <row r="217" ht="15.75" customHeight="1">
      <c r="B217" s="13" t="s">
        <v>1136</v>
      </c>
      <c r="C217" s="7">
        <v>134259.12400000013</v>
      </c>
      <c r="D217" s="7">
        <v>105450.25400000009</v>
      </c>
      <c r="E217" s="7">
        <v>76986.40699999998</v>
      </c>
      <c r="F217" s="7">
        <f t="shared" si="1"/>
        <v>316695.785</v>
      </c>
      <c r="G217" s="14">
        <f t="shared" si="2"/>
        <v>0.0003515789474</v>
      </c>
      <c r="I217" s="15">
        <v>44603.0</v>
      </c>
      <c r="J217" s="10">
        <v>44617.0</v>
      </c>
      <c r="K217" s="11">
        <v>-0.00439</v>
      </c>
      <c r="L217" s="4"/>
      <c r="M217" s="12">
        <v>43411.0</v>
      </c>
      <c r="N217" s="2">
        <v>281.01</v>
      </c>
      <c r="O217" s="3">
        <v>43292.0</v>
      </c>
      <c r="P217" s="4" t="str">
        <f t="array" ref="P217">XLOOKUP(O217,Agregado!$B$2:$B$1511,Agregado!$G$2:$G$1511)</f>
        <v>#N/A</v>
      </c>
    </row>
    <row r="218" ht="15.75" customHeight="1">
      <c r="B218" s="13" t="s">
        <v>1137</v>
      </c>
      <c r="C218" s="7">
        <v>135318.40500000012</v>
      </c>
      <c r="D218" s="7">
        <v>105491.83300000009</v>
      </c>
      <c r="E218" s="7">
        <v>77005.76799999998</v>
      </c>
      <c r="F218" s="7">
        <f t="shared" si="1"/>
        <v>317816.006</v>
      </c>
      <c r="G218" s="14">
        <f t="shared" si="2"/>
        <v>0.003530973513</v>
      </c>
      <c r="I218" s="15">
        <v>44610.0</v>
      </c>
      <c r="J218" s="10">
        <v>44624.0</v>
      </c>
      <c r="K218" s="11">
        <v>0.01222</v>
      </c>
      <c r="L218" s="4"/>
      <c r="M218" s="12">
        <v>43412.0</v>
      </c>
      <c r="N218" s="2">
        <v>280.5</v>
      </c>
      <c r="O218" s="3">
        <v>43323.0</v>
      </c>
      <c r="P218" s="4" t="str">
        <f t="array" ref="P218">XLOOKUP(O218,Agregado!$B$2:$B$1511,Agregado!$G$2:$G$1511)</f>
        <v>#N/A</v>
      </c>
    </row>
    <row r="219" ht="15.75" customHeight="1">
      <c r="B219" s="13" t="s">
        <v>1138</v>
      </c>
      <c r="C219" s="7">
        <v>137495.88300000012</v>
      </c>
      <c r="D219" s="7">
        <v>104033.99500000008</v>
      </c>
      <c r="E219" s="7">
        <v>77128.86099999998</v>
      </c>
      <c r="F219" s="7">
        <f t="shared" si="1"/>
        <v>318658.739</v>
      </c>
      <c r="G219" s="14">
        <f t="shared" si="2"/>
        <v>0.002648128615</v>
      </c>
      <c r="I219" s="15">
        <v>44617.0</v>
      </c>
      <c r="J219" s="10">
        <v>44631.0</v>
      </c>
      <c r="K219" s="11">
        <v>5.99999999999999E-4</v>
      </c>
      <c r="L219" s="4"/>
      <c r="M219" s="12">
        <v>43413.0</v>
      </c>
      <c r="N219" s="2">
        <v>277.76</v>
      </c>
      <c r="O219" s="3">
        <v>43354.0</v>
      </c>
      <c r="P219" s="4" t="str">
        <f t="array" ref="P219">XLOOKUP(O219,Agregado!$B$2:$B$1511,Agregado!$G$2:$G$1511)</f>
        <v>#N/A</v>
      </c>
    </row>
    <row r="220" ht="15.75" customHeight="1">
      <c r="B220" s="13" t="s">
        <v>1139</v>
      </c>
      <c r="C220" s="7">
        <v>136991.1500000001</v>
      </c>
      <c r="D220" s="7">
        <v>104556.64300000008</v>
      </c>
      <c r="E220" s="7">
        <v>77026.22599999998</v>
      </c>
      <c r="F220" s="7">
        <f t="shared" si="1"/>
        <v>318574.019</v>
      </c>
      <c r="G220" s="14">
        <f t="shared" si="2"/>
        <v>-0.0002658997028</v>
      </c>
      <c r="I220" s="15">
        <v>44624.0</v>
      </c>
      <c r="J220" s="10">
        <v>44638.0</v>
      </c>
      <c r="K220" s="11">
        <v>0.01765</v>
      </c>
      <c r="L220" s="4"/>
      <c r="M220" s="12">
        <v>43416.0</v>
      </c>
      <c r="N220" s="2">
        <v>272.57</v>
      </c>
      <c r="O220" s="3">
        <v>43445.0</v>
      </c>
      <c r="P220" s="4" t="str">
        <f t="array" ref="P220">XLOOKUP(O220,Agregado!$B$2:$B$1511,Agregado!$G$2:$G$1511)</f>
        <v>#N/A</v>
      </c>
    </row>
    <row r="221" ht="15.75" customHeight="1">
      <c r="B221" s="13" t="s">
        <v>1140</v>
      </c>
      <c r="C221" s="7">
        <v>135435.0280000001</v>
      </c>
      <c r="D221" s="7">
        <v>104640.63100000008</v>
      </c>
      <c r="E221" s="7">
        <v>77162.60599999999</v>
      </c>
      <c r="F221" s="7">
        <f t="shared" si="1"/>
        <v>317238.265</v>
      </c>
      <c r="G221" s="14">
        <f t="shared" si="2"/>
        <v>-0.004201730601</v>
      </c>
      <c r="I221" s="15">
        <v>44631.0</v>
      </c>
      <c r="J221" s="10">
        <v>44645.0</v>
      </c>
      <c r="K221" s="11">
        <v>6.79999999999999E-4</v>
      </c>
      <c r="L221" s="4"/>
      <c r="M221" s="12">
        <v>43417.0</v>
      </c>
      <c r="N221" s="2">
        <v>272.06</v>
      </c>
      <c r="O221" s="3" t="s">
        <v>128</v>
      </c>
      <c r="P221" s="4" t="str">
        <f t="array" ref="P221">XLOOKUP(O221,Agregado!$B$2:$B$1511,Agregado!$G$2:$G$1511)</f>
        <v>#N/A</v>
      </c>
    </row>
    <row r="222" ht="15.75" customHeight="1">
      <c r="B222" s="13" t="s">
        <v>1141</v>
      </c>
      <c r="C222" s="7">
        <v>135176.2240000001</v>
      </c>
      <c r="D222" s="7">
        <v>104777.85300000008</v>
      </c>
      <c r="E222" s="7">
        <v>77194.83799999999</v>
      </c>
      <c r="F222" s="7">
        <f t="shared" si="1"/>
        <v>317148.915</v>
      </c>
      <c r="G222" s="14">
        <f t="shared" si="2"/>
        <v>-0.0002816891747</v>
      </c>
      <c r="I222" s="15">
        <v>44638.0</v>
      </c>
      <c r="J222" s="10">
        <v>44652.0</v>
      </c>
      <c r="K222" s="11">
        <v>0.02206</v>
      </c>
      <c r="L222" s="4"/>
      <c r="M222" s="12">
        <v>43418.0</v>
      </c>
      <c r="N222" s="2">
        <v>270.2</v>
      </c>
      <c r="O222" s="3" t="s">
        <v>129</v>
      </c>
      <c r="P222" s="4" t="str">
        <f t="array" ref="P222">XLOOKUP(O222,Agregado!$B$2:$B$1511,Agregado!$G$2:$G$1511)</f>
        <v>#N/A</v>
      </c>
    </row>
    <row r="223" ht="15.75" customHeight="1">
      <c r="B223" s="13" t="s">
        <v>1142</v>
      </c>
      <c r="C223" s="7">
        <v>135502.6620000001</v>
      </c>
      <c r="D223" s="7">
        <v>105161.51900000007</v>
      </c>
      <c r="E223" s="7">
        <v>77198.04699999999</v>
      </c>
      <c r="F223" s="7">
        <f t="shared" si="1"/>
        <v>317862.228</v>
      </c>
      <c r="G223" s="14">
        <f t="shared" si="2"/>
        <v>0.002246616639</v>
      </c>
      <c r="I223" s="15">
        <v>44645.0</v>
      </c>
      <c r="J223" s="10">
        <v>44659.0</v>
      </c>
      <c r="K223" s="11">
        <v>-0.0159699999999999</v>
      </c>
      <c r="L223" s="4"/>
      <c r="M223" s="12">
        <v>43419.0</v>
      </c>
      <c r="N223" s="2">
        <v>273.02</v>
      </c>
      <c r="O223" s="3" t="s">
        <v>130</v>
      </c>
      <c r="P223" s="4" t="str">
        <f t="array" ref="P223">XLOOKUP(O223,Agregado!$B$2:$B$1511,Agregado!$G$2:$G$1511)</f>
        <v>#N/A</v>
      </c>
    </row>
    <row r="224" ht="15.75" customHeight="1">
      <c r="B224" s="13" t="s">
        <v>1143</v>
      </c>
      <c r="C224" s="7">
        <v>136663.8720000001</v>
      </c>
      <c r="D224" s="7">
        <v>105379.15200000007</v>
      </c>
      <c r="E224" s="7">
        <v>77142.30799999999</v>
      </c>
      <c r="F224" s="7">
        <f t="shared" si="1"/>
        <v>319185.332</v>
      </c>
      <c r="G224" s="14">
        <f t="shared" si="2"/>
        <v>0.00415386852</v>
      </c>
      <c r="I224" s="15">
        <v>44652.0</v>
      </c>
      <c r="J224" s="10">
        <v>44665.0</v>
      </c>
      <c r="K224" s="11">
        <v>-0.02523</v>
      </c>
      <c r="L224" s="4"/>
      <c r="M224" s="12">
        <v>43420.0</v>
      </c>
      <c r="N224" s="2">
        <v>273.73</v>
      </c>
      <c r="O224" s="3" t="s">
        <v>131</v>
      </c>
      <c r="P224" s="4" t="str">
        <f t="array" ref="P224">XLOOKUP(O224,Agregado!$B$2:$B$1511,Agregado!$G$2:$G$1511)</f>
        <v>#N/A</v>
      </c>
    </row>
    <row r="225" ht="15.75" customHeight="1">
      <c r="B225" s="13" t="s">
        <v>1144</v>
      </c>
      <c r="C225" s="7">
        <v>137100.6540000001</v>
      </c>
      <c r="D225" s="7">
        <v>105654.16500000008</v>
      </c>
      <c r="E225" s="7">
        <v>77143.06099999999</v>
      </c>
      <c r="F225" s="7">
        <f t="shared" si="1"/>
        <v>319897.88</v>
      </c>
      <c r="G225" s="14">
        <f t="shared" si="2"/>
        <v>0.002229907724</v>
      </c>
      <c r="I225" s="15">
        <v>44659.0</v>
      </c>
      <c r="J225" s="10">
        <v>44673.0</v>
      </c>
      <c r="K225" s="11">
        <v>-0.03349</v>
      </c>
      <c r="L225" s="4"/>
      <c r="M225" s="12">
        <v>43423.0</v>
      </c>
      <c r="N225" s="2">
        <v>269.1</v>
      </c>
      <c r="O225" s="3" t="s">
        <v>132</v>
      </c>
      <c r="P225" s="4" t="str">
        <f t="array" ref="P225">XLOOKUP(O225,Agregado!$B$2:$B$1511,Agregado!$G$2:$G$1511)</f>
        <v>#N/A</v>
      </c>
    </row>
    <row r="226" ht="15.75" customHeight="1">
      <c r="B226" s="13" t="s">
        <v>1145</v>
      </c>
      <c r="C226" s="7">
        <v>135664.1990000001</v>
      </c>
      <c r="D226" s="7">
        <v>105585.25400000009</v>
      </c>
      <c r="E226" s="7">
        <v>77157.68299999999</v>
      </c>
      <c r="F226" s="7">
        <f t="shared" si="1"/>
        <v>318407.136</v>
      </c>
      <c r="G226" s="14">
        <f t="shared" si="2"/>
        <v>-0.004670954083</v>
      </c>
      <c r="I226" s="15">
        <v>44665.0</v>
      </c>
      <c r="J226" s="10">
        <v>44680.0</v>
      </c>
      <c r="K226" s="11">
        <v>-0.0023</v>
      </c>
      <c r="L226" s="4"/>
      <c r="M226" s="12">
        <v>43424.0</v>
      </c>
      <c r="N226" s="2">
        <v>264.12</v>
      </c>
      <c r="O226" s="3" t="s">
        <v>133</v>
      </c>
      <c r="P226" s="4" t="str">
        <f t="array" ref="P226">XLOOKUP(O226,Agregado!$B$2:$B$1511,Agregado!$G$2:$G$1511)</f>
        <v>#N/A</v>
      </c>
    </row>
    <row r="227" ht="15.75" customHeight="1">
      <c r="B227" s="13" t="s">
        <v>1146</v>
      </c>
      <c r="C227" s="7">
        <v>136363.8090000001</v>
      </c>
      <c r="D227" s="7">
        <v>105842.76600000009</v>
      </c>
      <c r="E227" s="7">
        <v>77294.127</v>
      </c>
      <c r="F227" s="7">
        <f t="shared" si="1"/>
        <v>319500.702</v>
      </c>
      <c r="G227" s="14">
        <f t="shared" si="2"/>
        <v>0.003428605219</v>
      </c>
      <c r="I227" s="15">
        <v>44673.0</v>
      </c>
      <c r="J227" s="10">
        <v>44687.0</v>
      </c>
      <c r="K227" s="11">
        <v>-0.00143</v>
      </c>
      <c r="L227" s="4"/>
      <c r="M227" s="12">
        <v>43425.0</v>
      </c>
      <c r="N227" s="2">
        <v>265.02</v>
      </c>
      <c r="O227" s="3" t="s">
        <v>134</v>
      </c>
      <c r="P227" s="4" t="str">
        <f t="array" ref="P227">XLOOKUP(O227,Agregado!$B$2:$B$1511,Agregado!$G$2:$G$1511)</f>
        <v>#N/A</v>
      </c>
    </row>
    <row r="228" ht="15.75" customHeight="1">
      <c r="B228" s="13" t="s">
        <v>1147</v>
      </c>
      <c r="C228" s="7">
        <v>138543.7240000001</v>
      </c>
      <c r="D228" s="7">
        <v>106108.92800000009</v>
      </c>
      <c r="E228" s="7">
        <v>77379.10699999999</v>
      </c>
      <c r="F228" s="7">
        <f t="shared" si="1"/>
        <v>322031.759</v>
      </c>
      <c r="G228" s="14">
        <f t="shared" si="2"/>
        <v>0.007890700117</v>
      </c>
      <c r="I228" s="15">
        <v>44680.0</v>
      </c>
      <c r="J228" s="10">
        <v>44694.0</v>
      </c>
      <c r="K228" s="11">
        <v>0.00554</v>
      </c>
      <c r="L228" s="4"/>
      <c r="M228" s="12">
        <v>43427.0</v>
      </c>
      <c r="N228" s="2">
        <v>263.25</v>
      </c>
      <c r="O228" s="3" t="s">
        <v>135</v>
      </c>
      <c r="P228" s="4" t="str">
        <f t="array" ref="P228">XLOOKUP(O228,Agregado!$B$2:$B$1511,Agregado!$G$2:$G$1511)</f>
        <v>#N/A</v>
      </c>
    </row>
    <row r="229" ht="15.75" customHeight="1">
      <c r="B229" s="13" t="s">
        <v>1148</v>
      </c>
      <c r="C229" s="7">
        <v>137350.9780000001</v>
      </c>
      <c r="D229" s="7">
        <v>106122.2780000001</v>
      </c>
      <c r="E229" s="7">
        <v>77293.86499999999</v>
      </c>
      <c r="F229" s="7">
        <f t="shared" si="1"/>
        <v>320767.121</v>
      </c>
      <c r="G229" s="14">
        <f t="shared" si="2"/>
        <v>-0.003934791024</v>
      </c>
      <c r="I229" s="15">
        <v>44687.0</v>
      </c>
      <c r="J229" s="10">
        <v>44701.0</v>
      </c>
      <c r="K229" s="11">
        <v>0.01444</v>
      </c>
      <c r="L229" s="4"/>
      <c r="M229" s="12">
        <v>43430.0</v>
      </c>
      <c r="N229" s="2">
        <v>267.5</v>
      </c>
      <c r="O229" s="3" t="s">
        <v>136</v>
      </c>
      <c r="P229" s="4" t="str">
        <f t="array" ref="P229">XLOOKUP(O229,Agregado!$B$2:$B$1511,Agregado!$G$2:$G$1511)</f>
        <v>#N/A</v>
      </c>
    </row>
    <row r="230" ht="15.75" customHeight="1">
      <c r="B230" s="13" t="s">
        <v>1149</v>
      </c>
      <c r="C230" s="7">
        <v>135836.80500000008</v>
      </c>
      <c r="D230" s="7">
        <v>106440.5850000001</v>
      </c>
      <c r="E230" s="7">
        <v>77233.37999999999</v>
      </c>
      <c r="F230" s="7">
        <f t="shared" si="1"/>
        <v>319510.77</v>
      </c>
      <c r="G230" s="14">
        <f t="shared" si="2"/>
        <v>-0.003924397922</v>
      </c>
      <c r="I230" s="15">
        <v>44694.0</v>
      </c>
      <c r="J230" s="10">
        <v>44708.0</v>
      </c>
      <c r="K230" s="11">
        <v>0.01639</v>
      </c>
      <c r="L230" s="4"/>
      <c r="M230" s="12">
        <v>43431.0</v>
      </c>
      <c r="N230" s="2">
        <v>268.4</v>
      </c>
      <c r="O230" s="3" t="s">
        <v>137</v>
      </c>
      <c r="P230" s="4" t="str">
        <f t="array" ref="P230">XLOOKUP(O230,Agregado!$B$2:$B$1511,Agregado!$G$2:$G$1511)</f>
        <v>#N/A</v>
      </c>
    </row>
    <row r="231" ht="15.75" customHeight="1">
      <c r="B231" s="13" t="s">
        <v>1150</v>
      </c>
      <c r="C231" s="7">
        <v>135181.57800000007</v>
      </c>
      <c r="D231" s="7">
        <v>106480.99600000009</v>
      </c>
      <c r="E231" s="7">
        <v>77221.49999999999</v>
      </c>
      <c r="F231" s="7">
        <f t="shared" si="1"/>
        <v>318884.074</v>
      </c>
      <c r="G231" s="14">
        <f t="shared" si="2"/>
        <v>-0.001963349821</v>
      </c>
      <c r="I231" s="15">
        <v>44701.0</v>
      </c>
      <c r="J231" s="10">
        <v>44715.0</v>
      </c>
      <c r="K231" s="11">
        <v>6.00000000000001E-5</v>
      </c>
      <c r="L231" s="4"/>
      <c r="M231" s="12">
        <v>43432.0</v>
      </c>
      <c r="N231" s="2">
        <v>274.58</v>
      </c>
      <c r="O231" s="3" t="s">
        <v>138</v>
      </c>
      <c r="P231" s="4" t="str">
        <f t="array" ref="P231">XLOOKUP(O231,Agregado!$B$2:$B$1511,Agregado!$G$2:$G$1511)</f>
        <v>#N/A</v>
      </c>
    </row>
    <row r="232" ht="15.75" customHeight="1">
      <c r="B232" s="13" t="s">
        <v>1151</v>
      </c>
      <c r="C232" s="7">
        <v>136952.42700000005</v>
      </c>
      <c r="D232" s="7">
        <v>106426.93800000008</v>
      </c>
      <c r="E232" s="7">
        <v>77263.33999999998</v>
      </c>
      <c r="F232" s="7">
        <f t="shared" si="1"/>
        <v>320642.705</v>
      </c>
      <c r="G232" s="14">
        <f t="shared" si="2"/>
        <v>0.005499802325</v>
      </c>
      <c r="I232" s="15">
        <v>44708.0</v>
      </c>
      <c r="J232" s="10">
        <v>44722.0</v>
      </c>
      <c r="K232" s="11">
        <v>0.0154399999999999</v>
      </c>
      <c r="L232" s="4"/>
      <c r="M232" s="12">
        <v>43433.0</v>
      </c>
      <c r="N232" s="2">
        <v>273.98</v>
      </c>
      <c r="O232" s="3" t="s">
        <v>139</v>
      </c>
      <c r="P232" s="4" t="str">
        <f t="array" ref="P232">XLOOKUP(O232,Agregado!$B$2:$B$1511,Agregado!$G$2:$G$1511)</f>
        <v>#N/A</v>
      </c>
    </row>
    <row r="233" ht="15.75" customHeight="1">
      <c r="B233" s="13" t="s">
        <v>1152</v>
      </c>
      <c r="C233" s="7">
        <v>140987.07000000007</v>
      </c>
      <c r="D233" s="7">
        <v>106399.28600000008</v>
      </c>
      <c r="E233" s="7">
        <v>77371.22699999998</v>
      </c>
      <c r="F233" s="7">
        <f t="shared" si="1"/>
        <v>324757.583</v>
      </c>
      <c r="G233" s="14">
        <f t="shared" si="2"/>
        <v>0.01275157087</v>
      </c>
      <c r="I233" s="15">
        <v>44715.0</v>
      </c>
      <c r="J233" s="10">
        <v>44729.0</v>
      </c>
      <c r="K233" s="11">
        <v>0.01413</v>
      </c>
      <c r="L233" s="4"/>
      <c r="M233" s="12">
        <v>43434.0</v>
      </c>
      <c r="N233" s="2">
        <v>275.65</v>
      </c>
      <c r="O233" s="3" t="s">
        <v>140</v>
      </c>
      <c r="P233" s="4" t="str">
        <f t="array" ref="P233">XLOOKUP(O233,Agregado!$B$2:$B$1511,Agregado!$G$2:$G$1511)</f>
        <v>#N/A</v>
      </c>
    </row>
    <row r="234" ht="15.75" customHeight="1">
      <c r="B234" s="13" t="s">
        <v>1153</v>
      </c>
      <c r="C234" s="7">
        <v>143479.83300000007</v>
      </c>
      <c r="D234" s="7">
        <v>106068.11200000008</v>
      </c>
      <c r="E234" s="7">
        <v>77553.95999999998</v>
      </c>
      <c r="F234" s="7">
        <f t="shared" si="1"/>
        <v>327101.905</v>
      </c>
      <c r="G234" s="14">
        <f t="shared" si="2"/>
        <v>0.007192752887</v>
      </c>
      <c r="I234" s="15">
        <v>44722.0</v>
      </c>
      <c r="J234" s="10">
        <v>44736.0</v>
      </c>
      <c r="K234" s="11">
        <v>-0.00916</v>
      </c>
      <c r="L234" s="4"/>
      <c r="M234" s="12">
        <v>43437.0</v>
      </c>
      <c r="N234" s="2">
        <v>279.3</v>
      </c>
      <c r="O234" s="3">
        <v>43171.0</v>
      </c>
      <c r="P234" s="4" t="str">
        <f t="array" ref="P234">XLOOKUP(O234,Agregado!$B$2:$B$1511,Agregado!$G$2:$G$1511)</f>
        <v>#N/A</v>
      </c>
    </row>
    <row r="235" ht="15.75" customHeight="1">
      <c r="B235" s="13" t="s">
        <v>1154</v>
      </c>
      <c r="C235" s="7">
        <v>139930.54000000007</v>
      </c>
      <c r="D235" s="7">
        <v>105915.05700000009</v>
      </c>
      <c r="E235" s="7">
        <v>77785.76599999997</v>
      </c>
      <c r="F235" s="7">
        <f t="shared" si="1"/>
        <v>323631.363</v>
      </c>
      <c r="G235" s="14">
        <f t="shared" si="2"/>
        <v>-0.01066665891</v>
      </c>
      <c r="I235" s="15">
        <v>44729.0</v>
      </c>
      <c r="J235" s="10">
        <v>44743.0</v>
      </c>
      <c r="K235" s="11">
        <v>0.00416</v>
      </c>
      <c r="L235" s="4"/>
      <c r="M235" s="12">
        <v>43438.0</v>
      </c>
      <c r="N235" s="2">
        <v>270.25</v>
      </c>
      <c r="O235" s="3">
        <v>43202.0</v>
      </c>
      <c r="P235" s="4" t="str">
        <f t="array" ref="P235">XLOOKUP(O235,Agregado!$B$2:$B$1511,Agregado!$G$2:$G$1511)</f>
        <v>#N/A</v>
      </c>
    </row>
    <row r="236" ht="15.75" customHeight="1">
      <c r="B236" s="13" t="s">
        <v>1155</v>
      </c>
      <c r="C236" s="7">
        <v>140209.75800000006</v>
      </c>
      <c r="D236" s="7">
        <v>106140.11800000009</v>
      </c>
      <c r="E236" s="7">
        <v>77849.96799999998</v>
      </c>
      <c r="F236" s="7">
        <f t="shared" si="1"/>
        <v>324199.844</v>
      </c>
      <c r="G236" s="14">
        <f t="shared" si="2"/>
        <v>0.001755028593</v>
      </c>
      <c r="I236" s="15">
        <v>44736.0</v>
      </c>
      <c r="J236" s="10">
        <v>44750.0</v>
      </c>
      <c r="K236" s="11">
        <v>-0.00227</v>
      </c>
      <c r="L236" s="4"/>
      <c r="M236" s="12">
        <v>43440.0</v>
      </c>
      <c r="N236" s="2">
        <v>269.84</v>
      </c>
      <c r="O236" s="3">
        <v>43263.0</v>
      </c>
      <c r="P236" s="4" t="str">
        <f t="array" ref="P236">XLOOKUP(O236,Agregado!$B$2:$B$1511,Agregado!$G$2:$G$1511)</f>
        <v>#N/A</v>
      </c>
    </row>
    <row r="237" ht="15.75" customHeight="1">
      <c r="B237" s="13" t="s">
        <v>1156</v>
      </c>
      <c r="C237" s="7">
        <v>136561.63600000006</v>
      </c>
      <c r="D237" s="7">
        <v>106140.11800000009</v>
      </c>
      <c r="E237" s="7">
        <v>78061.97199999998</v>
      </c>
      <c r="F237" s="7">
        <f t="shared" si="1"/>
        <v>320763.726</v>
      </c>
      <c r="G237" s="14">
        <f t="shared" si="2"/>
        <v>-0.01065533208</v>
      </c>
      <c r="I237" s="15">
        <v>44743.0</v>
      </c>
      <c r="J237" s="10">
        <v>44757.0</v>
      </c>
      <c r="K237" s="11">
        <v>1.4E-4</v>
      </c>
      <c r="L237" s="4"/>
      <c r="M237" s="12">
        <v>43441.0</v>
      </c>
      <c r="N237" s="2">
        <v>263.57</v>
      </c>
      <c r="O237" s="3">
        <v>43293.0</v>
      </c>
      <c r="P237" s="4" t="str">
        <f t="array" ref="P237">XLOOKUP(O237,Agregado!$B$2:$B$1511,Agregado!$G$2:$G$1511)</f>
        <v>#N/A</v>
      </c>
    </row>
    <row r="238" ht="15.75" customHeight="1">
      <c r="B238" s="13" t="s">
        <v>1157</v>
      </c>
      <c r="C238" s="7">
        <v>133471.22200000007</v>
      </c>
      <c r="D238" s="7">
        <v>106085.7370000001</v>
      </c>
      <c r="E238" s="7">
        <v>78167.50899999998</v>
      </c>
      <c r="F238" s="7">
        <f t="shared" si="1"/>
        <v>317724.468</v>
      </c>
      <c r="G238" s="14">
        <f t="shared" si="2"/>
        <v>-0.00952024167</v>
      </c>
      <c r="I238" s="15">
        <v>44750.0</v>
      </c>
      <c r="J238" s="10">
        <v>44764.0</v>
      </c>
      <c r="K238" s="11">
        <v>0.00395</v>
      </c>
      <c r="L238" s="4"/>
      <c r="M238" s="12">
        <v>43444.0</v>
      </c>
      <c r="N238" s="2">
        <v>264.07</v>
      </c>
      <c r="O238" s="3">
        <v>43385.0</v>
      </c>
      <c r="P238" s="4" t="str">
        <f t="array" ref="P238">XLOOKUP(O238,Agregado!$B$2:$B$1511,Agregado!$G$2:$G$1511)</f>
        <v>#N/A</v>
      </c>
    </row>
    <row r="239" ht="15.75" customHeight="1">
      <c r="B239" s="13" t="s">
        <v>1158</v>
      </c>
      <c r="C239" s="7">
        <v>135053.30100000006</v>
      </c>
      <c r="D239" s="7">
        <v>105169.3740000001</v>
      </c>
      <c r="E239" s="7">
        <v>77993.00199999998</v>
      </c>
      <c r="F239" s="7">
        <f t="shared" si="1"/>
        <v>318215.677</v>
      </c>
      <c r="G239" s="14">
        <f t="shared" si="2"/>
        <v>0.001544828083</v>
      </c>
      <c r="I239" s="15">
        <v>44757.0</v>
      </c>
      <c r="J239" s="10">
        <v>44771.0</v>
      </c>
      <c r="K239" s="11">
        <v>0.00169999999999999</v>
      </c>
      <c r="L239" s="4"/>
      <c r="M239" s="12">
        <v>43445.0</v>
      </c>
      <c r="N239" s="2">
        <v>264.13</v>
      </c>
      <c r="O239" s="3">
        <v>43416.0</v>
      </c>
      <c r="P239" s="4" t="str">
        <f t="array" ref="P239">XLOOKUP(O239,Agregado!$B$2:$B$1511,Agregado!$G$2:$G$1511)</f>
        <v>#N/A</v>
      </c>
    </row>
    <row r="240" ht="15.75" customHeight="1">
      <c r="B240" s="13" t="s">
        <v>1159</v>
      </c>
      <c r="C240" s="7">
        <v>135185.37300000005</v>
      </c>
      <c r="D240" s="7">
        <v>104450.9510000001</v>
      </c>
      <c r="E240" s="7">
        <v>78061.05599999998</v>
      </c>
      <c r="F240" s="7">
        <f t="shared" si="1"/>
        <v>317697.38</v>
      </c>
      <c r="G240" s="14">
        <f t="shared" si="2"/>
        <v>-0.001630087978</v>
      </c>
      <c r="I240" s="15">
        <v>44764.0</v>
      </c>
      <c r="J240" s="10">
        <v>44778.0</v>
      </c>
      <c r="K240" s="11">
        <v>0.00234</v>
      </c>
      <c r="L240" s="4"/>
      <c r="M240" s="12">
        <v>43446.0</v>
      </c>
      <c r="N240" s="2">
        <v>265.46</v>
      </c>
      <c r="O240" s="3">
        <v>43446.0</v>
      </c>
      <c r="P240" s="4" t="str">
        <f t="array" ref="P240">XLOOKUP(O240,Agregado!$B$2:$B$1511,Agregado!$G$2:$G$1511)</f>
        <v>#N/A</v>
      </c>
    </row>
    <row r="241" ht="15.75" customHeight="1">
      <c r="B241" s="13" t="s">
        <v>1160</v>
      </c>
      <c r="C241" s="7">
        <v>135911.54400000005</v>
      </c>
      <c r="D241" s="7">
        <v>104583.9510000001</v>
      </c>
      <c r="E241" s="7">
        <v>78140.40099999998</v>
      </c>
      <c r="F241" s="7">
        <f t="shared" si="1"/>
        <v>318635.896</v>
      </c>
      <c r="G241" s="14">
        <f t="shared" si="2"/>
        <v>0.002949764584</v>
      </c>
      <c r="I241" s="15">
        <v>44771.0</v>
      </c>
      <c r="J241" s="10">
        <v>44785.0</v>
      </c>
      <c r="K241" s="11">
        <v>0.0168499999999999</v>
      </c>
      <c r="L241" s="4"/>
      <c r="M241" s="12">
        <v>43447.0</v>
      </c>
      <c r="N241" s="2">
        <v>265.37</v>
      </c>
      <c r="O241" s="3" t="s">
        <v>141</v>
      </c>
      <c r="P241" s="4" t="str">
        <f t="array" ref="P241">XLOOKUP(O241,Agregado!$B$2:$B$1511,Agregado!$G$2:$G$1511)</f>
        <v>#N/A</v>
      </c>
    </row>
    <row r="242" ht="15.75" customHeight="1">
      <c r="B242" s="13" t="s">
        <v>1161</v>
      </c>
      <c r="C242" s="7">
        <v>137982.35400000005</v>
      </c>
      <c r="D242" s="7">
        <v>104864.7660000001</v>
      </c>
      <c r="E242" s="7">
        <v>78141.03599999998</v>
      </c>
      <c r="F242" s="7">
        <f t="shared" si="1"/>
        <v>320988.156</v>
      </c>
      <c r="G242" s="14">
        <f t="shared" si="2"/>
        <v>0.007355166201</v>
      </c>
      <c r="I242" s="15">
        <v>44778.0</v>
      </c>
      <c r="J242" s="10">
        <v>44792.0</v>
      </c>
      <c r="K242" s="11">
        <v>0.00244</v>
      </c>
      <c r="L242" s="4"/>
      <c r="M242" s="12">
        <v>43448.0</v>
      </c>
      <c r="N242" s="2">
        <v>260.47</v>
      </c>
      <c r="O242" s="3" t="s">
        <v>142</v>
      </c>
      <c r="P242" s="4" t="str">
        <f t="array" ref="P242">XLOOKUP(O242,Agregado!$B$2:$B$1511,Agregado!$G$2:$G$1511)</f>
        <v>#N/A</v>
      </c>
    </row>
    <row r="243" ht="15.75" customHeight="1">
      <c r="B243" s="13" t="s">
        <v>1162</v>
      </c>
      <c r="C243" s="7">
        <v>136269.98700000005</v>
      </c>
      <c r="D243" s="7">
        <v>104998.4850000001</v>
      </c>
      <c r="E243" s="7">
        <v>78099.68799999998</v>
      </c>
      <c r="F243" s="7">
        <f t="shared" si="1"/>
        <v>319368.16</v>
      </c>
      <c r="G243" s="14">
        <f t="shared" si="2"/>
        <v>-0.005059681354</v>
      </c>
      <c r="I243" s="15">
        <v>44785.0</v>
      </c>
      <c r="J243" s="10">
        <v>44799.0</v>
      </c>
      <c r="K243" s="11">
        <v>-0.00166</v>
      </c>
      <c r="L243" s="4"/>
      <c r="M243" s="12">
        <v>43451.0</v>
      </c>
      <c r="N243" s="2">
        <v>255.36</v>
      </c>
      <c r="O243" s="3" t="s">
        <v>143</v>
      </c>
      <c r="P243" s="4" t="str">
        <f t="array" ref="P243">XLOOKUP(O243,Agregado!$B$2:$B$1511,Agregado!$G$2:$G$1511)</f>
        <v>#N/A</v>
      </c>
    </row>
    <row r="244" ht="15.75" customHeight="1">
      <c r="B244" s="13" t="s">
        <v>1163</v>
      </c>
      <c r="C244" s="7">
        <v>137728.62600000005</v>
      </c>
      <c r="D244" s="7">
        <v>105037.8400000001</v>
      </c>
      <c r="E244" s="7">
        <v>78201.40299999998</v>
      </c>
      <c r="F244" s="7">
        <f t="shared" si="1"/>
        <v>320967.869</v>
      </c>
      <c r="G244" s="14">
        <f t="shared" si="2"/>
        <v>0.004996477648</v>
      </c>
      <c r="I244" s="15">
        <v>44792.0</v>
      </c>
      <c r="J244" s="10">
        <v>44806.0</v>
      </c>
      <c r="K244" s="11">
        <v>-0.00604</v>
      </c>
      <c r="L244" s="4"/>
      <c r="M244" s="12">
        <v>43452.0</v>
      </c>
      <c r="N244" s="2">
        <v>255.08</v>
      </c>
      <c r="O244" s="3" t="s">
        <v>144</v>
      </c>
      <c r="P244" s="4" t="str">
        <f t="array" ref="P244">XLOOKUP(O244,Agregado!$B$2:$B$1511,Agregado!$G$2:$G$1511)</f>
        <v>#N/A</v>
      </c>
    </row>
    <row r="245" ht="15.75" customHeight="1">
      <c r="B245" s="13" t="s">
        <v>1164</v>
      </c>
      <c r="C245" s="7">
        <v>139858.72900000005</v>
      </c>
      <c r="D245" s="7">
        <v>105842.6340000001</v>
      </c>
      <c r="E245" s="7">
        <v>78405.37399999998</v>
      </c>
      <c r="F245" s="7">
        <f t="shared" si="1"/>
        <v>324106.737</v>
      </c>
      <c r="G245" s="14">
        <f t="shared" si="2"/>
        <v>0.009731875179</v>
      </c>
      <c r="I245" s="15">
        <v>44799.0</v>
      </c>
      <c r="J245" s="10">
        <v>44813.0</v>
      </c>
      <c r="K245" s="11">
        <v>0.00301999999999999</v>
      </c>
      <c r="L245" s="4"/>
      <c r="M245" s="12">
        <v>43453.0</v>
      </c>
      <c r="N245" s="2">
        <v>251.26</v>
      </c>
      <c r="O245" s="3" t="s">
        <v>145</v>
      </c>
      <c r="P245" s="4" t="str">
        <f t="array" ref="P245">XLOOKUP(O245,Agregado!$B$2:$B$1511,Agregado!$G$2:$G$1511)</f>
        <v>#N/A</v>
      </c>
    </row>
    <row r="246" ht="15.75" customHeight="1">
      <c r="B246" s="13" t="s">
        <v>1165</v>
      </c>
      <c r="C246" s="7">
        <v>139616.34700000004</v>
      </c>
      <c r="D246" s="7">
        <v>106302.57700000009</v>
      </c>
      <c r="E246" s="7">
        <v>78405.37399999998</v>
      </c>
      <c r="F246" s="7">
        <f t="shared" si="1"/>
        <v>324324.298</v>
      </c>
      <c r="G246" s="14">
        <f t="shared" si="2"/>
        <v>0.0006710382336</v>
      </c>
      <c r="I246" s="15">
        <v>44806.0</v>
      </c>
      <c r="J246" s="10">
        <v>44820.0</v>
      </c>
      <c r="K246" s="11">
        <v>-4.69999999999999E-4</v>
      </c>
      <c r="L246" s="4"/>
      <c r="M246" s="12">
        <v>43454.0</v>
      </c>
      <c r="N246" s="2">
        <v>247.17</v>
      </c>
      <c r="O246" s="3" t="s">
        <v>146</v>
      </c>
      <c r="P246" s="4" t="str">
        <f t="array" ref="P246">XLOOKUP(O246,Agregado!$B$2:$B$1511,Agregado!$G$2:$G$1511)</f>
        <v>#N/A</v>
      </c>
    </row>
    <row r="247" ht="15.75" customHeight="1">
      <c r="B247" s="13" t="s">
        <v>1166</v>
      </c>
      <c r="C247" s="7">
        <v>138058.56600000005</v>
      </c>
      <c r="D247" s="7">
        <v>106327.73800000008</v>
      </c>
      <c r="E247" s="7">
        <v>78545.30399999997</v>
      </c>
      <c r="F247" s="7">
        <f t="shared" si="1"/>
        <v>322931.608</v>
      </c>
      <c r="G247" s="14">
        <f t="shared" si="2"/>
        <v>-0.004303374095</v>
      </c>
      <c r="I247" s="15">
        <v>44813.0</v>
      </c>
      <c r="J247" s="10">
        <v>44827.0</v>
      </c>
      <c r="K247" s="11">
        <v>-5.5E-4</v>
      </c>
      <c r="L247" s="4"/>
      <c r="M247" s="12">
        <v>43455.0</v>
      </c>
      <c r="N247" s="2">
        <v>240.7</v>
      </c>
      <c r="O247" s="3" t="s">
        <v>147</v>
      </c>
      <c r="P247" s="4" t="str">
        <f t="array" ref="P247">XLOOKUP(O247,Agregado!$B$2:$B$1511,Agregado!$G$2:$G$1511)</f>
        <v>#N/A</v>
      </c>
    </row>
    <row r="248" ht="15.75" customHeight="1">
      <c r="B248" s="13" t="s">
        <v>1167</v>
      </c>
      <c r="C248" s="7">
        <v>137465.00000000006</v>
      </c>
      <c r="D248" s="7">
        <v>106872.57800000008</v>
      </c>
      <c r="E248" s="7">
        <v>78687.48799999997</v>
      </c>
      <c r="F248" s="7">
        <f t="shared" si="1"/>
        <v>323025.066</v>
      </c>
      <c r="G248" s="14">
        <f t="shared" si="2"/>
        <v>0.0002893630623</v>
      </c>
      <c r="I248" s="15">
        <v>44820.0</v>
      </c>
      <c r="J248" s="10">
        <v>44834.0</v>
      </c>
      <c r="K248" s="11">
        <v>0.0119</v>
      </c>
      <c r="L248" s="4"/>
      <c r="M248" s="12">
        <v>43458.0</v>
      </c>
      <c r="N248" s="2">
        <v>234.34</v>
      </c>
      <c r="O248" s="3" t="s">
        <v>148</v>
      </c>
      <c r="P248" s="4" t="str">
        <f t="array" ref="P248">XLOOKUP(O248,Agregado!$B$2:$B$1511,Agregado!$G$2:$G$1511)</f>
        <v>#N/A</v>
      </c>
    </row>
    <row r="249" ht="15.75" customHeight="1">
      <c r="B249" s="13" t="s">
        <v>1168</v>
      </c>
      <c r="C249" s="7">
        <v>144448.75200000007</v>
      </c>
      <c r="D249" s="7">
        <v>107151.51300000008</v>
      </c>
      <c r="E249" s="7">
        <v>78906.05599999997</v>
      </c>
      <c r="F249" s="7">
        <f t="shared" si="1"/>
        <v>330506.321</v>
      </c>
      <c r="G249" s="14">
        <f t="shared" si="2"/>
        <v>0.02289586075</v>
      </c>
      <c r="I249" s="15">
        <v>44827.0</v>
      </c>
      <c r="J249" s="10">
        <v>44841.0</v>
      </c>
      <c r="K249" s="11">
        <v>0.00243</v>
      </c>
      <c r="L249" s="4"/>
      <c r="M249" s="12">
        <v>43460.0</v>
      </c>
      <c r="N249" s="2">
        <v>246.18</v>
      </c>
      <c r="O249" s="3" t="s">
        <v>149</v>
      </c>
      <c r="P249" s="4" t="str">
        <f t="array" ref="P249">XLOOKUP(O249,Agregado!$B$2:$B$1511,Agregado!$G$2:$G$1511)</f>
        <v>#N/A</v>
      </c>
    </row>
    <row r="250" ht="15.75" customHeight="1">
      <c r="B250" s="13" t="s">
        <v>1169</v>
      </c>
      <c r="C250" s="7">
        <v>147307.37300000008</v>
      </c>
      <c r="D250" s="7">
        <v>107151.51300000008</v>
      </c>
      <c r="E250" s="7">
        <v>78750.84999999996</v>
      </c>
      <c r="F250" s="7">
        <f t="shared" si="1"/>
        <v>333209.736</v>
      </c>
      <c r="G250" s="14">
        <f t="shared" si="2"/>
        <v>0.008146344878</v>
      </c>
      <c r="I250" s="15">
        <v>44834.0</v>
      </c>
      <c r="J250" s="10">
        <v>44848.0</v>
      </c>
      <c r="K250" s="11">
        <v>0.01098</v>
      </c>
      <c r="L250" s="4"/>
      <c r="M250" s="12">
        <v>43461.0</v>
      </c>
      <c r="N250" s="2">
        <v>248.07</v>
      </c>
      <c r="O250" s="3" t="s">
        <v>150</v>
      </c>
      <c r="P250" s="4" t="str">
        <f t="array" ref="P250">XLOOKUP(O250,Agregado!$B$2:$B$1511,Agregado!$G$2:$G$1511)</f>
        <v>#N/A</v>
      </c>
    </row>
    <row r="251" ht="15.75" customHeight="1">
      <c r="B251" s="13" t="s">
        <v>1170</v>
      </c>
      <c r="C251" s="7">
        <v>146434.3230000001</v>
      </c>
      <c r="D251" s="7">
        <v>107448.75300000008</v>
      </c>
      <c r="E251" s="7">
        <v>75129.96399999996</v>
      </c>
      <c r="F251" s="7">
        <f t="shared" si="1"/>
        <v>329013.04</v>
      </c>
      <c r="G251" s="14">
        <f t="shared" si="2"/>
        <v>-0.01267474432</v>
      </c>
      <c r="I251" s="15">
        <v>44841.0</v>
      </c>
      <c r="J251" s="10">
        <v>44855.0</v>
      </c>
      <c r="K251" s="11">
        <v>0.00866999999999999</v>
      </c>
      <c r="L251" s="4"/>
      <c r="M251" s="12">
        <v>43462.0</v>
      </c>
      <c r="N251" s="2">
        <v>247.75</v>
      </c>
      <c r="O251" s="3" t="s">
        <v>151</v>
      </c>
      <c r="P251" s="4" t="str">
        <f t="array" ref="P251">XLOOKUP(O251,Agregado!$B$2:$B$1511,Agregado!$G$2:$G$1511)</f>
        <v>#N/A</v>
      </c>
    </row>
    <row r="252" ht="15.75" customHeight="1">
      <c r="B252" s="13" t="s">
        <v>1171</v>
      </c>
      <c r="C252" s="7">
        <v>145181.64200000008</v>
      </c>
      <c r="D252" s="7">
        <v>107960.93200000009</v>
      </c>
      <c r="E252" s="7">
        <v>75165.29099999997</v>
      </c>
      <c r="F252" s="7">
        <f t="shared" si="1"/>
        <v>328307.865</v>
      </c>
      <c r="G252" s="14">
        <f t="shared" si="2"/>
        <v>-0.002145604271</v>
      </c>
      <c r="I252" s="15">
        <v>44848.0</v>
      </c>
      <c r="J252" s="10">
        <v>44862.0</v>
      </c>
      <c r="K252" s="11">
        <v>0.02022</v>
      </c>
      <c r="L252" s="4"/>
      <c r="M252" s="12">
        <v>43465.0</v>
      </c>
      <c r="N252" s="2">
        <v>249.92</v>
      </c>
      <c r="O252" s="3" t="s">
        <v>152</v>
      </c>
      <c r="P252" s="4" t="str">
        <f t="array" ref="P252">XLOOKUP(O252,Agregado!$B$2:$B$1511,Agregado!$G$2:$G$1511)</f>
        <v>#N/A</v>
      </c>
    </row>
    <row r="253" ht="15.75" customHeight="1">
      <c r="B253" s="13" t="s">
        <v>1172</v>
      </c>
      <c r="C253" s="7">
        <v>142282.5350000001</v>
      </c>
      <c r="D253" s="7">
        <v>108372.19800000009</v>
      </c>
      <c r="E253" s="7">
        <v>75513.10199999997</v>
      </c>
      <c r="F253" s="7">
        <f t="shared" si="1"/>
        <v>326167.835</v>
      </c>
      <c r="G253" s="14">
        <f t="shared" si="2"/>
        <v>-0.006539700793</v>
      </c>
      <c r="I253" s="15">
        <v>44855.0</v>
      </c>
      <c r="J253" s="10">
        <v>44869.0</v>
      </c>
      <c r="K253" s="11">
        <v>-0.00272999999999999</v>
      </c>
      <c r="L253" s="4"/>
      <c r="M253" s="12">
        <v>43467.0</v>
      </c>
      <c r="N253" s="2">
        <v>250.18</v>
      </c>
      <c r="O253" s="3">
        <v>43497.0</v>
      </c>
      <c r="P253" s="4" t="str">
        <f t="array" ref="P253">XLOOKUP(O253,Agregado!$B$2:$B$1511,Agregado!$G$2:$G$1511)</f>
        <v>#N/A</v>
      </c>
    </row>
    <row r="254" ht="15.75" customHeight="1">
      <c r="B254" s="13" t="s">
        <v>1173</v>
      </c>
      <c r="C254" s="7">
        <v>138996.0830000001</v>
      </c>
      <c r="D254" s="7">
        <v>108384.7680000001</v>
      </c>
      <c r="E254" s="7">
        <v>75633.68399999996</v>
      </c>
      <c r="F254" s="7">
        <f t="shared" si="1"/>
        <v>323014.535</v>
      </c>
      <c r="G254" s="14">
        <f t="shared" si="2"/>
        <v>-0.009714757965</v>
      </c>
      <c r="I254" s="15">
        <v>44862.0</v>
      </c>
      <c r="J254" s="10">
        <v>44876.0</v>
      </c>
      <c r="K254" s="11">
        <v>-7.40000000000001E-4</v>
      </c>
      <c r="L254" s="4"/>
      <c r="M254" s="12">
        <v>43468.0</v>
      </c>
      <c r="N254" s="2">
        <v>244.21</v>
      </c>
      <c r="O254" s="3">
        <v>43525.0</v>
      </c>
      <c r="P254" s="4" t="str">
        <f t="array" ref="P254">XLOOKUP(O254,Agregado!$B$2:$B$1511,Agregado!$G$2:$G$1511)</f>
        <v>#N/A</v>
      </c>
    </row>
    <row r="255" ht="15.75" customHeight="1">
      <c r="B255" s="13" t="s">
        <v>1174</v>
      </c>
      <c r="C255" s="7">
        <v>137644.7840000001</v>
      </c>
      <c r="D255" s="7">
        <v>108661.6580000001</v>
      </c>
      <c r="E255" s="7">
        <v>75668.33799999996</v>
      </c>
      <c r="F255" s="7">
        <f t="shared" si="1"/>
        <v>321974.78</v>
      </c>
      <c r="G255" s="14">
        <f t="shared" si="2"/>
        <v>-0.003224102715</v>
      </c>
      <c r="I255" s="15">
        <v>44869.0</v>
      </c>
      <c r="J255" s="10">
        <v>44883.0</v>
      </c>
      <c r="K255" s="11">
        <v>0.00822</v>
      </c>
      <c r="L255" s="4"/>
      <c r="M255" s="12">
        <v>43469.0</v>
      </c>
      <c r="N255" s="2">
        <v>252.39</v>
      </c>
      <c r="O255" s="3">
        <v>43556.0</v>
      </c>
      <c r="P255" s="4" t="str">
        <f t="array" ref="P255">XLOOKUP(O255,Agregado!$B$2:$B$1511,Agregado!$G$2:$G$1511)</f>
        <v>#N/A</v>
      </c>
    </row>
    <row r="256" ht="15.75" customHeight="1">
      <c r="B256" s="13" t="s">
        <v>1175</v>
      </c>
      <c r="C256" s="7">
        <v>136643.92400000012</v>
      </c>
      <c r="D256" s="7">
        <v>108808.99000000009</v>
      </c>
      <c r="E256" s="7">
        <v>75668.41399999996</v>
      </c>
      <c r="F256" s="7">
        <f t="shared" si="1"/>
        <v>321121.328</v>
      </c>
      <c r="G256" s="14">
        <f t="shared" si="2"/>
        <v>-0.00265419893</v>
      </c>
      <c r="I256" s="15">
        <v>44876.0</v>
      </c>
      <c r="J256" s="10">
        <v>44890.0</v>
      </c>
      <c r="K256" s="11">
        <v>-0.00629</v>
      </c>
      <c r="L256" s="4"/>
      <c r="M256" s="12">
        <v>43472.0</v>
      </c>
      <c r="N256" s="2">
        <v>254.38</v>
      </c>
      <c r="O256" s="3">
        <v>43647.0</v>
      </c>
      <c r="P256" s="4" t="str">
        <f t="array" ref="P256">XLOOKUP(O256,Agregado!$B$2:$B$1511,Agregado!$G$2:$G$1511)</f>
        <v>#N/A</v>
      </c>
    </row>
    <row r="257" ht="15.75" customHeight="1">
      <c r="B257" s="13" t="s">
        <v>1176</v>
      </c>
      <c r="C257" s="7">
        <v>138739.53800000012</v>
      </c>
      <c r="D257" s="7">
        <v>108897.8840000001</v>
      </c>
      <c r="E257" s="7">
        <v>75669.18299999996</v>
      </c>
      <c r="F257" s="7">
        <f t="shared" si="1"/>
        <v>323306.605</v>
      </c>
      <c r="G257" s="14">
        <f t="shared" si="2"/>
        <v>0.006782093899</v>
      </c>
      <c r="I257" s="15">
        <v>44883.0</v>
      </c>
      <c r="J257" s="10">
        <v>44897.0</v>
      </c>
      <c r="K257" s="11">
        <v>-0.00659</v>
      </c>
      <c r="L257" s="4"/>
      <c r="M257" s="12">
        <v>43473.0</v>
      </c>
      <c r="N257" s="2">
        <v>256.77</v>
      </c>
      <c r="O257" s="3">
        <v>43678.0</v>
      </c>
      <c r="P257" s="4" t="str">
        <f t="array" ref="P257">XLOOKUP(O257,Agregado!$B$2:$B$1511,Agregado!$G$2:$G$1511)</f>
        <v>#N/A</v>
      </c>
    </row>
    <row r="258" ht="15.75" customHeight="1">
      <c r="B258" s="13" t="s">
        <v>1177</v>
      </c>
      <c r="C258" s="7">
        <v>137328.4410000001</v>
      </c>
      <c r="D258" s="7">
        <v>108833.94400000009</v>
      </c>
      <c r="E258" s="7">
        <v>75670.88299999996</v>
      </c>
      <c r="F258" s="7">
        <f t="shared" si="1"/>
        <v>321833.268</v>
      </c>
      <c r="G258" s="14">
        <f t="shared" si="2"/>
        <v>-0.004567504267</v>
      </c>
      <c r="I258" s="15">
        <v>44890.0</v>
      </c>
      <c r="J258" s="10">
        <v>44904.0</v>
      </c>
      <c r="K258" s="11">
        <v>0.0033</v>
      </c>
      <c r="L258" s="4"/>
      <c r="M258" s="12">
        <v>43474.0</v>
      </c>
      <c r="N258" s="2">
        <v>257.97</v>
      </c>
      <c r="O258" s="3">
        <v>43709.0</v>
      </c>
      <c r="P258" s="4" t="str">
        <f t="array" ref="P258">XLOOKUP(O258,Agregado!$B$2:$B$1511,Agregado!$G$2:$G$1511)</f>
        <v>#N/A</v>
      </c>
    </row>
    <row r="259" ht="15.75" customHeight="1">
      <c r="B259" s="13" t="s">
        <v>1178</v>
      </c>
      <c r="C259" s="7">
        <v>137816.2040000001</v>
      </c>
      <c r="D259" s="7">
        <v>108911.41800000009</v>
      </c>
      <c r="E259" s="7">
        <v>75653.24199999995</v>
      </c>
      <c r="F259" s="7">
        <f t="shared" si="1"/>
        <v>322380.864</v>
      </c>
      <c r="G259" s="14">
        <f t="shared" si="2"/>
        <v>0.001700043835</v>
      </c>
      <c r="I259" s="15">
        <v>44897.0</v>
      </c>
      <c r="J259" s="10">
        <v>44911.0</v>
      </c>
      <c r="K259" s="11">
        <v>9.60000000000002E-4</v>
      </c>
      <c r="L259" s="4"/>
      <c r="M259" s="12">
        <v>43475.0</v>
      </c>
      <c r="N259" s="2">
        <v>258.88</v>
      </c>
      <c r="O259" s="3">
        <v>43739.0</v>
      </c>
      <c r="P259" s="4" t="str">
        <f t="array" ref="P259">XLOOKUP(O259,Agregado!$B$2:$B$1511,Agregado!$G$2:$G$1511)</f>
        <v>#N/A</v>
      </c>
    </row>
    <row r="260" ht="15.75" customHeight="1">
      <c r="B260" s="13" t="s">
        <v>1179</v>
      </c>
      <c r="C260" s="7">
        <v>135830.7640000001</v>
      </c>
      <c r="D260" s="7">
        <v>108911.41800000009</v>
      </c>
      <c r="E260" s="7">
        <v>75689.74399999995</v>
      </c>
      <c r="F260" s="7">
        <f t="shared" si="1"/>
        <v>320431.926</v>
      </c>
      <c r="G260" s="14">
        <f t="shared" si="2"/>
        <v>-0.006063799607</v>
      </c>
      <c r="I260" s="15">
        <v>44904.0</v>
      </c>
      <c r="J260" s="10">
        <v>44918.0</v>
      </c>
      <c r="K260" s="11">
        <v>-0.0023</v>
      </c>
      <c r="L260" s="4"/>
      <c r="M260" s="12">
        <v>43476.0</v>
      </c>
      <c r="N260" s="2">
        <v>258.98</v>
      </c>
      <c r="O260" s="3">
        <v>43770.0</v>
      </c>
      <c r="P260" s="4" t="str">
        <f t="array" ref="P260">XLOOKUP(O260,Agregado!$B$2:$B$1511,Agregado!$G$2:$G$1511)</f>
        <v>#N/A</v>
      </c>
    </row>
    <row r="261" ht="15.75" customHeight="1">
      <c r="B261" s="13" t="s">
        <v>1180</v>
      </c>
      <c r="C261" s="7">
        <v>138032.3590000001</v>
      </c>
      <c r="D261" s="7">
        <v>108911.41800000009</v>
      </c>
      <c r="E261" s="7">
        <v>75737.37499999994</v>
      </c>
      <c r="F261" s="7">
        <f t="shared" si="1"/>
        <v>322681.152</v>
      </c>
      <c r="G261" s="14">
        <f t="shared" si="2"/>
        <v>0.006994835738</v>
      </c>
      <c r="I261" s="15">
        <v>44911.0</v>
      </c>
      <c r="J261" s="10">
        <v>44925.0</v>
      </c>
      <c r="K261" s="11">
        <v>-0.00643999999999999</v>
      </c>
      <c r="L261" s="4"/>
      <c r="M261" s="12">
        <v>43479.0</v>
      </c>
      <c r="N261" s="2">
        <v>257.4</v>
      </c>
      <c r="O261" s="3" t="s">
        <v>153</v>
      </c>
      <c r="P261" s="4" t="str">
        <f t="array" ref="P261">XLOOKUP(O261,Agregado!$B$2:$B$1511,Agregado!$G$2:$G$1511)</f>
        <v>#N/A</v>
      </c>
    </row>
    <row r="262" ht="15.75" customHeight="1">
      <c r="B262" s="13" t="s">
        <v>1181</v>
      </c>
      <c r="C262" s="7">
        <v>136750.4490000001</v>
      </c>
      <c r="D262" s="7">
        <v>108872.3400000001</v>
      </c>
      <c r="E262" s="7">
        <v>75713.57799999994</v>
      </c>
      <c r="F262" s="7">
        <f t="shared" si="1"/>
        <v>321336.367</v>
      </c>
      <c r="G262" s="14">
        <f t="shared" si="2"/>
        <v>-0.004176243394</v>
      </c>
      <c r="I262" s="15">
        <v>44918.0</v>
      </c>
      <c r="J262" s="10">
        <v>44932.0</v>
      </c>
      <c r="K262" s="11">
        <v>-0.00274</v>
      </c>
      <c r="L262" s="4"/>
      <c r="M262" s="12">
        <v>43480.0</v>
      </c>
      <c r="N262" s="2">
        <v>260.35</v>
      </c>
      <c r="O262" s="3" t="s">
        <v>154</v>
      </c>
      <c r="P262" s="4" t="str">
        <f t="array" ref="P262">XLOOKUP(O262,Agregado!$B$2:$B$1511,Agregado!$G$2:$G$1511)</f>
        <v>#N/A</v>
      </c>
    </row>
    <row r="263" ht="15.75" customHeight="1">
      <c r="B263" s="13" t="s">
        <v>1182</v>
      </c>
      <c r="C263" s="7">
        <v>135900.22800000012</v>
      </c>
      <c r="D263" s="7">
        <v>108755.7110000001</v>
      </c>
      <c r="E263" s="7">
        <v>75703.19999999994</v>
      </c>
      <c r="F263" s="7">
        <f t="shared" si="1"/>
        <v>320359.139</v>
      </c>
      <c r="G263" s="14">
        <f t="shared" si="2"/>
        <v>-0.003045770919</v>
      </c>
      <c r="I263" s="15">
        <v>44925.0</v>
      </c>
      <c r="J263" s="10">
        <v>44939.0</v>
      </c>
      <c r="K263" s="11">
        <v>0.00250999999999999</v>
      </c>
      <c r="L263" s="4"/>
      <c r="M263" s="12">
        <v>43481.0</v>
      </c>
      <c r="N263" s="2">
        <v>260.98</v>
      </c>
      <c r="O263" s="3" t="s">
        <v>155</v>
      </c>
      <c r="P263" s="4" t="str">
        <f t="array" ref="P263">XLOOKUP(O263,Agregado!$B$2:$B$1511,Agregado!$G$2:$G$1511)</f>
        <v>#N/A</v>
      </c>
    </row>
    <row r="264" ht="15.75" customHeight="1">
      <c r="B264" s="13" t="s">
        <v>1183</v>
      </c>
      <c r="C264" s="7">
        <v>135001.8290000001</v>
      </c>
      <c r="D264" s="7">
        <v>108755.7110000001</v>
      </c>
      <c r="E264" s="7">
        <v>76033.20399999994</v>
      </c>
      <c r="F264" s="7">
        <f t="shared" si="1"/>
        <v>319790.744</v>
      </c>
      <c r="G264" s="14">
        <f t="shared" si="2"/>
        <v>-0.001775818959</v>
      </c>
      <c r="I264" s="15">
        <v>44932.0</v>
      </c>
      <c r="J264" s="10">
        <v>44946.0</v>
      </c>
      <c r="K264" s="11">
        <v>8.49999999999999E-4</v>
      </c>
      <c r="L264" s="4"/>
      <c r="M264" s="12">
        <v>43482.0</v>
      </c>
      <c r="N264" s="2">
        <v>262.96</v>
      </c>
      <c r="O264" s="3" t="s">
        <v>156</v>
      </c>
      <c r="P264" s="4" t="str">
        <f t="array" ref="P264">XLOOKUP(O264,Agregado!$B$2:$B$1511,Agregado!$G$2:$G$1511)</f>
        <v>#N/A</v>
      </c>
    </row>
    <row r="265" ht="15.75" customHeight="1">
      <c r="B265" s="13" t="s">
        <v>1184</v>
      </c>
      <c r="C265" s="7">
        <v>134244.9580000001</v>
      </c>
      <c r="D265" s="7">
        <v>108847.6030000001</v>
      </c>
      <c r="E265" s="7">
        <v>76333.28199999993</v>
      </c>
      <c r="F265" s="7">
        <f t="shared" si="1"/>
        <v>319425.843</v>
      </c>
      <c r="G265" s="14">
        <f t="shared" si="2"/>
        <v>-0.0011417133</v>
      </c>
      <c r="I265" s="15">
        <v>44939.0</v>
      </c>
      <c r="J265" s="10">
        <v>44953.0</v>
      </c>
      <c r="K265" s="11">
        <v>0.00313999999999999</v>
      </c>
      <c r="L265" s="4"/>
      <c r="M265" s="12">
        <v>43483.0</v>
      </c>
      <c r="N265" s="2">
        <v>266.46</v>
      </c>
      <c r="O265" s="3" t="s">
        <v>157</v>
      </c>
      <c r="P265" s="4" t="str">
        <f t="array" ref="P265">XLOOKUP(O265,Agregado!$B$2:$B$1511,Agregado!$G$2:$G$1511)</f>
        <v>#N/A</v>
      </c>
    </row>
    <row r="266" ht="15.75" customHeight="1">
      <c r="B266" s="13" t="s">
        <v>1185</v>
      </c>
      <c r="C266" s="7">
        <v>130852.3400000001</v>
      </c>
      <c r="D266" s="7">
        <v>108847.6030000001</v>
      </c>
      <c r="E266" s="7">
        <v>76351.70699999994</v>
      </c>
      <c r="F266" s="7">
        <f t="shared" si="1"/>
        <v>316051.65</v>
      </c>
      <c r="G266" s="14">
        <f t="shared" si="2"/>
        <v>-0.01061949399</v>
      </c>
      <c r="I266" s="15">
        <v>44946.0</v>
      </c>
      <c r="J266" s="10">
        <v>44960.0</v>
      </c>
      <c r="K266" s="11">
        <v>-0.00169</v>
      </c>
      <c r="L266" s="4"/>
      <c r="M266" s="12">
        <v>43487.0</v>
      </c>
      <c r="N266" s="2">
        <v>262.86</v>
      </c>
      <c r="O266" s="3" t="s">
        <v>158</v>
      </c>
      <c r="P266" s="4" t="str">
        <f t="array" ref="P266">XLOOKUP(O266,Agregado!$B$2:$B$1511,Agregado!$G$2:$G$1511)</f>
        <v>#N/A</v>
      </c>
    </row>
    <row r="267" ht="15.75" customHeight="1">
      <c r="B267" s="13" t="s">
        <v>1186</v>
      </c>
      <c r="C267" s="7">
        <v>132078.0670000001</v>
      </c>
      <c r="D267" s="7">
        <v>108780.5880000001</v>
      </c>
      <c r="E267" s="7">
        <v>76351.73499999994</v>
      </c>
      <c r="F267" s="7">
        <f t="shared" si="1"/>
        <v>317210.39</v>
      </c>
      <c r="G267" s="14">
        <f t="shared" si="2"/>
        <v>0.003659594986</v>
      </c>
      <c r="I267" s="15">
        <v>44953.0</v>
      </c>
      <c r="J267" s="10">
        <v>44967.0</v>
      </c>
      <c r="K267" s="11">
        <v>-0.00839</v>
      </c>
      <c r="L267" s="4"/>
      <c r="M267" s="12">
        <v>43488.0</v>
      </c>
      <c r="N267" s="2">
        <v>263.41</v>
      </c>
      <c r="O267" s="3" t="s">
        <v>159</v>
      </c>
      <c r="P267" s="4" t="str">
        <f t="array" ref="P267">XLOOKUP(O267,Agregado!$B$2:$B$1511,Agregado!$G$2:$G$1511)</f>
        <v>#N/A</v>
      </c>
    </row>
    <row r="268" ht="15.75" customHeight="1">
      <c r="B268" s="13" t="s">
        <v>1187</v>
      </c>
      <c r="C268" s="7">
        <v>133496.6690000001</v>
      </c>
      <c r="D268" s="7">
        <v>108542.7400000001</v>
      </c>
      <c r="E268" s="7">
        <v>76351.76799999994</v>
      </c>
      <c r="F268" s="7">
        <f t="shared" si="1"/>
        <v>318391.177</v>
      </c>
      <c r="G268" s="14">
        <f t="shared" si="2"/>
        <v>0.003715498576</v>
      </c>
      <c r="I268" s="15">
        <v>44960.0</v>
      </c>
      <c r="J268" s="10">
        <v>44974.0</v>
      </c>
      <c r="K268" s="11">
        <v>-0.00339999999999999</v>
      </c>
      <c r="L268" s="4"/>
      <c r="M268" s="12">
        <v>43489.0</v>
      </c>
      <c r="N268" s="2">
        <v>263.55</v>
      </c>
      <c r="O268" s="3" t="s">
        <v>160</v>
      </c>
      <c r="P268" s="4" t="str">
        <f t="array" ref="P268">XLOOKUP(O268,Agregado!$B$2:$B$1511,Agregado!$G$2:$G$1511)</f>
        <v>#N/A</v>
      </c>
    </row>
    <row r="269" ht="15.75" customHeight="1">
      <c r="B269" s="13" t="s">
        <v>1188</v>
      </c>
      <c r="C269" s="7">
        <v>134220.69500000012</v>
      </c>
      <c r="D269" s="7">
        <v>108555.98300000011</v>
      </c>
      <c r="E269" s="7">
        <v>76444.02299999994</v>
      </c>
      <c r="F269" s="7">
        <f t="shared" si="1"/>
        <v>319220.701</v>
      </c>
      <c r="G269" s="14">
        <f t="shared" si="2"/>
        <v>0.002601973071</v>
      </c>
      <c r="I269" s="15">
        <v>44967.0</v>
      </c>
      <c r="J269" s="10">
        <v>44981.0</v>
      </c>
      <c r="K269" s="11">
        <v>-0.00751</v>
      </c>
      <c r="L269" s="4"/>
      <c r="M269" s="12">
        <v>43490.0</v>
      </c>
      <c r="N269" s="2">
        <v>265.78</v>
      </c>
      <c r="O269" s="3" t="s">
        <v>161</v>
      </c>
      <c r="P269" s="4" t="str">
        <f t="array" ref="P269">XLOOKUP(O269,Agregado!$B$2:$B$1511,Agregado!$G$2:$G$1511)</f>
        <v>#N/A</v>
      </c>
    </row>
    <row r="270" ht="15.75" customHeight="1">
      <c r="B270" s="13" t="s">
        <v>1189</v>
      </c>
      <c r="C270" s="7">
        <v>134260.24300000013</v>
      </c>
      <c r="D270" s="7">
        <v>108396.8460000001</v>
      </c>
      <c r="E270" s="7">
        <v>76407.67499999994</v>
      </c>
      <c r="F270" s="7">
        <f t="shared" si="1"/>
        <v>319064.764</v>
      </c>
      <c r="G270" s="14">
        <f t="shared" si="2"/>
        <v>-0.0004886121074</v>
      </c>
      <c r="I270" s="15">
        <v>44974.0</v>
      </c>
      <c r="J270" s="10">
        <v>44988.0</v>
      </c>
      <c r="K270" s="11">
        <v>-0.01864</v>
      </c>
      <c r="L270" s="4"/>
      <c r="M270" s="12">
        <v>43493.0</v>
      </c>
      <c r="N270" s="2">
        <v>263.76</v>
      </c>
      <c r="O270" s="3" t="s">
        <v>162</v>
      </c>
      <c r="P270" s="4" t="str">
        <f t="array" ref="P270">XLOOKUP(O270,Agregado!$B$2:$B$1511,Agregado!$G$2:$G$1511)</f>
        <v>#N/A</v>
      </c>
    </row>
    <row r="271" ht="15.75" customHeight="1">
      <c r="B271" s="13" t="s">
        <v>1190</v>
      </c>
      <c r="C271" s="7">
        <v>131840.60200000013</v>
      </c>
      <c r="D271" s="7">
        <v>101495.60900000011</v>
      </c>
      <c r="E271" s="7">
        <v>76420.93299999995</v>
      </c>
      <c r="F271" s="7">
        <f t="shared" si="1"/>
        <v>309757.144</v>
      </c>
      <c r="G271" s="14">
        <f t="shared" si="2"/>
        <v>-0.02960552012</v>
      </c>
      <c r="I271" s="15">
        <v>44981.0</v>
      </c>
      <c r="J271" s="10">
        <v>44995.0</v>
      </c>
      <c r="K271" s="11">
        <v>0.01302</v>
      </c>
      <c r="L271" s="4"/>
      <c r="M271" s="12">
        <v>43494.0</v>
      </c>
      <c r="N271" s="2">
        <v>263.41</v>
      </c>
      <c r="O271" s="3" t="s">
        <v>163</v>
      </c>
      <c r="P271" s="4" t="str">
        <f t="array" ref="P271">XLOOKUP(O271,Agregado!$B$2:$B$1511,Agregado!$G$2:$G$1511)</f>
        <v>#N/A</v>
      </c>
    </row>
    <row r="272" ht="15.75" customHeight="1">
      <c r="B272" s="13" t="s">
        <v>1191</v>
      </c>
      <c r="C272" s="7">
        <v>129492.69700000013</v>
      </c>
      <c r="D272" s="7">
        <v>101495.60900000011</v>
      </c>
      <c r="E272" s="7">
        <v>76463.70499999994</v>
      </c>
      <c r="F272" s="7">
        <f t="shared" si="1"/>
        <v>307452.011</v>
      </c>
      <c r="G272" s="14">
        <f t="shared" si="2"/>
        <v>-0.007469570725</v>
      </c>
      <c r="I272" s="15">
        <v>44988.0</v>
      </c>
      <c r="J272" s="10">
        <v>45002.0</v>
      </c>
      <c r="K272" s="11">
        <v>0.0054</v>
      </c>
      <c r="L272" s="4"/>
      <c r="M272" s="12">
        <v>43495.0</v>
      </c>
      <c r="N272" s="2">
        <v>267.58</v>
      </c>
      <c r="O272" s="3" t="s">
        <v>164</v>
      </c>
      <c r="P272" s="4" t="str">
        <f t="array" ref="P272">XLOOKUP(O272,Agregado!$B$2:$B$1511,Agregado!$G$2:$G$1511)</f>
        <v>#N/A</v>
      </c>
    </row>
    <row r="273" ht="15.75" customHeight="1">
      <c r="B273" s="13" t="s">
        <v>1192</v>
      </c>
      <c r="C273" s="7">
        <v>131731.83800000013</v>
      </c>
      <c r="D273" s="7">
        <v>101283.60200000012</v>
      </c>
      <c r="E273" s="7">
        <v>76549.01699999995</v>
      </c>
      <c r="F273" s="7">
        <f t="shared" si="1"/>
        <v>309564.457</v>
      </c>
      <c r="G273" s="14">
        <f t="shared" si="2"/>
        <v>0.006847318875</v>
      </c>
      <c r="I273" s="15">
        <v>44995.0</v>
      </c>
      <c r="J273" s="10">
        <v>45009.0</v>
      </c>
      <c r="K273" s="11">
        <v>0.00205</v>
      </c>
      <c r="L273" s="4"/>
      <c r="M273" s="12">
        <v>43496.0</v>
      </c>
      <c r="N273" s="2">
        <v>269.93</v>
      </c>
      <c r="O273" s="3" t="s">
        <v>165</v>
      </c>
      <c r="P273" s="4" t="str">
        <f t="array" ref="P273">XLOOKUP(O273,Agregado!$B$2:$B$1511,Agregado!$G$2:$G$1511)</f>
        <v>#N/A</v>
      </c>
    </row>
    <row r="274" ht="15.75" customHeight="1">
      <c r="B274" s="13" t="s">
        <v>1193</v>
      </c>
      <c r="C274" s="7">
        <v>130260.32900000013</v>
      </c>
      <c r="D274" s="7">
        <v>101364.34900000012</v>
      </c>
      <c r="E274" s="7">
        <v>77102.47299999995</v>
      </c>
      <c r="F274" s="7">
        <f t="shared" si="1"/>
        <v>308727.151</v>
      </c>
      <c r="G274" s="14">
        <f t="shared" si="2"/>
        <v>-0.002708451808</v>
      </c>
      <c r="I274" s="15">
        <v>45002.0</v>
      </c>
      <c r="J274" s="10">
        <v>45016.0</v>
      </c>
      <c r="K274" s="11">
        <v>0.00224</v>
      </c>
      <c r="L274" s="12"/>
      <c r="M274" s="12">
        <v>43497.0</v>
      </c>
      <c r="N274" s="2">
        <v>270.06</v>
      </c>
      <c r="O274" s="3">
        <v>43467.0</v>
      </c>
      <c r="P274" s="4" t="str">
        <f t="array" ref="P274">XLOOKUP(O274,Agregado!$B$2:$B$1511,Agregado!$G$2:$G$1511)</f>
        <v>#N/A</v>
      </c>
    </row>
    <row r="275" ht="15.75" customHeight="1">
      <c r="B275" s="13" t="s">
        <v>1194</v>
      </c>
      <c r="C275" s="7">
        <v>130746.15000000013</v>
      </c>
      <c r="D275" s="7">
        <v>101486.53800000012</v>
      </c>
      <c r="E275" s="7">
        <v>77512.11299999995</v>
      </c>
      <c r="F275" s="7">
        <f t="shared" si="1"/>
        <v>309744.801</v>
      </c>
      <c r="G275" s="14">
        <f t="shared" si="2"/>
        <v>0.003290855519</v>
      </c>
      <c r="I275" s="15">
        <v>45009.0</v>
      </c>
      <c r="J275" s="10">
        <v>45022.0</v>
      </c>
      <c r="K275" s="11">
        <v>-0.0054</v>
      </c>
      <c r="L275" s="12"/>
      <c r="M275" s="12">
        <v>43500.0</v>
      </c>
      <c r="N275" s="2">
        <v>271.96</v>
      </c>
      <c r="O275" s="3">
        <v>43557.0</v>
      </c>
      <c r="P275" s="4" t="str">
        <f t="array" ref="P275">XLOOKUP(O275,Agregado!$B$2:$B$1511,Agregado!$G$2:$G$1511)</f>
        <v>#N/A</v>
      </c>
    </row>
    <row r="276" ht="15.75" customHeight="1">
      <c r="B276" s="13" t="s">
        <v>1195</v>
      </c>
      <c r="C276" s="7">
        <v>130016.67200000012</v>
      </c>
      <c r="D276" s="7">
        <v>101717.57700000012</v>
      </c>
      <c r="E276" s="7">
        <v>77419.21699999996</v>
      </c>
      <c r="F276" s="7">
        <f t="shared" si="1"/>
        <v>309153.466</v>
      </c>
      <c r="G276" s="14">
        <f t="shared" si="2"/>
        <v>-0.001910928537</v>
      </c>
      <c r="I276" s="15">
        <v>45016.0</v>
      </c>
      <c r="J276" s="10">
        <v>45030.0</v>
      </c>
      <c r="K276" s="11">
        <v>0.0135</v>
      </c>
      <c r="L276" s="12"/>
      <c r="M276" s="12">
        <v>43501.0</v>
      </c>
      <c r="N276" s="2">
        <v>273.1</v>
      </c>
      <c r="O276" s="3">
        <v>43587.0</v>
      </c>
      <c r="P276" s="4" t="str">
        <f t="array" ref="P276">XLOOKUP(O276,Agregado!$B$2:$B$1511,Agregado!$G$2:$G$1511)</f>
        <v>#N/A</v>
      </c>
    </row>
    <row r="277" ht="15.75" customHeight="1">
      <c r="B277" s="13" t="s">
        <v>1196</v>
      </c>
      <c r="C277" s="7">
        <v>130927.89900000012</v>
      </c>
      <c r="D277" s="7">
        <v>101717.57700000012</v>
      </c>
      <c r="E277" s="7">
        <v>77432.29499999995</v>
      </c>
      <c r="F277" s="7">
        <f t="shared" si="1"/>
        <v>310077.771</v>
      </c>
      <c r="G277" s="14">
        <f t="shared" si="2"/>
        <v>0.002985332881</v>
      </c>
      <c r="I277" s="15">
        <v>45022.0</v>
      </c>
      <c r="J277" s="10">
        <v>45037.0</v>
      </c>
      <c r="K277" s="11">
        <v>-7.79999999999999E-4</v>
      </c>
      <c r="L277" s="12"/>
      <c r="M277" s="12">
        <v>43502.0</v>
      </c>
      <c r="N277" s="2">
        <v>272.74</v>
      </c>
      <c r="O277" s="3">
        <v>43618.0</v>
      </c>
      <c r="P277" s="4" t="str">
        <f t="array" ref="P277">XLOOKUP(O277,Agregado!$B$2:$B$1511,Agregado!$G$2:$G$1511)</f>
        <v>#N/A</v>
      </c>
    </row>
    <row r="278" ht="15.75" customHeight="1">
      <c r="B278" s="13" t="s">
        <v>1197</v>
      </c>
      <c r="C278" s="7">
        <v>130750.26000000013</v>
      </c>
      <c r="D278" s="7">
        <v>101800.06100000012</v>
      </c>
      <c r="E278" s="7">
        <v>77369.64199999995</v>
      </c>
      <c r="F278" s="7">
        <f t="shared" si="1"/>
        <v>309919.963</v>
      </c>
      <c r="G278" s="14">
        <f t="shared" si="2"/>
        <v>-0.000509059936</v>
      </c>
      <c r="I278" s="15">
        <v>45030.0</v>
      </c>
      <c r="J278" s="10">
        <v>45044.0</v>
      </c>
      <c r="K278" s="11">
        <v>7.79999999999999E-4</v>
      </c>
      <c r="L278" s="12"/>
      <c r="M278" s="12">
        <v>43503.0</v>
      </c>
      <c r="N278" s="2">
        <v>270.14</v>
      </c>
      <c r="O278" s="3">
        <v>43648.0</v>
      </c>
      <c r="P278" s="4" t="str">
        <f t="array" ref="P278">XLOOKUP(O278,Agregado!$B$2:$B$1511,Agregado!$G$2:$G$1511)</f>
        <v>#N/A</v>
      </c>
    </row>
    <row r="279" ht="15.75" customHeight="1">
      <c r="B279" s="13" t="s">
        <v>1198</v>
      </c>
      <c r="C279" s="7">
        <v>130423.01000000013</v>
      </c>
      <c r="D279" s="7">
        <v>101608.00800000012</v>
      </c>
      <c r="E279" s="7">
        <v>77250.78499999995</v>
      </c>
      <c r="F279" s="7">
        <f t="shared" si="1"/>
        <v>309281.803</v>
      </c>
      <c r="G279" s="14">
        <f t="shared" si="2"/>
        <v>-0.002061235161</v>
      </c>
      <c r="I279" s="15">
        <v>45037.0</v>
      </c>
      <c r="J279" s="10">
        <v>45051.0</v>
      </c>
      <c r="K279" s="11">
        <v>0.0</v>
      </c>
      <c r="L279" s="12"/>
      <c r="M279" s="12">
        <v>43504.0</v>
      </c>
      <c r="N279" s="2">
        <v>270.47</v>
      </c>
      <c r="O279" s="3">
        <v>43679.0</v>
      </c>
      <c r="P279" s="4" t="str">
        <f t="array" ref="P279">XLOOKUP(O279,Agregado!$B$2:$B$1511,Agregado!$G$2:$G$1511)</f>
        <v>#N/A</v>
      </c>
    </row>
    <row r="280" ht="15.75" customHeight="1">
      <c r="B280" s="13" t="s">
        <v>1199</v>
      </c>
      <c r="C280" s="7">
        <v>130220.36000000013</v>
      </c>
      <c r="D280" s="7">
        <v>101308.99200000011</v>
      </c>
      <c r="E280" s="7">
        <v>77250.79999999994</v>
      </c>
      <c r="F280" s="7">
        <f t="shared" si="1"/>
        <v>308780.152</v>
      </c>
      <c r="G280" s="14">
        <f t="shared" si="2"/>
        <v>-0.001623303638</v>
      </c>
      <c r="I280" s="15">
        <v>45044.0</v>
      </c>
      <c r="J280" s="10">
        <v>45058.0</v>
      </c>
      <c r="K280" s="11">
        <v>0.00705999999999999</v>
      </c>
      <c r="L280" s="12"/>
      <c r="M280" s="12">
        <v>43507.0</v>
      </c>
      <c r="N280" s="2">
        <v>270.62</v>
      </c>
      <c r="O280" s="3">
        <v>43771.0</v>
      </c>
      <c r="P280" s="4" t="str">
        <f t="array" ref="P280">XLOOKUP(O280,Agregado!$B$2:$B$1511,Agregado!$G$2:$G$1511)</f>
        <v>#N/A</v>
      </c>
    </row>
    <row r="281" ht="15.75" customHeight="1">
      <c r="B281" s="13" t="s">
        <v>1200</v>
      </c>
      <c r="C281" s="7">
        <v>130220.36000000013</v>
      </c>
      <c r="D281" s="7">
        <v>101349.80800000012</v>
      </c>
      <c r="E281" s="7">
        <v>77120.58399999994</v>
      </c>
      <c r="F281" s="7">
        <f t="shared" si="1"/>
        <v>308690.752</v>
      </c>
      <c r="G281" s="14">
        <f t="shared" si="2"/>
        <v>-0.0002895683021</v>
      </c>
      <c r="I281" s="15">
        <v>45051.0</v>
      </c>
      <c r="J281" s="10">
        <v>45065.0</v>
      </c>
      <c r="K281" s="11">
        <v>0.00401</v>
      </c>
      <c r="L281" s="12"/>
      <c r="M281" s="12">
        <v>43508.0</v>
      </c>
      <c r="N281" s="2">
        <v>274.1</v>
      </c>
      <c r="O281" s="3">
        <v>43801.0</v>
      </c>
      <c r="P281" s="4" t="str">
        <f t="array" ref="P281">XLOOKUP(O281,Agregado!$B$2:$B$1511,Agregado!$G$2:$G$1511)</f>
        <v>#N/A</v>
      </c>
    </row>
    <row r="282" ht="15.75" customHeight="1">
      <c r="B282" s="13" t="s">
        <v>1201</v>
      </c>
      <c r="C282" s="7">
        <v>131072.94200000013</v>
      </c>
      <c r="D282" s="7">
        <v>101349.80800000012</v>
      </c>
      <c r="E282" s="7">
        <v>77015.21499999994</v>
      </c>
      <c r="F282" s="7">
        <f t="shared" si="1"/>
        <v>309437.965</v>
      </c>
      <c r="G282" s="14">
        <f t="shared" si="2"/>
        <v>0.002417662676</v>
      </c>
      <c r="I282" s="15">
        <v>45058.0</v>
      </c>
      <c r="J282" s="10">
        <v>45072.0</v>
      </c>
      <c r="K282" s="11">
        <v>0.00915</v>
      </c>
      <c r="L282" s="12"/>
      <c r="M282" s="12">
        <v>43509.0</v>
      </c>
      <c r="N282" s="2">
        <v>274.99</v>
      </c>
      <c r="O282" s="3" t="s">
        <v>166</v>
      </c>
      <c r="P282" s="4" t="str">
        <f t="array" ref="P282">XLOOKUP(O282,Agregado!$B$2:$B$1511,Agregado!$G$2:$G$1511)</f>
        <v>#N/A</v>
      </c>
    </row>
    <row r="283" ht="15.75" customHeight="1">
      <c r="B283" s="13" t="s">
        <v>1202</v>
      </c>
      <c r="C283" s="7">
        <v>132005.08900000012</v>
      </c>
      <c r="D283" s="7">
        <v>101432.55800000012</v>
      </c>
      <c r="E283" s="7">
        <v>77469.51299999993</v>
      </c>
      <c r="F283" s="7">
        <f t="shared" si="1"/>
        <v>310907.16</v>
      </c>
      <c r="G283" s="14">
        <f t="shared" si="2"/>
        <v>0.004736710865</v>
      </c>
      <c r="I283" s="15">
        <v>45065.0</v>
      </c>
      <c r="J283" s="10">
        <v>45079.0</v>
      </c>
      <c r="K283" s="11">
        <v>0.00868</v>
      </c>
      <c r="L283" s="12"/>
      <c r="M283" s="12">
        <v>43510.0</v>
      </c>
      <c r="N283" s="2">
        <v>274.38</v>
      </c>
      <c r="O283" s="3" t="s">
        <v>167</v>
      </c>
      <c r="P283" s="4" t="str">
        <f t="array" ref="P283">XLOOKUP(O283,Agregado!$B$2:$B$1511,Agregado!$G$2:$G$1511)</f>
        <v>#N/A</v>
      </c>
    </row>
    <row r="284" ht="15.75" customHeight="1">
      <c r="B284" s="13" t="s">
        <v>1203</v>
      </c>
      <c r="C284" s="7">
        <v>132266.34800000011</v>
      </c>
      <c r="D284" s="7">
        <v>101806.08600000013</v>
      </c>
      <c r="E284" s="7">
        <v>77533.12999999993</v>
      </c>
      <c r="F284" s="7">
        <f t="shared" si="1"/>
        <v>311605.564</v>
      </c>
      <c r="G284" s="14">
        <f t="shared" si="2"/>
        <v>0.00224382335</v>
      </c>
      <c r="I284" s="15">
        <v>45072.0</v>
      </c>
      <c r="J284" s="10">
        <v>45086.0</v>
      </c>
      <c r="K284" s="11">
        <v>8.80000000000001E-4</v>
      </c>
      <c r="L284" s="12"/>
      <c r="M284" s="12">
        <v>43511.0</v>
      </c>
      <c r="N284" s="2">
        <v>277.37</v>
      </c>
      <c r="O284" s="3" t="s">
        <v>168</v>
      </c>
      <c r="P284" s="4" t="str">
        <f t="array" ref="P284">XLOOKUP(O284,Agregado!$B$2:$B$1511,Agregado!$G$2:$G$1511)</f>
        <v>#N/A</v>
      </c>
    </row>
    <row r="285" ht="15.75" customHeight="1">
      <c r="B285" s="13" t="s">
        <v>1204</v>
      </c>
      <c r="C285" s="7">
        <v>130043.89800000012</v>
      </c>
      <c r="D285" s="7">
        <v>101681.86400000013</v>
      </c>
      <c r="E285" s="7">
        <v>77508.07499999994</v>
      </c>
      <c r="F285" s="7">
        <f t="shared" si="1"/>
        <v>309233.837</v>
      </c>
      <c r="G285" s="14">
        <f t="shared" si="2"/>
        <v>-0.007640425314</v>
      </c>
      <c r="I285" s="15">
        <v>45079.0</v>
      </c>
      <c r="J285" s="10">
        <v>45093.0</v>
      </c>
      <c r="K285" s="11">
        <v>-0.00485</v>
      </c>
      <c r="L285" s="12"/>
      <c r="M285" s="12">
        <v>43515.0</v>
      </c>
      <c r="N285" s="2">
        <v>277.85</v>
      </c>
      <c r="O285" s="3" t="s">
        <v>169</v>
      </c>
      <c r="P285" s="4" t="str">
        <f t="array" ref="P285">XLOOKUP(O285,Agregado!$B$2:$B$1511,Agregado!$G$2:$G$1511)</f>
        <v>#N/A</v>
      </c>
    </row>
    <row r="286" ht="15.75" customHeight="1">
      <c r="B286" s="13" t="s">
        <v>1205</v>
      </c>
      <c r="C286" s="7">
        <v>129613.97100000012</v>
      </c>
      <c r="D286" s="7">
        <v>101905.12400000013</v>
      </c>
      <c r="E286" s="7">
        <v>77514.78599999993</v>
      </c>
      <c r="F286" s="7">
        <f t="shared" si="1"/>
        <v>309033.881</v>
      </c>
      <c r="G286" s="14">
        <f t="shared" si="2"/>
        <v>-0.000646826613</v>
      </c>
      <c r="I286" s="15">
        <v>45086.0</v>
      </c>
      <c r="J286" s="10">
        <v>45100.0</v>
      </c>
      <c r="K286" s="11">
        <v>0.00184999999999999</v>
      </c>
      <c r="L286" s="12"/>
      <c r="M286" s="12">
        <v>43516.0</v>
      </c>
      <c r="N286" s="2">
        <v>278.41</v>
      </c>
      <c r="O286" s="3" t="s">
        <v>170</v>
      </c>
      <c r="P286" s="4" t="str">
        <f t="array" ref="P286">XLOOKUP(O286,Agregado!$B$2:$B$1511,Agregado!$G$2:$G$1511)</f>
        <v>#N/A</v>
      </c>
    </row>
    <row r="287" ht="15.75" customHeight="1">
      <c r="B287" s="13" t="s">
        <v>1206</v>
      </c>
      <c r="C287" s="7">
        <v>131336.37100000013</v>
      </c>
      <c r="D287" s="7">
        <v>102086.80600000013</v>
      </c>
      <c r="E287" s="7">
        <v>77618.94599999994</v>
      </c>
      <c r="F287" s="7">
        <f t="shared" si="1"/>
        <v>311042.123</v>
      </c>
      <c r="G287" s="14">
        <f t="shared" si="2"/>
        <v>0.006477428601</v>
      </c>
      <c r="I287" s="15">
        <v>45093.0</v>
      </c>
      <c r="J287" s="10">
        <v>45107.0</v>
      </c>
      <c r="K287" s="11">
        <v>0.03236</v>
      </c>
      <c r="L287" s="12"/>
      <c r="M287" s="12">
        <v>43517.0</v>
      </c>
      <c r="N287" s="2">
        <v>277.42</v>
      </c>
      <c r="O287" s="3" t="s">
        <v>171</v>
      </c>
      <c r="P287" s="4" t="str">
        <f t="array" ref="P287">XLOOKUP(O287,Agregado!$B$2:$B$1511,Agregado!$G$2:$G$1511)</f>
        <v>#N/A</v>
      </c>
    </row>
    <row r="288" ht="15.75" customHeight="1">
      <c r="B288" s="13" t="s">
        <v>1207</v>
      </c>
      <c r="C288" s="7">
        <v>130042.03000000013</v>
      </c>
      <c r="D288" s="7">
        <v>102268.84700000013</v>
      </c>
      <c r="E288" s="7">
        <v>77644.89999999994</v>
      </c>
      <c r="F288" s="7">
        <f t="shared" si="1"/>
        <v>309955.777</v>
      </c>
      <c r="G288" s="14">
        <f t="shared" si="2"/>
        <v>-0.003498714273</v>
      </c>
      <c r="I288" s="15">
        <v>45100.0</v>
      </c>
      <c r="J288" s="10">
        <v>45114.0</v>
      </c>
      <c r="K288" s="11">
        <v>0.00270999999999999</v>
      </c>
      <c r="L288" s="12"/>
      <c r="M288" s="12">
        <v>43518.0</v>
      </c>
      <c r="N288" s="2">
        <v>279.14</v>
      </c>
      <c r="O288" s="3" t="s">
        <v>172</v>
      </c>
      <c r="P288" s="4" t="str">
        <f t="array" ref="P288">XLOOKUP(O288,Agregado!$B$2:$B$1511,Agregado!$G$2:$G$1511)</f>
        <v>#N/A</v>
      </c>
    </row>
    <row r="289" ht="15.75" customHeight="1">
      <c r="B289" s="13" t="s">
        <v>1208</v>
      </c>
      <c r="C289" s="7">
        <v>130749.39200000012</v>
      </c>
      <c r="D289" s="7">
        <v>102129.29700000012</v>
      </c>
      <c r="E289" s="7">
        <v>77657.64999999994</v>
      </c>
      <c r="F289" s="7">
        <f t="shared" si="1"/>
        <v>310536.339</v>
      </c>
      <c r="G289" s="14">
        <f t="shared" si="2"/>
        <v>0.001871295878</v>
      </c>
      <c r="I289" s="15">
        <v>45107.0</v>
      </c>
      <c r="J289" s="10">
        <v>45121.0</v>
      </c>
      <c r="K289" s="11">
        <v>0.00832999999999999</v>
      </c>
      <c r="L289" s="12"/>
      <c r="M289" s="12">
        <v>43521.0</v>
      </c>
      <c r="N289" s="2">
        <v>279.52</v>
      </c>
      <c r="O289" s="3" t="s">
        <v>173</v>
      </c>
      <c r="P289" s="4" t="str">
        <f t="array" ref="P289">XLOOKUP(O289,Agregado!$B$2:$B$1511,Agregado!$G$2:$G$1511)</f>
        <v>#N/A</v>
      </c>
    </row>
    <row r="290" ht="15.75" customHeight="1">
      <c r="B290" s="13" t="s">
        <v>1209</v>
      </c>
      <c r="C290" s="7">
        <v>131098.36100000012</v>
      </c>
      <c r="D290" s="7">
        <v>102030.98200000012</v>
      </c>
      <c r="E290" s="7">
        <v>77658.66399999993</v>
      </c>
      <c r="F290" s="7">
        <f t="shared" si="1"/>
        <v>310788.007</v>
      </c>
      <c r="G290" s="14">
        <f t="shared" si="2"/>
        <v>0.0008101018909</v>
      </c>
      <c r="I290" s="15">
        <v>45114.0</v>
      </c>
      <c r="J290" s="10">
        <v>45128.0</v>
      </c>
      <c r="K290" s="11">
        <v>0.00261999999999999</v>
      </c>
      <c r="L290" s="12"/>
      <c r="M290" s="12">
        <v>43522.0</v>
      </c>
      <c r="N290" s="2">
        <v>279.32</v>
      </c>
      <c r="O290" s="3" t="s">
        <v>174</v>
      </c>
      <c r="P290" s="4" t="str">
        <f t="array" ref="P290">XLOOKUP(O290,Agregado!$B$2:$B$1511,Agregado!$G$2:$G$1511)</f>
        <v>#N/A</v>
      </c>
    </row>
    <row r="291" ht="15.75" customHeight="1">
      <c r="B291" s="13" t="s">
        <v>1210</v>
      </c>
      <c r="C291" s="7">
        <v>134313.2640000001</v>
      </c>
      <c r="D291" s="7">
        <v>102016.91800000012</v>
      </c>
      <c r="E291" s="7">
        <v>77568.71699999993</v>
      </c>
      <c r="F291" s="7">
        <f t="shared" si="1"/>
        <v>313898.899</v>
      </c>
      <c r="G291" s="14">
        <f t="shared" si="2"/>
        <v>0.009959926122</v>
      </c>
      <c r="I291" s="15">
        <v>45121.0</v>
      </c>
      <c r="J291" s="10">
        <v>45135.0</v>
      </c>
      <c r="K291" s="11">
        <v>0.00772</v>
      </c>
      <c r="L291" s="12"/>
      <c r="M291" s="12">
        <v>43523.0</v>
      </c>
      <c r="N291" s="2">
        <v>279.2</v>
      </c>
      <c r="O291" s="3" t="s">
        <v>175</v>
      </c>
      <c r="P291" s="4" t="str">
        <f t="array" ref="P291">XLOOKUP(O291,Agregado!$B$2:$B$1511,Agregado!$G$2:$G$1511)</f>
        <v>#N/A</v>
      </c>
    </row>
    <row r="292" ht="15.75" customHeight="1">
      <c r="B292" s="13" t="s">
        <v>1211</v>
      </c>
      <c r="C292" s="7">
        <v>133293.67400000012</v>
      </c>
      <c r="D292" s="7">
        <v>101932.59900000012</v>
      </c>
      <c r="E292" s="7">
        <v>77498.09999999993</v>
      </c>
      <c r="F292" s="7">
        <f t="shared" si="1"/>
        <v>312724.373</v>
      </c>
      <c r="G292" s="14">
        <f t="shared" si="2"/>
        <v>-0.003748751213</v>
      </c>
      <c r="I292" s="15">
        <v>45128.0</v>
      </c>
      <c r="J292" s="10">
        <v>45142.0</v>
      </c>
      <c r="K292" s="11">
        <v>-0.00637</v>
      </c>
      <c r="L292" s="12"/>
      <c r="M292" s="12">
        <v>43524.0</v>
      </c>
      <c r="N292" s="2">
        <v>278.68</v>
      </c>
      <c r="O292" s="3" t="s">
        <v>176</v>
      </c>
      <c r="P292" s="4" t="str">
        <f t="array" ref="P292">XLOOKUP(O292,Agregado!$B$2:$B$1511,Agregado!$G$2:$G$1511)</f>
        <v>#N/A</v>
      </c>
    </row>
    <row r="293" ht="15.75" customHeight="1">
      <c r="B293" s="13" t="s">
        <v>1212</v>
      </c>
      <c r="C293" s="7">
        <v>132805.01900000012</v>
      </c>
      <c r="D293" s="7">
        <v>101876.40800000011</v>
      </c>
      <c r="E293" s="7">
        <v>77312.08099999993</v>
      </c>
      <c r="F293" s="7">
        <f t="shared" si="1"/>
        <v>311993.508</v>
      </c>
      <c r="G293" s="14">
        <f t="shared" si="2"/>
        <v>-0.002339825242</v>
      </c>
      <c r="I293" s="15">
        <v>45135.0</v>
      </c>
      <c r="J293" s="10">
        <v>45149.0</v>
      </c>
      <c r="K293" s="11">
        <v>0.00594999999999999</v>
      </c>
      <c r="L293" s="12"/>
      <c r="M293" s="12">
        <v>43525.0</v>
      </c>
      <c r="N293" s="2">
        <v>280.42</v>
      </c>
      <c r="O293" s="3">
        <v>43468.0</v>
      </c>
      <c r="P293" s="4" t="str">
        <f t="array" ref="P293">XLOOKUP(O293,Agregado!$B$2:$B$1511,Agregado!$G$2:$G$1511)</f>
        <v>#N/A</v>
      </c>
    </row>
    <row r="294" ht="15.75" customHeight="1">
      <c r="B294" s="13" t="s">
        <v>1213</v>
      </c>
      <c r="C294" s="7">
        <v>133835.56800000012</v>
      </c>
      <c r="D294" s="7">
        <v>101778.32200000012</v>
      </c>
      <c r="E294" s="7">
        <v>77313.11599999994</v>
      </c>
      <c r="F294" s="7">
        <f t="shared" si="1"/>
        <v>312927.006</v>
      </c>
      <c r="G294" s="14">
        <f t="shared" si="2"/>
        <v>0.002987575775</v>
      </c>
      <c r="I294" s="15">
        <v>45142.0</v>
      </c>
      <c r="J294" s="10">
        <v>45156.0</v>
      </c>
      <c r="K294" s="11">
        <v>-0.00511999999999999</v>
      </c>
      <c r="L294" s="12"/>
      <c r="M294" s="12">
        <v>43528.0</v>
      </c>
      <c r="N294" s="2">
        <v>279.4</v>
      </c>
      <c r="O294" s="3">
        <v>43558.0</v>
      </c>
      <c r="P294" s="4" t="str">
        <f t="array" ref="P294">XLOOKUP(O294,Agregado!$B$2:$B$1511,Agregado!$G$2:$G$1511)</f>
        <v>#N/A</v>
      </c>
    </row>
    <row r="295" ht="15.75" customHeight="1">
      <c r="B295" s="13" t="s">
        <v>1214</v>
      </c>
      <c r="C295" s="7">
        <v>133611.2050000001</v>
      </c>
      <c r="D295" s="7">
        <v>101975.85600000012</v>
      </c>
      <c r="E295" s="7">
        <v>77346.23799999994</v>
      </c>
      <c r="F295" s="7">
        <f t="shared" si="1"/>
        <v>312933.299</v>
      </c>
      <c r="G295" s="14">
        <f t="shared" si="2"/>
        <v>0.00002010991894</v>
      </c>
      <c r="I295" s="15">
        <v>45149.0</v>
      </c>
      <c r="J295" s="10">
        <v>45163.0</v>
      </c>
      <c r="K295" s="11">
        <v>-0.00909</v>
      </c>
      <c r="L295" s="12"/>
      <c r="M295" s="12">
        <v>43529.0</v>
      </c>
      <c r="N295" s="2">
        <v>279.02</v>
      </c>
      <c r="O295" s="3">
        <v>43588.0</v>
      </c>
      <c r="P295" s="4" t="str">
        <f t="array" ref="P295">XLOOKUP(O295,Agregado!$B$2:$B$1511,Agregado!$G$2:$G$1511)</f>
        <v>#N/A</v>
      </c>
    </row>
    <row r="296" ht="15.75" customHeight="1">
      <c r="B296" s="13" t="s">
        <v>1215</v>
      </c>
      <c r="C296" s="7">
        <v>135077.9250000001</v>
      </c>
      <c r="D296" s="7">
        <v>102144.51700000011</v>
      </c>
      <c r="E296" s="7">
        <v>77232.61799999994</v>
      </c>
      <c r="F296" s="7">
        <f t="shared" si="1"/>
        <v>314455.06</v>
      </c>
      <c r="G296" s="14">
        <f t="shared" si="2"/>
        <v>0.004851106854</v>
      </c>
      <c r="I296" s="15">
        <v>45156.0</v>
      </c>
      <c r="J296" s="10">
        <v>45170.0</v>
      </c>
      <c r="K296" s="11">
        <v>0.00972</v>
      </c>
      <c r="L296" s="12"/>
      <c r="M296" s="12">
        <v>43530.0</v>
      </c>
      <c r="N296" s="2">
        <v>277.33</v>
      </c>
      <c r="O296" s="3">
        <v>43619.0</v>
      </c>
      <c r="P296" s="4" t="str">
        <f t="array" ref="P296">XLOOKUP(O296,Agregado!$B$2:$B$1511,Agregado!$G$2:$G$1511)</f>
        <v>#N/A</v>
      </c>
    </row>
    <row r="297" ht="15.75" customHeight="1">
      <c r="B297" s="13" t="s">
        <v>1216</v>
      </c>
      <c r="C297" s="7">
        <v>133277.9290000001</v>
      </c>
      <c r="D297" s="7">
        <v>102228.7550000001</v>
      </c>
      <c r="E297" s="7">
        <v>77247.49899999994</v>
      </c>
      <c r="F297" s="7">
        <f t="shared" si="1"/>
        <v>312754.183</v>
      </c>
      <c r="G297" s="14">
        <f t="shared" si="2"/>
        <v>-0.005423648291</v>
      </c>
      <c r="I297" s="15">
        <v>45163.0</v>
      </c>
      <c r="J297" s="10">
        <v>45177.0</v>
      </c>
      <c r="K297" s="11">
        <v>0.00375</v>
      </c>
      <c r="L297" s="12"/>
      <c r="M297" s="12">
        <v>43531.0</v>
      </c>
      <c r="N297" s="2">
        <v>275.01</v>
      </c>
      <c r="O297" s="3">
        <v>43649.0</v>
      </c>
      <c r="P297" s="4" t="str">
        <f t="array" ref="P297">XLOOKUP(O297,Agregado!$B$2:$B$1511,Agregado!$G$2:$G$1511)</f>
        <v>#N/A</v>
      </c>
    </row>
    <row r="298" ht="15.75" customHeight="1">
      <c r="B298" s="13" t="s">
        <v>1217</v>
      </c>
      <c r="C298" s="7">
        <v>130727.0700000001</v>
      </c>
      <c r="D298" s="7">
        <v>102493.7810000001</v>
      </c>
      <c r="E298" s="7">
        <v>77126.98799999994</v>
      </c>
      <c r="F298" s="7">
        <f t="shared" si="1"/>
        <v>310347.839</v>
      </c>
      <c r="G298" s="14">
        <f t="shared" si="2"/>
        <v>-0.007723794428</v>
      </c>
      <c r="I298" s="15">
        <v>45170.0</v>
      </c>
      <c r="J298" s="10">
        <v>45184.0</v>
      </c>
      <c r="K298" s="11">
        <v>0.00351999999999999</v>
      </c>
      <c r="L298" s="12"/>
      <c r="M298" s="12">
        <v>43532.0</v>
      </c>
      <c r="N298" s="2">
        <v>274.46</v>
      </c>
      <c r="O298" s="3">
        <v>43680.0</v>
      </c>
      <c r="P298" s="4" t="str">
        <f t="array" ref="P298">XLOOKUP(O298,Agregado!$B$2:$B$1511,Agregado!$G$2:$G$1511)</f>
        <v>#N/A</v>
      </c>
    </row>
    <row r="299" ht="15.75" customHeight="1">
      <c r="B299" s="13" t="s">
        <v>1218</v>
      </c>
      <c r="C299" s="7">
        <v>128994.07600000009</v>
      </c>
      <c r="D299" s="7">
        <v>102300.04400000011</v>
      </c>
      <c r="E299" s="7">
        <v>76223.32099999994</v>
      </c>
      <c r="F299" s="7">
        <f t="shared" si="1"/>
        <v>307517.441</v>
      </c>
      <c r="G299" s="14">
        <f t="shared" si="2"/>
        <v>-0.009161925392</v>
      </c>
      <c r="I299" s="15">
        <v>45177.0</v>
      </c>
      <c r="J299" s="10">
        <v>45191.0</v>
      </c>
      <c r="K299" s="11">
        <v>0.00536</v>
      </c>
      <c r="L299" s="12"/>
      <c r="M299" s="12">
        <v>43535.0</v>
      </c>
      <c r="N299" s="2">
        <v>278.44</v>
      </c>
      <c r="O299" s="3">
        <v>43772.0</v>
      </c>
      <c r="P299" s="4" t="str">
        <f t="array" ref="P299">XLOOKUP(O299,Agregado!$B$2:$B$1511,Agregado!$G$2:$G$1511)</f>
        <v>#N/A</v>
      </c>
    </row>
    <row r="300" ht="15.75" customHeight="1">
      <c r="B300" s="13" t="s">
        <v>1219</v>
      </c>
      <c r="C300" s="7">
        <v>127786.19600000008</v>
      </c>
      <c r="D300" s="7">
        <v>102148.13100000011</v>
      </c>
      <c r="E300" s="7">
        <v>76058.29999999994</v>
      </c>
      <c r="F300" s="7">
        <f t="shared" si="1"/>
        <v>305992.627</v>
      </c>
      <c r="G300" s="14">
        <f t="shared" si="2"/>
        <v>-0.004970797446</v>
      </c>
      <c r="I300" s="15">
        <v>45184.0</v>
      </c>
      <c r="J300" s="10">
        <v>45198.0</v>
      </c>
      <c r="K300" s="11">
        <v>0.00923</v>
      </c>
      <c r="L300" s="12"/>
      <c r="M300" s="12">
        <v>43536.0</v>
      </c>
      <c r="N300" s="2">
        <v>279.49</v>
      </c>
      <c r="O300" s="3">
        <v>43802.0</v>
      </c>
      <c r="P300" s="4" t="str">
        <f t="array" ref="P300">XLOOKUP(O300,Agregado!$B$2:$B$1511,Agregado!$G$2:$G$1511)</f>
        <v>#N/A</v>
      </c>
    </row>
    <row r="301" ht="15.75" customHeight="1">
      <c r="B301" s="13" t="s">
        <v>1220</v>
      </c>
      <c r="C301" s="7">
        <v>127688.71000000008</v>
      </c>
      <c r="D301" s="7">
        <v>106267.8990000001</v>
      </c>
      <c r="E301" s="7">
        <v>76096.92699999994</v>
      </c>
      <c r="F301" s="7">
        <f t="shared" si="1"/>
        <v>310053.536</v>
      </c>
      <c r="G301" s="14">
        <f t="shared" si="2"/>
        <v>0.01318397245</v>
      </c>
      <c r="I301" s="15">
        <v>45191.0</v>
      </c>
      <c r="J301" s="10">
        <v>45205.0</v>
      </c>
      <c r="K301" s="11">
        <v>1.7E-4</v>
      </c>
      <c r="L301" s="12"/>
      <c r="M301" s="12">
        <v>43537.0</v>
      </c>
      <c r="N301" s="2">
        <v>281.34</v>
      </c>
      <c r="O301" s="3" t="s">
        <v>177</v>
      </c>
      <c r="P301" s="4" t="str">
        <f t="array" ref="P301">XLOOKUP(O301,Agregado!$B$2:$B$1511,Agregado!$G$2:$G$1511)</f>
        <v>#N/A</v>
      </c>
    </row>
    <row r="302" ht="15.75" customHeight="1">
      <c r="B302" s="13" t="s">
        <v>1221</v>
      </c>
      <c r="C302" s="7">
        <v>130426.46200000007</v>
      </c>
      <c r="D302" s="7">
        <v>106239.7890000001</v>
      </c>
      <c r="E302" s="7">
        <v>79018.83699999994</v>
      </c>
      <c r="F302" s="7">
        <f t="shared" si="1"/>
        <v>315685.088</v>
      </c>
      <c r="G302" s="14">
        <f t="shared" si="2"/>
        <v>0.01800018039</v>
      </c>
      <c r="I302" s="15">
        <v>45198.0</v>
      </c>
      <c r="J302" s="10">
        <v>45212.0</v>
      </c>
      <c r="K302" s="11">
        <v>0.00270999999999999</v>
      </c>
      <c r="L302" s="12"/>
      <c r="M302" s="12">
        <v>43538.0</v>
      </c>
      <c r="N302" s="2">
        <v>281.16</v>
      </c>
      <c r="O302" s="3" t="s">
        <v>178</v>
      </c>
      <c r="P302" s="4" t="str">
        <f t="array" ref="P302">XLOOKUP(O302,Agregado!$B$2:$B$1511,Agregado!$G$2:$G$1511)</f>
        <v>#N/A</v>
      </c>
    </row>
    <row r="303" ht="15.75" customHeight="1">
      <c r="B303" s="13" t="s">
        <v>1222</v>
      </c>
      <c r="C303" s="7">
        <v>132480.06600000008</v>
      </c>
      <c r="D303" s="7">
        <v>106367.1710000001</v>
      </c>
      <c r="E303" s="7">
        <v>79079.31499999994</v>
      </c>
      <c r="F303" s="7">
        <f t="shared" si="1"/>
        <v>317926.552</v>
      </c>
      <c r="G303" s="14">
        <f t="shared" si="2"/>
        <v>0.007075227818</v>
      </c>
      <c r="I303" s="15">
        <v>45205.0</v>
      </c>
      <c r="J303" s="10">
        <v>45219.0</v>
      </c>
      <c r="K303" s="11">
        <v>0.00345</v>
      </c>
      <c r="L303" s="12"/>
      <c r="M303" s="12">
        <v>43539.0</v>
      </c>
      <c r="N303" s="2">
        <v>281.31</v>
      </c>
      <c r="O303" s="3" t="s">
        <v>179</v>
      </c>
      <c r="P303" s="4" t="str">
        <f t="array" ref="P303">XLOOKUP(O303,Agregado!$B$2:$B$1511,Agregado!$G$2:$G$1511)</f>
        <v>#N/A</v>
      </c>
    </row>
    <row r="304" ht="15.75" customHeight="1">
      <c r="B304" s="13" t="s">
        <v>1223</v>
      </c>
      <c r="C304" s="7">
        <v>129682.45800000007</v>
      </c>
      <c r="D304" s="7">
        <v>108757.8780000001</v>
      </c>
      <c r="E304" s="7">
        <v>80507.82599999994</v>
      </c>
      <c r="F304" s="7">
        <f t="shared" si="1"/>
        <v>318948.162</v>
      </c>
      <c r="G304" s="14">
        <f t="shared" si="2"/>
        <v>0.003208200463</v>
      </c>
      <c r="I304" s="15">
        <v>45212.0</v>
      </c>
      <c r="J304" s="10">
        <v>45226.0</v>
      </c>
      <c r="K304" s="11">
        <v>0.00791</v>
      </c>
      <c r="L304" s="12"/>
      <c r="M304" s="12">
        <v>43542.0</v>
      </c>
      <c r="N304" s="2">
        <v>282.33</v>
      </c>
      <c r="O304" s="3" t="s">
        <v>180</v>
      </c>
      <c r="P304" s="4" t="str">
        <f t="array" ref="P304">XLOOKUP(O304,Agregado!$B$2:$B$1511,Agregado!$G$2:$G$1511)</f>
        <v>#N/A</v>
      </c>
    </row>
    <row r="305" ht="15.75" customHeight="1">
      <c r="B305" s="13" t="s">
        <v>1224</v>
      </c>
      <c r="C305" s="7">
        <v>127924.06300000007</v>
      </c>
      <c r="D305" s="7">
        <v>108757.8780000001</v>
      </c>
      <c r="E305" s="7">
        <v>80731.69799999995</v>
      </c>
      <c r="F305" s="7">
        <f t="shared" si="1"/>
        <v>317413.639</v>
      </c>
      <c r="G305" s="14">
        <f t="shared" si="2"/>
        <v>-0.004822809829</v>
      </c>
      <c r="I305" s="15">
        <v>45219.0</v>
      </c>
      <c r="J305" s="10">
        <v>45233.0</v>
      </c>
      <c r="K305" s="11">
        <v>0.00149</v>
      </c>
      <c r="L305" s="12"/>
      <c r="M305" s="12">
        <v>43543.0</v>
      </c>
      <c r="N305" s="2">
        <v>282.4</v>
      </c>
      <c r="O305" s="3" t="s">
        <v>181</v>
      </c>
      <c r="P305" s="4" t="str">
        <f t="array" ref="P305">XLOOKUP(O305,Agregado!$B$2:$B$1511,Agregado!$G$2:$G$1511)</f>
        <v>#N/A</v>
      </c>
    </row>
    <row r="306" ht="15.75" customHeight="1">
      <c r="B306" s="13" t="s">
        <v>1225</v>
      </c>
      <c r="C306" s="7">
        <v>131919.86500000008</v>
      </c>
      <c r="D306" s="7">
        <v>108843.4980000001</v>
      </c>
      <c r="E306" s="7">
        <v>80836.57899999994</v>
      </c>
      <c r="F306" s="7">
        <f t="shared" si="1"/>
        <v>321599.942</v>
      </c>
      <c r="G306" s="14">
        <f t="shared" si="2"/>
        <v>0.01310257877</v>
      </c>
      <c r="I306" s="15">
        <v>45226.0</v>
      </c>
      <c r="J306" s="10">
        <v>45240.0</v>
      </c>
      <c r="K306" s="11">
        <v>0.01461</v>
      </c>
      <c r="L306" s="12"/>
      <c r="M306" s="12">
        <v>43544.0</v>
      </c>
      <c r="N306" s="2">
        <v>281.55</v>
      </c>
      <c r="O306" s="3" t="s">
        <v>182</v>
      </c>
      <c r="P306" s="4" t="str">
        <f t="array" ref="P306">XLOOKUP(O306,Agregado!$B$2:$B$1511,Agregado!$G$2:$G$1511)</f>
        <v>#N/A</v>
      </c>
    </row>
    <row r="307" ht="15.75" customHeight="1">
      <c r="B307" s="13" t="s">
        <v>1226</v>
      </c>
      <c r="C307" s="7">
        <v>133952.8860000001</v>
      </c>
      <c r="D307" s="7">
        <v>108515.31500000009</v>
      </c>
      <c r="E307" s="7">
        <v>80693.65699999993</v>
      </c>
      <c r="F307" s="7">
        <f t="shared" si="1"/>
        <v>323161.858</v>
      </c>
      <c r="G307" s="14">
        <f t="shared" si="2"/>
        <v>0.004844949112</v>
      </c>
      <c r="I307" s="15">
        <v>45233.0</v>
      </c>
      <c r="J307" s="10">
        <v>45247.0</v>
      </c>
      <c r="K307" s="11">
        <v>0.01423</v>
      </c>
      <c r="L307" s="12"/>
      <c r="M307" s="12">
        <v>43545.0</v>
      </c>
      <c r="N307" s="2">
        <v>284.73</v>
      </c>
      <c r="O307" s="3" t="s">
        <v>183</v>
      </c>
      <c r="P307" s="4" t="str">
        <f t="array" ref="P307">XLOOKUP(O307,Agregado!$B$2:$B$1511,Agregado!$G$2:$G$1511)</f>
        <v>#N/A</v>
      </c>
    </row>
    <row r="308" ht="15.75" customHeight="1">
      <c r="B308" s="13" t="s">
        <v>1227</v>
      </c>
      <c r="C308" s="7">
        <v>133643.1870000001</v>
      </c>
      <c r="D308" s="7">
        <v>108515.31500000009</v>
      </c>
      <c r="E308" s="7">
        <v>80875.64999999994</v>
      </c>
      <c r="F308" s="7">
        <f t="shared" si="1"/>
        <v>323034.152</v>
      </c>
      <c r="G308" s="14">
        <f t="shared" si="2"/>
        <v>-0.0003952546896</v>
      </c>
      <c r="I308" s="15">
        <v>45240.0</v>
      </c>
      <c r="J308" s="10">
        <v>45254.0</v>
      </c>
      <c r="K308" s="11">
        <v>-0.00394999999999999</v>
      </c>
      <c r="L308" s="12"/>
      <c r="M308" s="12">
        <v>43546.0</v>
      </c>
      <c r="N308" s="2">
        <v>279.25</v>
      </c>
      <c r="O308" s="3" t="s">
        <v>184</v>
      </c>
      <c r="P308" s="4" t="str">
        <f t="array" ref="P308">XLOOKUP(O308,Agregado!$B$2:$B$1511,Agregado!$G$2:$G$1511)</f>
        <v>#N/A</v>
      </c>
    </row>
    <row r="309" ht="15.75" customHeight="1">
      <c r="B309" s="13" t="s">
        <v>1228</v>
      </c>
      <c r="C309" s="7">
        <v>133984.7210000001</v>
      </c>
      <c r="D309" s="7">
        <v>108773.18700000009</v>
      </c>
      <c r="E309" s="7">
        <v>80777.64399999994</v>
      </c>
      <c r="F309" s="7">
        <f t="shared" si="1"/>
        <v>323535.552</v>
      </c>
      <c r="G309" s="14">
        <f t="shared" si="2"/>
        <v>0.001550954514</v>
      </c>
      <c r="I309" s="15">
        <v>45247.0</v>
      </c>
      <c r="J309" s="10">
        <v>45261.0</v>
      </c>
      <c r="K309" s="11">
        <v>0.0151499999999999</v>
      </c>
      <c r="L309" s="12"/>
      <c r="M309" s="12">
        <v>43549.0</v>
      </c>
      <c r="N309" s="2">
        <v>279.04</v>
      </c>
      <c r="O309" s="3" t="s">
        <v>185</v>
      </c>
      <c r="P309" s="4" t="str">
        <f t="array" ref="P309">XLOOKUP(O309,Agregado!$B$2:$B$1511,Agregado!$G$2:$G$1511)</f>
        <v>#N/A</v>
      </c>
    </row>
    <row r="310" ht="15.75" customHeight="1">
      <c r="B310" s="13" t="s">
        <v>1229</v>
      </c>
      <c r="C310" s="7">
        <v>132225.5640000001</v>
      </c>
      <c r="D310" s="7">
        <v>108843.4650000001</v>
      </c>
      <c r="E310" s="7">
        <v>80578.92599999995</v>
      </c>
      <c r="F310" s="7">
        <f t="shared" si="1"/>
        <v>321647.955</v>
      </c>
      <c r="G310" s="14">
        <f t="shared" si="2"/>
        <v>-0.005851365899</v>
      </c>
      <c r="I310" s="15">
        <v>45254.0</v>
      </c>
      <c r="J310" s="10">
        <v>45268.0</v>
      </c>
      <c r="K310" s="11">
        <v>0.0109299999999999</v>
      </c>
      <c r="L310" s="12"/>
      <c r="M310" s="12">
        <v>43550.0</v>
      </c>
      <c r="N310" s="2">
        <v>281.12</v>
      </c>
      <c r="O310" s="3" t="s">
        <v>186</v>
      </c>
      <c r="P310" s="4" t="str">
        <f t="array" ref="P310">XLOOKUP(O310,Agregado!$B$2:$B$1511,Agregado!$G$2:$G$1511)</f>
        <v>#N/A</v>
      </c>
    </row>
    <row r="311" ht="15.75" customHeight="1">
      <c r="B311" s="13" t="s">
        <v>1230</v>
      </c>
      <c r="C311" s="7">
        <v>132127.9080000001</v>
      </c>
      <c r="D311" s="7">
        <v>108969.8680000001</v>
      </c>
      <c r="E311" s="7">
        <v>80606.79899999996</v>
      </c>
      <c r="F311" s="7">
        <f t="shared" si="1"/>
        <v>321704.575</v>
      </c>
      <c r="G311" s="14">
        <f t="shared" si="2"/>
        <v>0.0001760154737</v>
      </c>
      <c r="I311" s="15">
        <v>45261.0</v>
      </c>
      <c r="J311" s="10">
        <v>45275.0</v>
      </c>
      <c r="K311" s="11">
        <v>0.01679</v>
      </c>
      <c r="L311" s="12"/>
      <c r="M311" s="12">
        <v>43551.0</v>
      </c>
      <c r="N311" s="2">
        <v>279.65</v>
      </c>
      <c r="O311" s="3" t="s">
        <v>187</v>
      </c>
      <c r="P311" s="4" t="str">
        <f t="array" ref="P311">XLOOKUP(O311,Agregado!$B$2:$B$1511,Agregado!$G$2:$G$1511)</f>
        <v>#N/A</v>
      </c>
    </row>
    <row r="312" ht="15.75" customHeight="1">
      <c r="B312" s="13" t="s">
        <v>1231</v>
      </c>
      <c r="C312" s="7">
        <v>130919.52200000011</v>
      </c>
      <c r="D312" s="7">
        <v>108899.1400000001</v>
      </c>
      <c r="E312" s="7">
        <v>80661.84799999995</v>
      </c>
      <c r="F312" s="7">
        <f t="shared" si="1"/>
        <v>320480.51</v>
      </c>
      <c r="G312" s="14">
        <f t="shared" si="2"/>
        <v>-0.003812192189</v>
      </c>
      <c r="I312" s="15">
        <v>45268.0</v>
      </c>
      <c r="J312" s="10">
        <v>45282.0</v>
      </c>
      <c r="K312" s="11">
        <v>0.03655</v>
      </c>
      <c r="L312" s="12"/>
      <c r="M312" s="12">
        <v>43552.0</v>
      </c>
      <c r="N312" s="2">
        <v>280.71</v>
      </c>
      <c r="O312" s="3" t="s">
        <v>188</v>
      </c>
      <c r="P312" s="4" t="str">
        <f t="array" ref="P312">XLOOKUP(O312,Agregado!$B$2:$B$1511,Agregado!$G$2:$G$1511)</f>
        <v>#N/A</v>
      </c>
    </row>
    <row r="313" ht="15.75" customHeight="1">
      <c r="B313" s="13" t="s">
        <v>1232</v>
      </c>
      <c r="C313" s="7">
        <v>131940.49900000013</v>
      </c>
      <c r="D313" s="7">
        <v>109124.4200000001</v>
      </c>
      <c r="E313" s="7">
        <v>80816.38899999995</v>
      </c>
      <c r="F313" s="7">
        <f t="shared" si="1"/>
        <v>321881.308</v>
      </c>
      <c r="G313" s="14">
        <f t="shared" si="2"/>
        <v>0.004361405617</v>
      </c>
      <c r="I313" s="15">
        <v>45275.0</v>
      </c>
      <c r="J313" s="10">
        <v>45289.0</v>
      </c>
      <c r="K313" s="11">
        <v>0.01019</v>
      </c>
      <c r="L313" s="12"/>
      <c r="M313" s="12">
        <v>43553.0</v>
      </c>
      <c r="N313" s="2">
        <v>282.48</v>
      </c>
      <c r="O313" s="3" t="s">
        <v>189</v>
      </c>
      <c r="P313" s="4" t="str">
        <f t="array" ref="P313">XLOOKUP(O313,Agregado!$B$2:$B$1511,Agregado!$G$2:$G$1511)</f>
        <v>#N/A</v>
      </c>
    </row>
    <row r="314" ht="15.75" customHeight="1">
      <c r="B314" s="13" t="s">
        <v>1233</v>
      </c>
      <c r="C314" s="7">
        <v>132347.61000000013</v>
      </c>
      <c r="D314" s="7">
        <v>109124.4200000001</v>
      </c>
      <c r="E314" s="7">
        <v>80745.71899999995</v>
      </c>
      <c r="F314" s="7">
        <f t="shared" si="1"/>
        <v>322217.749</v>
      </c>
      <c r="G314" s="14">
        <f t="shared" si="2"/>
        <v>0.001044687232</v>
      </c>
      <c r="I314" s="15">
        <v>45282.0</v>
      </c>
      <c r="J314" s="10">
        <v>45296.0</v>
      </c>
      <c r="K314" s="16">
        <v>0.0</v>
      </c>
      <c r="L314" s="12"/>
      <c r="M314" s="12">
        <v>43556.0</v>
      </c>
      <c r="N314" s="2">
        <v>285.83</v>
      </c>
      <c r="O314" s="3">
        <v>43469.0</v>
      </c>
      <c r="P314" s="4" t="str">
        <f t="array" ref="P314">XLOOKUP(O314,Agregado!$B$2:$B$1511,Agregado!$G$2:$G$1511)</f>
        <v>#N/A</v>
      </c>
    </row>
    <row r="315" ht="15.75" customHeight="1">
      <c r="B315" s="13" t="s">
        <v>1234</v>
      </c>
      <c r="C315" s="7">
        <v>134849.20000000013</v>
      </c>
      <c r="D315" s="7">
        <v>108967.9070000001</v>
      </c>
      <c r="E315" s="7">
        <v>80747.14199999995</v>
      </c>
      <c r="F315" s="7">
        <f t="shared" si="1"/>
        <v>324564.249</v>
      </c>
      <c r="G315" s="14">
        <f t="shared" si="2"/>
        <v>0.007255954254</v>
      </c>
      <c r="I315" s="15">
        <v>45289.0</v>
      </c>
      <c r="J315" s="10">
        <v>45303.0</v>
      </c>
      <c r="K315" s="16">
        <v>0.0</v>
      </c>
      <c r="L315" s="12"/>
      <c r="M315" s="12">
        <v>43557.0</v>
      </c>
      <c r="N315" s="2">
        <v>285.97</v>
      </c>
      <c r="O315" s="3">
        <v>43500.0</v>
      </c>
      <c r="P315" s="4" t="str">
        <f t="array" ref="P315">XLOOKUP(O315,Agregado!$B$2:$B$1511,Agregado!$G$2:$G$1511)</f>
        <v>#N/A</v>
      </c>
    </row>
    <row r="316" ht="15.75" customHeight="1">
      <c r="B316" s="13" t="s">
        <v>1235</v>
      </c>
      <c r="C316" s="7">
        <v>133491.00900000014</v>
      </c>
      <c r="D316" s="7">
        <v>109039.8730000001</v>
      </c>
      <c r="E316" s="7">
        <v>80761.30399999995</v>
      </c>
      <c r="F316" s="7">
        <f t="shared" si="1"/>
        <v>323292.186</v>
      </c>
      <c r="G316" s="14">
        <f t="shared" si="2"/>
        <v>-0.003926995445</v>
      </c>
      <c r="I316" s="15">
        <v>45296.0</v>
      </c>
      <c r="J316" s="10">
        <v>45310.0</v>
      </c>
      <c r="K316" s="16">
        <v>0.0</v>
      </c>
      <c r="L316" s="12"/>
      <c r="M316" s="12">
        <v>43558.0</v>
      </c>
      <c r="N316" s="2">
        <v>286.42</v>
      </c>
      <c r="O316" s="3">
        <v>43528.0</v>
      </c>
      <c r="P316" s="4" t="str">
        <f t="array" ref="P316">XLOOKUP(O316,Agregado!$B$2:$B$1511,Agregado!$G$2:$G$1511)</f>
        <v>#N/A</v>
      </c>
    </row>
    <row r="317" ht="15.75" customHeight="1">
      <c r="B317" s="13" t="s">
        <v>1236</v>
      </c>
      <c r="C317" s="7">
        <v>133705.47200000013</v>
      </c>
      <c r="D317" s="7">
        <v>110248.9570000001</v>
      </c>
      <c r="E317" s="7">
        <v>80800.73099999994</v>
      </c>
      <c r="F317" s="7">
        <f t="shared" si="1"/>
        <v>324755.16</v>
      </c>
      <c r="G317" s="14">
        <f t="shared" si="2"/>
        <v>0.004515029633</v>
      </c>
      <c r="I317" s="15">
        <v>45303.0</v>
      </c>
      <c r="J317" s="10">
        <v>45317.0</v>
      </c>
      <c r="K317" s="16">
        <v>0.0</v>
      </c>
      <c r="L317" s="12"/>
      <c r="M317" s="12">
        <v>43559.0</v>
      </c>
      <c r="N317" s="2">
        <v>287.18</v>
      </c>
      <c r="O317" s="3">
        <v>43559.0</v>
      </c>
      <c r="P317" s="4" t="str">
        <f t="array" ref="P317">XLOOKUP(O317,Agregado!$B$2:$B$1511,Agregado!$G$2:$G$1511)</f>
        <v>#N/A</v>
      </c>
    </row>
    <row r="318" ht="15.75" customHeight="1">
      <c r="B318" s="13" t="s">
        <v>1237</v>
      </c>
      <c r="C318" s="7">
        <v>135238.59300000014</v>
      </c>
      <c r="D318" s="7">
        <v>110479.7540000001</v>
      </c>
      <c r="E318" s="7">
        <v>80814.37499999994</v>
      </c>
      <c r="F318" s="7">
        <f t="shared" si="1"/>
        <v>326532.722</v>
      </c>
      <c r="G318" s="14">
        <f t="shared" si="2"/>
        <v>0.005458619645</v>
      </c>
      <c r="I318" s="15">
        <v>45310.0</v>
      </c>
      <c r="J318" s="10">
        <v>45324.0</v>
      </c>
      <c r="K318" s="16">
        <v>0.0</v>
      </c>
      <c r="L318" s="12"/>
      <c r="M318" s="12">
        <v>43560.0</v>
      </c>
      <c r="N318" s="2">
        <v>288.57</v>
      </c>
      <c r="O318" s="3">
        <v>43589.0</v>
      </c>
      <c r="P318" s="4" t="str">
        <f t="array" ref="P318">XLOOKUP(O318,Agregado!$B$2:$B$1511,Agregado!$G$2:$G$1511)</f>
        <v>#N/A</v>
      </c>
    </row>
    <row r="319" ht="15.75" customHeight="1">
      <c r="B319" s="13" t="s">
        <v>1238</v>
      </c>
      <c r="C319" s="7">
        <v>135942.30000000013</v>
      </c>
      <c r="D319" s="7">
        <v>110479.7540000001</v>
      </c>
      <c r="E319" s="7">
        <v>80820.96899999994</v>
      </c>
      <c r="F319" s="7">
        <f t="shared" si="1"/>
        <v>327243.023</v>
      </c>
      <c r="G319" s="14">
        <f t="shared" si="2"/>
        <v>0.002172920256</v>
      </c>
      <c r="I319" s="15">
        <v>45317.0</v>
      </c>
      <c r="J319" s="10">
        <v>45331.0</v>
      </c>
      <c r="K319" s="16">
        <v>0.0</v>
      </c>
      <c r="L319" s="12"/>
      <c r="M319" s="12">
        <v>43563.0</v>
      </c>
      <c r="N319" s="2">
        <v>288.79</v>
      </c>
      <c r="O319" s="3">
        <v>43681.0</v>
      </c>
      <c r="P319" s="4" t="str">
        <f t="array" ref="P319">XLOOKUP(O319,Agregado!$B$2:$B$1511,Agregado!$G$2:$G$1511)</f>
        <v>#N/A</v>
      </c>
    </row>
    <row r="320" ht="15.75" customHeight="1">
      <c r="B320" s="13" t="s">
        <v>1239</v>
      </c>
      <c r="C320" s="7">
        <v>135249.76200000013</v>
      </c>
      <c r="D320" s="7">
        <v>110959.0830000001</v>
      </c>
      <c r="E320" s="7">
        <v>80868.35699999995</v>
      </c>
      <c r="F320" s="7">
        <f t="shared" si="1"/>
        <v>327077.202</v>
      </c>
      <c r="G320" s="14">
        <f t="shared" si="2"/>
        <v>-0.000506849696</v>
      </c>
      <c r="I320" s="15">
        <v>45324.0</v>
      </c>
      <c r="J320" s="10">
        <v>45338.0</v>
      </c>
      <c r="K320" s="16">
        <v>0.0</v>
      </c>
      <c r="L320" s="12"/>
      <c r="M320" s="12">
        <v>43564.0</v>
      </c>
      <c r="N320" s="2">
        <v>287.31</v>
      </c>
      <c r="O320" s="3">
        <v>43712.0</v>
      </c>
      <c r="P320" s="4" t="str">
        <f t="array" ref="P320">XLOOKUP(O320,Agregado!$B$2:$B$1511,Agregado!$G$2:$G$1511)</f>
        <v>#N/A</v>
      </c>
    </row>
    <row r="321" ht="15.75" customHeight="1">
      <c r="B321" s="13" t="s">
        <v>1240</v>
      </c>
      <c r="C321" s="7">
        <v>135134.21600000013</v>
      </c>
      <c r="D321" s="7">
        <v>110959.0830000001</v>
      </c>
      <c r="E321" s="7">
        <v>80892.16099999995</v>
      </c>
      <c r="F321" s="7">
        <f t="shared" si="1"/>
        <v>326985.46</v>
      </c>
      <c r="G321" s="14">
        <f t="shared" si="2"/>
        <v>-0.0002805296982</v>
      </c>
      <c r="I321" s="15">
        <v>45331.0</v>
      </c>
      <c r="J321" s="10">
        <v>45345.0</v>
      </c>
      <c r="K321" s="16">
        <v>0.0</v>
      </c>
      <c r="L321" s="12"/>
      <c r="M321" s="12">
        <v>43565.0</v>
      </c>
      <c r="N321" s="2">
        <v>288.29</v>
      </c>
      <c r="O321" s="3">
        <v>43742.0</v>
      </c>
      <c r="P321" s="4" t="str">
        <f t="array" ref="P321">XLOOKUP(O321,Agregado!$B$2:$B$1511,Agregado!$G$2:$G$1511)</f>
        <v>#N/A</v>
      </c>
    </row>
    <row r="322" ht="15.75" customHeight="1">
      <c r="B322" s="13" t="s">
        <v>1241</v>
      </c>
      <c r="C322" s="7">
        <v>137273.86100000012</v>
      </c>
      <c r="D322" s="7">
        <v>111147.0210000001</v>
      </c>
      <c r="E322" s="7">
        <v>80840.17399999996</v>
      </c>
      <c r="F322" s="7">
        <f t="shared" si="1"/>
        <v>329261.056</v>
      </c>
      <c r="G322" s="14">
        <f t="shared" si="2"/>
        <v>0.00693521433</v>
      </c>
      <c r="I322" s="15">
        <v>45338.0</v>
      </c>
      <c r="J322" s="11">
        <v>0.0</v>
      </c>
      <c r="K322" s="15">
        <v>45345.0</v>
      </c>
      <c r="L322" s="12"/>
      <c r="M322" s="12">
        <v>43566.0</v>
      </c>
      <c r="N322" s="2">
        <v>288.21</v>
      </c>
      <c r="O322" s="3">
        <v>43773.0</v>
      </c>
      <c r="P322" s="4" t="str">
        <f t="array" ref="P322">XLOOKUP(O322,Agregado!$B$2:$B$1511,Agregado!$G$2:$G$1511)</f>
        <v>#N/A</v>
      </c>
    </row>
    <row r="323" ht="15.75" customHeight="1">
      <c r="B323" s="13" t="s">
        <v>1242</v>
      </c>
      <c r="C323" s="7">
        <v>138628.50100000013</v>
      </c>
      <c r="D323" s="7">
        <v>111292.1040000001</v>
      </c>
      <c r="E323" s="7">
        <v>81356.84699999995</v>
      </c>
      <c r="F323" s="7">
        <f t="shared" si="1"/>
        <v>331277.452</v>
      </c>
      <c r="G323" s="14">
        <f t="shared" si="2"/>
        <v>0.006105328422</v>
      </c>
      <c r="I323" s="12"/>
      <c r="J323" s="11">
        <v>0.0</v>
      </c>
      <c r="K323" s="12"/>
      <c r="L323" s="12"/>
      <c r="M323" s="12">
        <v>43567.0</v>
      </c>
      <c r="N323" s="2">
        <v>290.16</v>
      </c>
      <c r="O323" s="3">
        <v>43803.0</v>
      </c>
      <c r="P323" s="4" t="str">
        <f t="array" ref="P323">XLOOKUP(O323,Agregado!$B$2:$B$1511,Agregado!$G$2:$G$1511)</f>
        <v>#N/A</v>
      </c>
    </row>
    <row r="324" ht="15.75" customHeight="1">
      <c r="B324" s="13" t="s">
        <v>1243</v>
      </c>
      <c r="C324" s="7">
        <v>140545.26300000012</v>
      </c>
      <c r="D324" s="7">
        <v>111524.24700000009</v>
      </c>
      <c r="E324" s="7">
        <v>81642.32799999995</v>
      </c>
      <c r="F324" s="7">
        <f t="shared" si="1"/>
        <v>333711.838</v>
      </c>
      <c r="G324" s="14">
        <f t="shared" si="2"/>
        <v>0.007321612277</v>
      </c>
      <c r="I324" s="12"/>
      <c r="J324" s="12"/>
      <c r="K324" s="12"/>
      <c r="L324" s="12"/>
      <c r="M324" s="12">
        <v>43570.0</v>
      </c>
      <c r="N324" s="2">
        <v>289.97</v>
      </c>
      <c r="O324" s="3" t="s">
        <v>190</v>
      </c>
      <c r="P324" s="4" t="str">
        <f t="array" ref="P324">XLOOKUP(O324,Agregado!$B$2:$B$1511,Agregado!$G$2:$G$1511)</f>
        <v>#N/A</v>
      </c>
    </row>
    <row r="325" ht="15.75" customHeight="1">
      <c r="B325" s="13" t="s">
        <v>1244</v>
      </c>
      <c r="C325" s="7">
        <v>140922.48000000013</v>
      </c>
      <c r="D325" s="7">
        <v>111611.8850000001</v>
      </c>
      <c r="E325" s="7">
        <v>81709.04199999996</v>
      </c>
      <c r="F325" s="7">
        <f t="shared" si="1"/>
        <v>334243.407</v>
      </c>
      <c r="G325" s="14">
        <f t="shared" si="2"/>
        <v>0.001591630925</v>
      </c>
      <c r="I325" s="12"/>
      <c r="J325" s="12"/>
      <c r="K325" s="12"/>
      <c r="L325" s="12"/>
      <c r="M325" s="12">
        <v>43571.0</v>
      </c>
      <c r="N325" s="2">
        <v>290.16</v>
      </c>
      <c r="O325" s="3" t="s">
        <v>191</v>
      </c>
      <c r="P325" s="4" t="str">
        <f t="array" ref="P325">XLOOKUP(O325,Agregado!$B$2:$B$1511,Agregado!$G$2:$G$1511)</f>
        <v>#N/A</v>
      </c>
    </row>
    <row r="326" ht="15.75" customHeight="1">
      <c r="B326" s="13" t="s">
        <v>1245</v>
      </c>
      <c r="C326" s="7">
        <v>140154.0030000001</v>
      </c>
      <c r="D326" s="7">
        <v>111684.8730000001</v>
      </c>
      <c r="E326" s="7">
        <v>81763.12399999995</v>
      </c>
      <c r="F326" s="7">
        <f t="shared" si="1"/>
        <v>333602</v>
      </c>
      <c r="G326" s="14">
        <f t="shared" si="2"/>
        <v>-0.00192082536</v>
      </c>
      <c r="I326" s="12"/>
      <c r="J326" s="12"/>
      <c r="K326" s="12"/>
      <c r="L326" s="12"/>
      <c r="M326" s="12">
        <v>43572.0</v>
      </c>
      <c r="N326" s="2">
        <v>289.45</v>
      </c>
      <c r="O326" s="3" t="s">
        <v>192</v>
      </c>
      <c r="P326" s="4" t="str">
        <f t="array" ref="P326">XLOOKUP(O326,Agregado!$B$2:$B$1511,Agregado!$G$2:$G$1511)</f>
        <v>#N/A</v>
      </c>
    </row>
    <row r="327" ht="15.75" customHeight="1">
      <c r="B327" s="13" t="s">
        <v>1246</v>
      </c>
      <c r="C327" s="7">
        <v>142388.06500000012</v>
      </c>
      <c r="D327" s="7">
        <v>111845.52700000009</v>
      </c>
      <c r="E327" s="7">
        <v>82049.96399999995</v>
      </c>
      <c r="F327" s="7">
        <f t="shared" si="1"/>
        <v>336283.556</v>
      </c>
      <c r="G327" s="14">
        <f t="shared" si="2"/>
        <v>0.008006055062</v>
      </c>
      <c r="I327" s="12"/>
      <c r="J327" s="12"/>
      <c r="K327" s="12"/>
      <c r="L327" s="12"/>
      <c r="M327" s="12">
        <v>43573.0</v>
      </c>
      <c r="N327" s="2">
        <v>290.02</v>
      </c>
      <c r="O327" s="3" t="s">
        <v>193</v>
      </c>
      <c r="P327" s="4" t="str">
        <f t="array" ref="P327">XLOOKUP(O327,Agregado!$B$2:$B$1511,Agregado!$G$2:$G$1511)</f>
        <v>#N/A</v>
      </c>
    </row>
    <row r="328" ht="15.75" customHeight="1">
      <c r="B328" s="13" t="s">
        <v>1247</v>
      </c>
      <c r="C328" s="7">
        <v>140766.81400000013</v>
      </c>
      <c r="D328" s="7">
        <v>111845.52700000009</v>
      </c>
      <c r="E328" s="7">
        <v>81957.37499999994</v>
      </c>
      <c r="F328" s="7">
        <f t="shared" si="1"/>
        <v>334569.716</v>
      </c>
      <c r="G328" s="14">
        <f t="shared" si="2"/>
        <v>-0.005109444345</v>
      </c>
      <c r="I328" s="12"/>
      <c r="J328" s="12"/>
      <c r="K328" s="12"/>
      <c r="L328" s="12"/>
      <c r="M328" s="12">
        <v>43577.0</v>
      </c>
      <c r="N328" s="2">
        <v>290.27</v>
      </c>
      <c r="O328" s="3" t="s">
        <v>194</v>
      </c>
      <c r="P328" s="4" t="str">
        <f t="array" ref="P328">XLOOKUP(O328,Agregado!$B$2:$B$1511,Agregado!$G$2:$G$1511)</f>
        <v>#N/A</v>
      </c>
    </row>
    <row r="329" ht="15.75" customHeight="1">
      <c r="B329" s="13" t="s">
        <v>1248</v>
      </c>
      <c r="C329" s="7">
        <v>138838.51900000012</v>
      </c>
      <c r="D329" s="7">
        <v>111991.49300000009</v>
      </c>
      <c r="E329" s="7">
        <v>81930.81399999994</v>
      </c>
      <c r="F329" s="7">
        <f t="shared" si="1"/>
        <v>332760.826</v>
      </c>
      <c r="G329" s="14">
        <f t="shared" si="2"/>
        <v>-0.005421284705</v>
      </c>
      <c r="I329" s="12"/>
      <c r="J329" s="12"/>
      <c r="K329" s="12"/>
      <c r="L329" s="12"/>
      <c r="M329" s="12">
        <v>43578.0</v>
      </c>
      <c r="N329" s="2">
        <v>292.88</v>
      </c>
      <c r="O329" s="3" t="s">
        <v>195</v>
      </c>
      <c r="P329" s="4" t="str">
        <f t="array" ref="P329">XLOOKUP(O329,Agregado!$B$2:$B$1511,Agregado!$G$2:$G$1511)</f>
        <v>#N/A</v>
      </c>
    </row>
    <row r="330" ht="15.75" customHeight="1">
      <c r="B330" s="13" t="s">
        <v>1249</v>
      </c>
      <c r="C330" s="7">
        <v>138794.9790000001</v>
      </c>
      <c r="D330" s="7">
        <v>112225.28100000009</v>
      </c>
      <c r="E330" s="7">
        <v>81811.26299999993</v>
      </c>
      <c r="F330" s="7">
        <f t="shared" si="1"/>
        <v>332831.523</v>
      </c>
      <c r="G330" s="14">
        <f t="shared" si="2"/>
        <v>0.0002124333321</v>
      </c>
      <c r="I330" s="12"/>
      <c r="J330" s="12"/>
      <c r="K330" s="12"/>
      <c r="L330" s="12"/>
      <c r="M330" s="12">
        <v>43579.0</v>
      </c>
      <c r="N330" s="2">
        <v>292.23</v>
      </c>
      <c r="O330" s="3" t="s">
        <v>196</v>
      </c>
      <c r="P330" s="4" t="str">
        <f t="array" ref="P330">XLOOKUP(O330,Agregado!$B$2:$B$1511,Agregado!$G$2:$G$1511)</f>
        <v>#N/A</v>
      </c>
    </row>
    <row r="331" ht="15.75" customHeight="1">
      <c r="B331" s="13" t="s">
        <v>1250</v>
      </c>
      <c r="C331" s="7">
        <v>137945.7260000001</v>
      </c>
      <c r="D331" s="7">
        <v>112225.28100000009</v>
      </c>
      <c r="E331" s="7">
        <v>81890.89399999993</v>
      </c>
      <c r="F331" s="7">
        <f t="shared" si="1"/>
        <v>332061.901</v>
      </c>
      <c r="G331" s="14">
        <f t="shared" si="2"/>
        <v>-0.002315024682</v>
      </c>
      <c r="I331" s="12"/>
      <c r="J331" s="12"/>
      <c r="K331" s="12"/>
      <c r="L331" s="12"/>
      <c r="M331" s="12">
        <v>43580.0</v>
      </c>
      <c r="N331" s="2">
        <v>292.05</v>
      </c>
      <c r="O331" s="3" t="s">
        <v>197</v>
      </c>
      <c r="P331" s="4" t="str">
        <f t="array" ref="P331">XLOOKUP(O331,Agregado!$B$2:$B$1511,Agregado!$G$2:$G$1511)</f>
        <v>#N/A</v>
      </c>
    </row>
    <row r="332" ht="15.75" customHeight="1">
      <c r="B332" s="13" t="s">
        <v>1251</v>
      </c>
      <c r="C332" s="7">
        <v>137054.50000000012</v>
      </c>
      <c r="D332" s="7">
        <v>111857.54900000009</v>
      </c>
      <c r="E332" s="7">
        <v>81878.83599999992</v>
      </c>
      <c r="F332" s="7">
        <f t="shared" si="1"/>
        <v>330790.885</v>
      </c>
      <c r="G332" s="14">
        <f t="shared" si="2"/>
        <v>-0.003834991976</v>
      </c>
      <c r="I332" s="12"/>
      <c r="J332" s="12"/>
      <c r="K332" s="12"/>
      <c r="L332" s="12"/>
      <c r="M332" s="12">
        <v>43581.0</v>
      </c>
      <c r="N332" s="2">
        <v>293.41</v>
      </c>
      <c r="O332" s="3" t="s">
        <v>198</v>
      </c>
      <c r="P332" s="4" t="str">
        <f t="array" ref="P332">XLOOKUP(O332,Agregado!$B$2:$B$1511,Agregado!$G$2:$G$1511)</f>
        <v>#N/A</v>
      </c>
    </row>
    <row r="333" ht="15.75" customHeight="1">
      <c r="B333" s="13" t="s">
        <v>1252</v>
      </c>
      <c r="C333" s="7">
        <v>136061.36700000011</v>
      </c>
      <c r="D333" s="7">
        <v>111857.54900000009</v>
      </c>
      <c r="E333" s="7">
        <v>81881.32699999992</v>
      </c>
      <c r="F333" s="7">
        <f t="shared" si="1"/>
        <v>329800.243</v>
      </c>
      <c r="G333" s="14">
        <f t="shared" si="2"/>
        <v>-0.002999261421</v>
      </c>
      <c r="I333" s="12"/>
      <c r="J333" s="12"/>
      <c r="K333" s="12"/>
      <c r="L333" s="12"/>
      <c r="M333" s="12">
        <v>43584.0</v>
      </c>
      <c r="N333" s="2">
        <v>293.87</v>
      </c>
      <c r="O333" s="3" t="s">
        <v>199</v>
      </c>
      <c r="P333" s="4" t="str">
        <f t="array" ref="P333">XLOOKUP(O333,Agregado!$B$2:$B$1511,Agregado!$G$2:$G$1511)</f>
        <v>#N/A</v>
      </c>
    </row>
    <row r="334" ht="15.75" customHeight="1">
      <c r="B334" s="13" t="s">
        <v>1253</v>
      </c>
      <c r="C334" s="7">
        <v>135958.65200000012</v>
      </c>
      <c r="D334" s="7">
        <v>111857.54900000009</v>
      </c>
      <c r="E334" s="7">
        <v>81882.12599999992</v>
      </c>
      <c r="F334" s="7">
        <f t="shared" si="1"/>
        <v>329698.327</v>
      </c>
      <c r="G334" s="14">
        <f t="shared" si="2"/>
        <v>-0.0003090711806</v>
      </c>
      <c r="I334" s="12"/>
      <c r="J334" s="12"/>
      <c r="K334" s="12"/>
      <c r="L334" s="12"/>
      <c r="M334" s="12">
        <v>43585.0</v>
      </c>
      <c r="N334" s="2">
        <v>294.02</v>
      </c>
      <c r="O334" s="3" t="s">
        <v>200</v>
      </c>
      <c r="P334" s="4" t="str">
        <f t="array" ref="P334">XLOOKUP(O334,Agregado!$B$2:$B$1511,Agregado!$G$2:$G$1511)</f>
        <v>#N/A</v>
      </c>
    </row>
    <row r="335" ht="15.75" customHeight="1">
      <c r="B335" s="13" t="s">
        <v>1254</v>
      </c>
      <c r="C335" s="7">
        <v>135899.89300000013</v>
      </c>
      <c r="D335" s="7">
        <v>111739.23300000008</v>
      </c>
      <c r="E335" s="7">
        <v>81971.05999999991</v>
      </c>
      <c r="F335" s="7">
        <f t="shared" si="1"/>
        <v>329610.186</v>
      </c>
      <c r="G335" s="14">
        <f t="shared" si="2"/>
        <v>-0.0002673740708</v>
      </c>
      <c r="I335" s="12"/>
      <c r="J335" s="12"/>
      <c r="K335" s="12"/>
      <c r="L335" s="12"/>
      <c r="M335" s="12">
        <v>43586.0</v>
      </c>
      <c r="N335" s="2">
        <v>291.81</v>
      </c>
      <c r="O335" s="3">
        <v>43470.0</v>
      </c>
      <c r="P335" s="4" t="str">
        <f t="array" ref="P335">XLOOKUP(O335,Agregado!$B$2:$B$1511,Agregado!$G$2:$G$1511)</f>
        <v>#N/A</v>
      </c>
    </row>
    <row r="336" ht="15.75" customHeight="1">
      <c r="B336" s="13" t="s">
        <v>1255</v>
      </c>
      <c r="C336" s="7">
        <v>139899.40900000013</v>
      </c>
      <c r="D336" s="7">
        <v>111635.60500000008</v>
      </c>
      <c r="E336" s="7">
        <v>82040.37799999991</v>
      </c>
      <c r="F336" s="7">
        <f t="shared" si="1"/>
        <v>333575.392</v>
      </c>
      <c r="G336" s="14">
        <f t="shared" si="2"/>
        <v>0.01195820109</v>
      </c>
      <c r="I336" s="12"/>
      <c r="J336" s="12"/>
      <c r="K336" s="12"/>
      <c r="L336" s="12"/>
      <c r="M336" s="12">
        <v>43587.0</v>
      </c>
      <c r="N336" s="2">
        <v>291.18</v>
      </c>
      <c r="O336" s="3">
        <v>43501.0</v>
      </c>
      <c r="P336" s="4" t="str">
        <f t="array" ref="P336">XLOOKUP(O336,Agregado!$B$2:$B$1511,Agregado!$G$2:$G$1511)</f>
        <v>#N/A</v>
      </c>
    </row>
    <row r="337" ht="15.75" customHeight="1">
      <c r="B337" s="13" t="s">
        <v>1256</v>
      </c>
      <c r="C337" s="7">
        <v>139738.87400000013</v>
      </c>
      <c r="D337" s="7">
        <v>111664.99100000008</v>
      </c>
      <c r="E337" s="7">
        <v>82286.0579999999</v>
      </c>
      <c r="F337" s="7">
        <f t="shared" si="1"/>
        <v>333689.923</v>
      </c>
      <c r="G337" s="14">
        <f t="shared" si="2"/>
        <v>0.0003432847431</v>
      </c>
      <c r="I337" s="12"/>
      <c r="J337" s="12"/>
      <c r="K337" s="12"/>
      <c r="L337" s="12"/>
      <c r="M337" s="12">
        <v>43588.0</v>
      </c>
      <c r="N337" s="2">
        <v>294.03</v>
      </c>
      <c r="O337" s="3">
        <v>43529.0</v>
      </c>
      <c r="P337" s="4" t="str">
        <f t="array" ref="P337">XLOOKUP(O337,Agregado!$B$2:$B$1511,Agregado!$G$2:$G$1511)</f>
        <v>#N/A</v>
      </c>
    </row>
    <row r="338" ht="15.75" customHeight="1">
      <c r="B338" s="13" t="s">
        <v>1257</v>
      </c>
      <c r="C338" s="7">
        <v>135748.42800000013</v>
      </c>
      <c r="D338" s="7">
        <v>111694.31600000008</v>
      </c>
      <c r="E338" s="7">
        <v>82328.8299999999</v>
      </c>
      <c r="F338" s="7">
        <f t="shared" si="1"/>
        <v>329771.574</v>
      </c>
      <c r="G338" s="14">
        <f t="shared" si="2"/>
        <v>-0.01181197274</v>
      </c>
      <c r="I338" s="12"/>
      <c r="J338" s="12"/>
      <c r="K338" s="12"/>
      <c r="L338" s="12"/>
      <c r="M338" s="12">
        <v>43591.0</v>
      </c>
      <c r="N338" s="2">
        <v>292.82</v>
      </c>
      <c r="O338" s="3">
        <v>43621.0</v>
      </c>
      <c r="P338" s="4" t="str">
        <f t="array" ref="P338">XLOOKUP(O338,Agregado!$B$2:$B$1511,Agregado!$G$2:$G$1511)</f>
        <v>#N/A</v>
      </c>
    </row>
    <row r="339" ht="15.75" customHeight="1">
      <c r="B339" s="13" t="s">
        <v>1258</v>
      </c>
      <c r="C339" s="7">
        <v>135263.15900000013</v>
      </c>
      <c r="D339" s="7">
        <v>111457.43200000007</v>
      </c>
      <c r="E339" s="7">
        <v>82346.0019999999</v>
      </c>
      <c r="F339" s="7">
        <f t="shared" si="1"/>
        <v>329066.593</v>
      </c>
      <c r="G339" s="14">
        <f t="shared" si="2"/>
        <v>-0.002140074162</v>
      </c>
      <c r="I339" s="12"/>
      <c r="J339" s="12"/>
      <c r="K339" s="12"/>
      <c r="L339" s="12"/>
      <c r="M339" s="12">
        <v>43592.0</v>
      </c>
      <c r="N339" s="2">
        <v>287.93</v>
      </c>
      <c r="O339" s="3">
        <v>43651.0</v>
      </c>
      <c r="P339" s="4" t="str">
        <f t="array" ref="P339">XLOOKUP(O339,Agregado!$B$2:$B$1511,Agregado!$G$2:$G$1511)</f>
        <v>#N/A</v>
      </c>
    </row>
    <row r="340" ht="15.75" customHeight="1">
      <c r="B340" s="13" t="s">
        <v>1259</v>
      </c>
      <c r="C340" s="7">
        <v>135131.39300000013</v>
      </c>
      <c r="D340" s="7">
        <v>111427.95200000008</v>
      </c>
      <c r="E340" s="7">
        <v>82547.24999999991</v>
      </c>
      <c r="F340" s="7">
        <f t="shared" si="1"/>
        <v>329106.595</v>
      </c>
      <c r="G340" s="14">
        <f t="shared" si="2"/>
        <v>0.0001215546327</v>
      </c>
      <c r="I340" s="12"/>
      <c r="J340" s="12"/>
      <c r="K340" s="12"/>
      <c r="L340" s="12"/>
      <c r="M340" s="12">
        <v>43593.0</v>
      </c>
      <c r="N340" s="2">
        <v>287.53</v>
      </c>
      <c r="O340" s="3">
        <v>43682.0</v>
      </c>
      <c r="P340" s="4" t="str">
        <f t="array" ref="P340">XLOOKUP(O340,Agregado!$B$2:$B$1511,Agregado!$G$2:$G$1511)</f>
        <v>#N/A</v>
      </c>
    </row>
    <row r="341" ht="15.75" customHeight="1">
      <c r="B341" s="13" t="s">
        <v>1260</v>
      </c>
      <c r="C341" s="7">
        <v>132525.08200000014</v>
      </c>
      <c r="D341" s="7">
        <v>111471.44300000007</v>
      </c>
      <c r="E341" s="7">
        <v>82702.05199999991</v>
      </c>
      <c r="F341" s="7">
        <f t="shared" si="1"/>
        <v>326698.577</v>
      </c>
      <c r="G341" s="14">
        <f t="shared" si="2"/>
        <v>-0.007343732331</v>
      </c>
      <c r="I341" s="12"/>
      <c r="J341" s="12"/>
      <c r="K341" s="12"/>
      <c r="L341" s="12"/>
      <c r="M341" s="12">
        <v>43594.0</v>
      </c>
      <c r="N341" s="2">
        <v>286.66</v>
      </c>
      <c r="O341" s="3">
        <v>43713.0</v>
      </c>
      <c r="P341" s="4" t="str">
        <f t="array" ref="P341">XLOOKUP(O341,Agregado!$B$2:$B$1511,Agregado!$G$2:$G$1511)</f>
        <v>#N/A</v>
      </c>
    </row>
    <row r="342" ht="15.75" customHeight="1">
      <c r="B342" s="13" t="s">
        <v>1261</v>
      </c>
      <c r="C342" s="7">
        <v>130354.18300000014</v>
      </c>
      <c r="D342" s="7">
        <v>111500.39100000008</v>
      </c>
      <c r="E342" s="7">
        <v>82809.29499999991</v>
      </c>
      <c r="F342" s="7">
        <f t="shared" si="1"/>
        <v>324663.869</v>
      </c>
      <c r="G342" s="14">
        <f t="shared" si="2"/>
        <v>-0.006247565025</v>
      </c>
      <c r="I342" s="12"/>
      <c r="J342" s="12"/>
      <c r="K342" s="12"/>
      <c r="L342" s="12"/>
      <c r="M342" s="12">
        <v>43595.0</v>
      </c>
      <c r="N342" s="2">
        <v>288.1</v>
      </c>
      <c r="O342" s="3">
        <v>43743.0</v>
      </c>
      <c r="P342" s="4" t="str">
        <f t="array" ref="P342">XLOOKUP(O342,Agregado!$B$2:$B$1511,Agregado!$G$2:$G$1511)</f>
        <v>#N/A</v>
      </c>
    </row>
    <row r="343" ht="15.75" customHeight="1">
      <c r="B343" s="13" t="s">
        <v>1262</v>
      </c>
      <c r="C343" s="7">
        <v>128647.91300000013</v>
      </c>
      <c r="D343" s="7">
        <v>111716.92100000007</v>
      </c>
      <c r="E343" s="7">
        <v>82006.37499999991</v>
      </c>
      <c r="F343" s="7">
        <f t="shared" si="1"/>
        <v>322371.209</v>
      </c>
      <c r="G343" s="14">
        <f t="shared" si="2"/>
        <v>-0.007086693359</v>
      </c>
      <c r="I343" s="12"/>
      <c r="J343" s="12"/>
      <c r="K343" s="12"/>
      <c r="L343" s="12"/>
      <c r="M343" s="12">
        <v>43598.0</v>
      </c>
      <c r="N343" s="2">
        <v>280.86</v>
      </c>
      <c r="O343" s="3" t="s">
        <v>201</v>
      </c>
      <c r="P343" s="4" t="str">
        <f t="array" ref="P343">XLOOKUP(O343,Agregado!$B$2:$B$1511,Agregado!$G$2:$G$1511)</f>
        <v>#N/A</v>
      </c>
    </row>
    <row r="344" ht="15.75" customHeight="1">
      <c r="B344" s="13" t="s">
        <v>1263</v>
      </c>
      <c r="C344" s="7">
        <v>127726.54400000013</v>
      </c>
      <c r="D344" s="7">
        <v>111861.86200000008</v>
      </c>
      <c r="E344" s="7">
        <v>82135.96899999991</v>
      </c>
      <c r="F344" s="7">
        <f t="shared" si="1"/>
        <v>321724.375</v>
      </c>
      <c r="G344" s="14">
        <f t="shared" si="2"/>
        <v>-0.002008503811</v>
      </c>
      <c r="I344" s="12"/>
      <c r="J344" s="12"/>
      <c r="K344" s="12"/>
      <c r="L344" s="12"/>
      <c r="M344" s="12">
        <v>43599.0</v>
      </c>
      <c r="N344" s="2">
        <v>283.4</v>
      </c>
      <c r="O344" s="3" t="s">
        <v>202</v>
      </c>
      <c r="P344" s="4" t="str">
        <f t="array" ref="P344">XLOOKUP(O344,Agregado!$B$2:$B$1511,Agregado!$G$2:$G$1511)</f>
        <v>#N/A</v>
      </c>
    </row>
    <row r="345" ht="15.75" customHeight="1">
      <c r="B345" s="13" t="s">
        <v>1264</v>
      </c>
      <c r="C345" s="7">
        <v>128232.35800000012</v>
      </c>
      <c r="D345" s="7">
        <v>112031.59800000009</v>
      </c>
      <c r="E345" s="7">
        <v>82254.28699999991</v>
      </c>
      <c r="F345" s="7">
        <f t="shared" si="1"/>
        <v>322518.243</v>
      </c>
      <c r="G345" s="14">
        <f t="shared" si="2"/>
        <v>0.002464501353</v>
      </c>
      <c r="I345" s="12"/>
      <c r="J345" s="12"/>
      <c r="K345" s="12"/>
      <c r="L345" s="12"/>
      <c r="M345" s="12">
        <v>43600.0</v>
      </c>
      <c r="N345" s="2">
        <v>285.06</v>
      </c>
      <c r="O345" s="3" t="s">
        <v>203</v>
      </c>
      <c r="P345" s="4" t="str">
        <f t="array" ref="P345">XLOOKUP(O345,Agregado!$B$2:$B$1511,Agregado!$G$2:$G$1511)</f>
        <v>#N/A</v>
      </c>
    </row>
    <row r="346" ht="15.75" customHeight="1">
      <c r="B346" s="13" t="s">
        <v>1265</v>
      </c>
      <c r="C346" s="7">
        <v>126532.63900000013</v>
      </c>
      <c r="D346" s="7">
        <v>112074.37800000008</v>
      </c>
      <c r="E346" s="7">
        <v>82154.3269999999</v>
      </c>
      <c r="F346" s="7">
        <f t="shared" si="1"/>
        <v>320761.344</v>
      </c>
      <c r="G346" s="14">
        <f t="shared" si="2"/>
        <v>-0.005462332099</v>
      </c>
      <c r="I346" s="12"/>
      <c r="J346" s="12"/>
      <c r="K346" s="12"/>
      <c r="L346" s="12"/>
      <c r="M346" s="12">
        <v>43601.0</v>
      </c>
      <c r="N346" s="2">
        <v>287.7</v>
      </c>
      <c r="O346" s="3" t="s">
        <v>204</v>
      </c>
      <c r="P346" s="4" t="str">
        <f t="array" ref="P346">XLOOKUP(O346,Agregado!$B$2:$B$1511,Agregado!$G$2:$G$1511)</f>
        <v>#N/A</v>
      </c>
    </row>
    <row r="347" ht="15.75" customHeight="1">
      <c r="B347" s="13" t="s">
        <v>1266</v>
      </c>
      <c r="C347" s="7">
        <v>125520.90900000013</v>
      </c>
      <c r="D347" s="7">
        <v>112246.52900000008</v>
      </c>
      <c r="E347" s="7">
        <v>82273.98399999991</v>
      </c>
      <c r="F347" s="7">
        <f t="shared" si="1"/>
        <v>320041.422</v>
      </c>
      <c r="G347" s="14">
        <f t="shared" si="2"/>
        <v>-0.002246938812</v>
      </c>
      <c r="I347" s="12"/>
      <c r="J347" s="12"/>
      <c r="K347" s="12"/>
      <c r="L347" s="12"/>
      <c r="M347" s="12">
        <v>43602.0</v>
      </c>
      <c r="N347" s="2">
        <v>285.84</v>
      </c>
      <c r="O347" s="3" t="s">
        <v>205</v>
      </c>
      <c r="P347" s="4" t="str">
        <f t="array" ref="P347">XLOOKUP(O347,Agregado!$B$2:$B$1511,Agregado!$G$2:$G$1511)</f>
        <v>#N/A</v>
      </c>
    </row>
    <row r="348" ht="15.75" customHeight="1">
      <c r="B348" s="13" t="s">
        <v>1267</v>
      </c>
      <c r="C348" s="7">
        <v>125621.57000000012</v>
      </c>
      <c r="D348" s="7">
        <v>112289.96200000009</v>
      </c>
      <c r="E348" s="7">
        <v>82219.6799999999</v>
      </c>
      <c r="F348" s="7">
        <f t="shared" si="1"/>
        <v>320131.212</v>
      </c>
      <c r="G348" s="14">
        <f t="shared" si="2"/>
        <v>0.0002805180847</v>
      </c>
      <c r="I348" s="12"/>
      <c r="J348" s="12"/>
      <c r="K348" s="12"/>
      <c r="L348" s="12"/>
      <c r="M348" s="12">
        <v>43605.0</v>
      </c>
      <c r="N348" s="2">
        <v>283.95</v>
      </c>
      <c r="O348" s="3" t="s">
        <v>206</v>
      </c>
      <c r="P348" s="4" t="str">
        <f t="array" ref="P348">XLOOKUP(O348,Agregado!$B$2:$B$1511,Agregado!$G$2:$G$1511)</f>
        <v>#N/A</v>
      </c>
    </row>
    <row r="349" ht="15.75" customHeight="1">
      <c r="B349" s="13" t="s">
        <v>1268</v>
      </c>
      <c r="C349" s="7">
        <v>127594.68000000012</v>
      </c>
      <c r="D349" s="7">
        <v>112304.35700000009</v>
      </c>
      <c r="E349" s="7">
        <v>82230.0239999999</v>
      </c>
      <c r="F349" s="7">
        <f t="shared" si="1"/>
        <v>322129.061</v>
      </c>
      <c r="G349" s="14">
        <f t="shared" si="2"/>
        <v>0.006221326549</v>
      </c>
      <c r="I349" s="12"/>
      <c r="J349" s="12"/>
      <c r="K349" s="12"/>
      <c r="L349" s="12"/>
      <c r="M349" s="12">
        <v>43606.0</v>
      </c>
      <c r="N349" s="2">
        <v>286.51</v>
      </c>
      <c r="O349" s="3" t="s">
        <v>207</v>
      </c>
      <c r="P349" s="4" t="str">
        <f t="array" ref="P349">XLOOKUP(O349,Agregado!$B$2:$B$1511,Agregado!$G$2:$G$1511)</f>
        <v>#N/A</v>
      </c>
    </row>
    <row r="350" ht="15.75" customHeight="1">
      <c r="B350" s="13" t="s">
        <v>1269</v>
      </c>
      <c r="C350" s="7">
        <v>129185.29900000013</v>
      </c>
      <c r="D350" s="7">
        <v>112490.22700000009</v>
      </c>
      <c r="E350" s="7">
        <v>82259.4559999999</v>
      </c>
      <c r="F350" s="7">
        <f t="shared" si="1"/>
        <v>323934.982</v>
      </c>
      <c r="G350" s="14">
        <f t="shared" si="2"/>
        <v>0.005590547015</v>
      </c>
      <c r="I350" s="12"/>
      <c r="J350" s="12"/>
      <c r="K350" s="12"/>
      <c r="L350" s="12"/>
      <c r="M350" s="12">
        <v>43607.0</v>
      </c>
      <c r="N350" s="2">
        <v>285.63</v>
      </c>
      <c r="O350" s="3" t="s">
        <v>208</v>
      </c>
      <c r="P350" s="4" t="str">
        <f t="array" ref="P350">XLOOKUP(O350,Agregado!$B$2:$B$1511,Agregado!$G$2:$G$1511)</f>
        <v>#N/A</v>
      </c>
    </row>
    <row r="351" ht="15.75" customHeight="1">
      <c r="B351" s="13" t="s">
        <v>1270</v>
      </c>
      <c r="C351" s="7">
        <v>128641.04300000014</v>
      </c>
      <c r="D351" s="7">
        <v>112966.06800000009</v>
      </c>
      <c r="E351" s="7">
        <v>82248.2479999999</v>
      </c>
      <c r="F351" s="7">
        <f t="shared" si="1"/>
        <v>323855.359</v>
      </c>
      <c r="G351" s="14">
        <f t="shared" si="2"/>
        <v>-0.0002458295389</v>
      </c>
      <c r="I351" s="12"/>
      <c r="J351" s="12"/>
      <c r="K351" s="12"/>
      <c r="L351" s="12"/>
      <c r="M351" s="12">
        <v>43608.0</v>
      </c>
      <c r="N351" s="2">
        <v>282.14</v>
      </c>
      <c r="O351" s="3" t="s">
        <v>209</v>
      </c>
      <c r="P351" s="4" t="str">
        <f t="array" ref="P351">XLOOKUP(O351,Agregado!$B$2:$B$1511,Agregado!$G$2:$G$1511)</f>
        <v>#N/A</v>
      </c>
    </row>
    <row r="352" ht="15.75" customHeight="1">
      <c r="B352" s="13" t="s">
        <v>1271</v>
      </c>
      <c r="C352" s="7">
        <v>129640.80500000014</v>
      </c>
      <c r="D352" s="7">
        <v>113023.58400000009</v>
      </c>
      <c r="E352" s="7">
        <v>82074.95799999991</v>
      </c>
      <c r="F352" s="7">
        <f t="shared" si="1"/>
        <v>324739.347</v>
      </c>
      <c r="G352" s="14">
        <f t="shared" si="2"/>
        <v>0.002725858041</v>
      </c>
      <c r="I352" s="12"/>
      <c r="J352" s="12"/>
      <c r="K352" s="12"/>
      <c r="L352" s="12"/>
      <c r="M352" s="12">
        <v>43609.0</v>
      </c>
      <c r="N352" s="2">
        <v>282.78</v>
      </c>
      <c r="O352" s="3" t="s">
        <v>210</v>
      </c>
      <c r="P352" s="4" t="str">
        <f t="array" ref="P352">XLOOKUP(O352,Agregado!$B$2:$B$1511,Agregado!$G$2:$G$1511)</f>
        <v>#N/A</v>
      </c>
    </row>
    <row r="353" ht="15.75" customHeight="1">
      <c r="B353" s="13" t="s">
        <v>1272</v>
      </c>
      <c r="C353" s="7">
        <v>127961.22400000013</v>
      </c>
      <c r="D353" s="7">
        <v>113080.42000000009</v>
      </c>
      <c r="E353" s="7">
        <v>82134.82099999991</v>
      </c>
      <c r="F353" s="7">
        <f t="shared" si="1"/>
        <v>323176.465</v>
      </c>
      <c r="G353" s="14">
        <f t="shared" si="2"/>
        <v>-0.00482434601</v>
      </c>
      <c r="I353" s="12"/>
      <c r="J353" s="12"/>
      <c r="K353" s="12"/>
      <c r="L353" s="12"/>
      <c r="M353" s="12">
        <v>43613.0</v>
      </c>
      <c r="N353" s="2">
        <v>280.15</v>
      </c>
      <c r="O353" s="3" t="s">
        <v>211</v>
      </c>
      <c r="P353" s="4" t="str">
        <f t="array" ref="P353">XLOOKUP(O353,Agregado!$B$2:$B$1511,Agregado!$G$2:$G$1511)</f>
        <v>#N/A</v>
      </c>
    </row>
    <row r="354" ht="15.75" customHeight="1">
      <c r="B354" s="13" t="s">
        <v>1273</v>
      </c>
      <c r="C354" s="7">
        <v>127636.11600000014</v>
      </c>
      <c r="D354" s="7">
        <v>113180.03500000009</v>
      </c>
      <c r="E354" s="7">
        <v>82084.8609999999</v>
      </c>
      <c r="F354" s="7">
        <f t="shared" si="1"/>
        <v>322901.012</v>
      </c>
      <c r="G354" s="14">
        <f t="shared" si="2"/>
        <v>-0.0008526934508</v>
      </c>
      <c r="I354" s="12"/>
      <c r="J354" s="12"/>
      <c r="K354" s="12"/>
      <c r="L354" s="12"/>
      <c r="M354" s="12">
        <v>43614.0</v>
      </c>
      <c r="N354" s="2">
        <v>278.27</v>
      </c>
      <c r="O354" s="3" t="s">
        <v>212</v>
      </c>
      <c r="P354" s="4" t="str">
        <f t="array" ref="P354">XLOOKUP(O354,Agregado!$B$2:$B$1511,Agregado!$G$2:$G$1511)</f>
        <v>#N/A</v>
      </c>
    </row>
    <row r="355" ht="15.75" customHeight="1">
      <c r="B355" s="13" t="s">
        <v>1274</v>
      </c>
      <c r="C355" s="7">
        <v>127075.42700000014</v>
      </c>
      <c r="D355" s="7">
        <v>113180.03500000009</v>
      </c>
      <c r="E355" s="7">
        <v>82131.4789999999</v>
      </c>
      <c r="F355" s="7">
        <f t="shared" si="1"/>
        <v>322386.941</v>
      </c>
      <c r="G355" s="14">
        <f t="shared" si="2"/>
        <v>-0.001593307628</v>
      </c>
      <c r="I355" s="12"/>
      <c r="J355" s="12"/>
      <c r="K355" s="12"/>
      <c r="L355" s="12"/>
      <c r="M355" s="12">
        <v>43615.0</v>
      </c>
      <c r="N355" s="2">
        <v>279.03</v>
      </c>
      <c r="O355" s="3" t="s">
        <v>213</v>
      </c>
      <c r="P355" s="4" t="str">
        <f t="array" ref="P355">XLOOKUP(O355,Agregado!$B$2:$B$1511,Agregado!$G$2:$G$1511)</f>
        <v>#N/A</v>
      </c>
    </row>
    <row r="356" ht="15.75" customHeight="1">
      <c r="B356" s="13" t="s">
        <v>1275</v>
      </c>
      <c r="C356" s="7">
        <v>124597.47200000014</v>
      </c>
      <c r="D356" s="7">
        <v>113586.44400000009</v>
      </c>
      <c r="E356" s="7">
        <v>82063.3149999999</v>
      </c>
      <c r="F356" s="7">
        <f t="shared" si="1"/>
        <v>320247.231</v>
      </c>
      <c r="G356" s="14">
        <f t="shared" si="2"/>
        <v>-0.00665920986</v>
      </c>
      <c r="I356" s="12"/>
      <c r="J356" s="12"/>
      <c r="K356" s="12"/>
      <c r="L356" s="12"/>
      <c r="M356" s="12">
        <v>43616.0</v>
      </c>
      <c r="N356" s="2">
        <v>275.27</v>
      </c>
      <c r="O356" s="3" t="s">
        <v>214</v>
      </c>
      <c r="P356" s="4" t="str">
        <f t="array" ref="P356">XLOOKUP(O356,Agregado!$B$2:$B$1511,Agregado!$G$2:$G$1511)</f>
        <v>#N/A</v>
      </c>
    </row>
    <row r="357" ht="15.75" customHeight="1">
      <c r="B357" s="13" t="s">
        <v>1276</v>
      </c>
      <c r="C357" s="7">
        <v>123467.35900000014</v>
      </c>
      <c r="D357" s="7">
        <v>113740.9450000001</v>
      </c>
      <c r="E357" s="7">
        <v>82208.6179999999</v>
      </c>
      <c r="F357" s="7">
        <f t="shared" si="1"/>
        <v>319416.922</v>
      </c>
      <c r="G357" s="14">
        <f t="shared" si="2"/>
        <v>-0.002596079403</v>
      </c>
      <c r="I357" s="12"/>
      <c r="J357" s="12"/>
      <c r="K357" s="12"/>
      <c r="L357" s="12"/>
      <c r="M357" s="12">
        <v>43619.0</v>
      </c>
      <c r="N357" s="2">
        <v>274.57</v>
      </c>
      <c r="O357" s="3">
        <v>43530.0</v>
      </c>
      <c r="P357" s="4" t="str">
        <f t="array" ref="P357">XLOOKUP(O357,Agregado!$B$2:$B$1511,Agregado!$G$2:$G$1511)</f>
        <v>#N/A</v>
      </c>
    </row>
    <row r="358" ht="15.75" customHeight="1">
      <c r="B358" s="13" t="s">
        <v>1277</v>
      </c>
      <c r="C358" s="7">
        <v>123315.87600000015</v>
      </c>
      <c r="D358" s="7">
        <v>113921.1620000001</v>
      </c>
      <c r="E358" s="7">
        <v>82374.2609999999</v>
      </c>
      <c r="F358" s="7">
        <f t="shared" si="1"/>
        <v>319611.299</v>
      </c>
      <c r="G358" s="14">
        <f t="shared" si="2"/>
        <v>0.0006083518681</v>
      </c>
      <c r="I358" s="12"/>
      <c r="J358" s="12"/>
      <c r="K358" s="12"/>
      <c r="L358" s="12"/>
      <c r="M358" s="12">
        <v>43620.0</v>
      </c>
      <c r="N358" s="2">
        <v>280.53</v>
      </c>
      <c r="O358" s="3">
        <v>43561.0</v>
      </c>
      <c r="P358" s="4" t="str">
        <f t="array" ref="P358">XLOOKUP(O358,Agregado!$B$2:$B$1511,Agregado!$G$2:$G$1511)</f>
        <v>#N/A</v>
      </c>
    </row>
    <row r="359" ht="15.75" customHeight="1">
      <c r="B359" s="13" t="s">
        <v>1278</v>
      </c>
      <c r="C359" s="7">
        <v>122903.87700000015</v>
      </c>
      <c r="D359" s="7">
        <v>113893.5130000001</v>
      </c>
      <c r="E359" s="7">
        <v>82444.6329999999</v>
      </c>
      <c r="F359" s="7">
        <f t="shared" si="1"/>
        <v>319242.023</v>
      </c>
      <c r="G359" s="14">
        <f t="shared" si="2"/>
        <v>-0.001156058921</v>
      </c>
      <c r="I359" s="12"/>
      <c r="J359" s="12"/>
      <c r="K359" s="12"/>
      <c r="L359" s="12"/>
      <c r="M359" s="12">
        <v>43621.0</v>
      </c>
      <c r="N359" s="2">
        <v>282.96</v>
      </c>
      <c r="O359" s="3">
        <v>43591.0</v>
      </c>
      <c r="P359" s="4" t="str">
        <f t="array" ref="P359">XLOOKUP(O359,Agregado!$B$2:$B$1511,Agregado!$G$2:$G$1511)</f>
        <v>#N/A</v>
      </c>
    </row>
    <row r="360" ht="15.75" customHeight="1">
      <c r="B360" s="13" t="s">
        <v>1279</v>
      </c>
      <c r="C360" s="7">
        <v>123254.55300000016</v>
      </c>
      <c r="D360" s="7">
        <v>114105.33700000009</v>
      </c>
      <c r="E360" s="7">
        <v>82497.7479999999</v>
      </c>
      <c r="F360" s="7">
        <f t="shared" si="1"/>
        <v>319857.638</v>
      </c>
      <c r="G360" s="14">
        <f t="shared" si="2"/>
        <v>0.001926507642</v>
      </c>
      <c r="I360" s="12"/>
      <c r="J360" s="12"/>
      <c r="K360" s="12"/>
      <c r="L360" s="12"/>
      <c r="M360" s="12">
        <v>43622.0</v>
      </c>
      <c r="N360" s="2">
        <v>284.8</v>
      </c>
      <c r="O360" s="3">
        <v>43622.0</v>
      </c>
      <c r="P360" s="4" t="str">
        <f t="array" ref="P360">XLOOKUP(O360,Agregado!$B$2:$B$1511,Agregado!$G$2:$G$1511)</f>
        <v>#N/A</v>
      </c>
    </row>
    <row r="361" ht="15.75" customHeight="1">
      <c r="B361" s="13" t="s">
        <v>1280</v>
      </c>
      <c r="C361" s="7">
        <v>123919.25500000016</v>
      </c>
      <c r="D361" s="7">
        <v>114190.76800000008</v>
      </c>
      <c r="E361" s="7">
        <v>82827.2859999999</v>
      </c>
      <c r="F361" s="7">
        <f t="shared" si="1"/>
        <v>320937.309</v>
      </c>
      <c r="G361" s="14">
        <f t="shared" si="2"/>
        <v>0.003369789437</v>
      </c>
      <c r="I361" s="12"/>
      <c r="J361" s="12"/>
      <c r="K361" s="12"/>
      <c r="L361" s="12"/>
      <c r="M361" s="12">
        <v>43623.0</v>
      </c>
      <c r="N361" s="2">
        <v>287.65</v>
      </c>
      <c r="O361" s="3">
        <v>43652.0</v>
      </c>
      <c r="P361" s="4" t="str">
        <f t="array" ref="P361">XLOOKUP(O361,Agregado!$B$2:$B$1511,Agregado!$G$2:$G$1511)</f>
        <v>#N/A</v>
      </c>
    </row>
    <row r="362" ht="15.75" customHeight="1">
      <c r="B362" s="13" t="s">
        <v>1281</v>
      </c>
      <c r="C362" s="7">
        <v>126651.95500000016</v>
      </c>
      <c r="D362" s="7">
        <v>114162.10800000008</v>
      </c>
      <c r="E362" s="7">
        <v>82883.9019999999</v>
      </c>
      <c r="F362" s="7">
        <f t="shared" si="1"/>
        <v>323697.965</v>
      </c>
      <c r="G362" s="14">
        <f t="shared" si="2"/>
        <v>0.008565069236</v>
      </c>
      <c r="I362" s="12"/>
      <c r="J362" s="12"/>
      <c r="K362" s="12"/>
      <c r="L362" s="12"/>
      <c r="M362" s="12">
        <v>43626.0</v>
      </c>
      <c r="N362" s="2">
        <v>288.97</v>
      </c>
      <c r="O362" s="3">
        <v>43744.0</v>
      </c>
      <c r="P362" s="4" t="str">
        <f t="array" ref="P362">XLOOKUP(O362,Agregado!$B$2:$B$1511,Agregado!$G$2:$G$1511)</f>
        <v>#N/A</v>
      </c>
    </row>
    <row r="363" ht="15.75" customHeight="1">
      <c r="B363" s="13" t="s">
        <v>1282</v>
      </c>
      <c r="C363" s="7">
        <v>127845.72700000016</v>
      </c>
      <c r="D363" s="7">
        <v>114466.22200000008</v>
      </c>
      <c r="E363" s="7">
        <v>82990.6129999999</v>
      </c>
      <c r="F363" s="7">
        <f t="shared" si="1"/>
        <v>325302.562</v>
      </c>
      <c r="G363" s="14">
        <f t="shared" si="2"/>
        <v>0.004944835028</v>
      </c>
      <c r="I363" s="12"/>
      <c r="J363" s="12"/>
      <c r="K363" s="12"/>
      <c r="L363" s="12"/>
      <c r="M363" s="12">
        <v>43627.0</v>
      </c>
      <c r="N363" s="2">
        <v>288.9</v>
      </c>
      <c r="O363" s="3">
        <v>43775.0</v>
      </c>
      <c r="P363" s="4" t="str">
        <f t="array" ref="P363">XLOOKUP(O363,Agregado!$B$2:$B$1511,Agregado!$G$2:$G$1511)</f>
        <v>#N/A</v>
      </c>
    </row>
    <row r="364" ht="15.75" customHeight="1">
      <c r="B364" s="13" t="s">
        <v>1283</v>
      </c>
      <c r="C364" s="7">
        <v>129016.14000000016</v>
      </c>
      <c r="D364" s="7">
        <v>114466.22200000008</v>
      </c>
      <c r="E364" s="7">
        <v>82993.8489999999</v>
      </c>
      <c r="F364" s="7">
        <f t="shared" si="1"/>
        <v>326476.211</v>
      </c>
      <c r="G364" s="14">
        <f t="shared" si="2"/>
        <v>0.003601376164</v>
      </c>
      <c r="I364" s="12"/>
      <c r="J364" s="12"/>
      <c r="K364" s="12"/>
      <c r="L364" s="12"/>
      <c r="M364" s="12">
        <v>43628.0</v>
      </c>
      <c r="N364" s="2">
        <v>288.39</v>
      </c>
      <c r="O364" s="3">
        <v>43805.0</v>
      </c>
      <c r="P364" s="4" t="str">
        <f t="array" ref="P364">XLOOKUP(O364,Agregado!$B$2:$B$1511,Agregado!$G$2:$G$1511)</f>
        <v>#N/A</v>
      </c>
    </row>
    <row r="365" ht="15.75" customHeight="1">
      <c r="B365" s="13" t="s">
        <v>1284</v>
      </c>
      <c r="C365" s="7">
        <v>126834.91900000015</v>
      </c>
      <c r="D365" s="7">
        <v>114466.22200000008</v>
      </c>
      <c r="E365" s="7">
        <v>83037.9489999999</v>
      </c>
      <c r="F365" s="7">
        <f t="shared" si="1"/>
        <v>324339.09</v>
      </c>
      <c r="G365" s="14">
        <f t="shared" si="2"/>
        <v>-0.006567542829</v>
      </c>
      <c r="I365" s="12"/>
      <c r="J365" s="12"/>
      <c r="K365" s="12"/>
      <c r="L365" s="12"/>
      <c r="M365" s="12">
        <v>43629.0</v>
      </c>
      <c r="N365" s="2">
        <v>289.58</v>
      </c>
      <c r="O365" s="3" t="s">
        <v>215</v>
      </c>
      <c r="P365" s="4" t="str">
        <f t="array" ref="P365">XLOOKUP(O365,Agregado!$B$2:$B$1511,Agregado!$G$2:$G$1511)</f>
        <v>#N/A</v>
      </c>
    </row>
    <row r="366" ht="15.75" customHeight="1">
      <c r="B366" s="13" t="s">
        <v>1285</v>
      </c>
      <c r="C366" s="7">
        <v>127714.29600000015</v>
      </c>
      <c r="D366" s="7">
        <v>114437.19100000008</v>
      </c>
      <c r="E366" s="7">
        <v>83015.3619999999</v>
      </c>
      <c r="F366" s="7">
        <f t="shared" si="1"/>
        <v>325166.849</v>
      </c>
      <c r="G366" s="14">
        <f t="shared" si="2"/>
        <v>0.002548889543</v>
      </c>
      <c r="I366" s="12"/>
      <c r="J366" s="12"/>
      <c r="K366" s="12"/>
      <c r="L366" s="12"/>
      <c r="M366" s="12">
        <v>43630.0</v>
      </c>
      <c r="N366" s="2">
        <v>289.26</v>
      </c>
      <c r="O366" s="3" t="s">
        <v>216</v>
      </c>
      <c r="P366" s="4" t="str">
        <f t="array" ref="P366">XLOOKUP(O366,Agregado!$B$2:$B$1511,Agregado!$G$2:$G$1511)</f>
        <v>#N/A</v>
      </c>
    </row>
    <row r="367" ht="15.75" customHeight="1">
      <c r="B367" s="13" t="s">
        <v>1286</v>
      </c>
      <c r="C367" s="7">
        <v>127873.56700000014</v>
      </c>
      <c r="D367" s="7">
        <v>114437.19100000008</v>
      </c>
      <c r="E367" s="7">
        <v>83154.8449999999</v>
      </c>
      <c r="F367" s="7">
        <f t="shared" si="1"/>
        <v>325465.603</v>
      </c>
      <c r="G367" s="14">
        <f t="shared" si="2"/>
        <v>0.0009183495846</v>
      </c>
      <c r="I367" s="12"/>
      <c r="J367" s="12"/>
      <c r="K367" s="12"/>
      <c r="L367" s="12"/>
      <c r="M367" s="12">
        <v>43633.0</v>
      </c>
      <c r="N367" s="2">
        <v>289.37</v>
      </c>
      <c r="O367" s="3" t="s">
        <v>217</v>
      </c>
      <c r="P367" s="4" t="str">
        <f t="array" ref="P367">XLOOKUP(O367,Agregado!$B$2:$B$1511,Agregado!$G$2:$G$1511)</f>
        <v>#N/A</v>
      </c>
    </row>
    <row r="368" ht="15.75" customHeight="1">
      <c r="B368" s="13" t="s">
        <v>1287</v>
      </c>
      <c r="C368" s="7">
        <v>129651.87800000014</v>
      </c>
      <c r="D368" s="7">
        <v>114437.19100000008</v>
      </c>
      <c r="E368" s="7">
        <v>83283.8229999999</v>
      </c>
      <c r="F368" s="7">
        <f t="shared" si="1"/>
        <v>327372.892</v>
      </c>
      <c r="G368" s="14">
        <f t="shared" si="2"/>
        <v>0.005843081991</v>
      </c>
      <c r="I368" s="12"/>
      <c r="J368" s="12"/>
      <c r="K368" s="12"/>
      <c r="L368" s="12"/>
      <c r="M368" s="12">
        <v>43634.0</v>
      </c>
      <c r="N368" s="2">
        <v>292.4</v>
      </c>
      <c r="O368" s="3" t="s">
        <v>218</v>
      </c>
      <c r="P368" s="4" t="str">
        <f t="array" ref="P368">XLOOKUP(O368,Agregado!$B$2:$B$1511,Agregado!$G$2:$G$1511)</f>
        <v>#N/A</v>
      </c>
    </row>
    <row r="369" ht="15.75" customHeight="1">
      <c r="B369" s="13" t="s">
        <v>1288</v>
      </c>
      <c r="C369" s="7">
        <v>129029.61400000015</v>
      </c>
      <c r="D369" s="7">
        <v>114683.39200000008</v>
      </c>
      <c r="E369" s="7">
        <v>83339.0769999999</v>
      </c>
      <c r="F369" s="7">
        <f t="shared" si="1"/>
        <v>327052.083</v>
      </c>
      <c r="G369" s="14">
        <f t="shared" si="2"/>
        <v>-0.0009804302646</v>
      </c>
      <c r="I369" s="12"/>
      <c r="J369" s="12"/>
      <c r="K369" s="12"/>
      <c r="L369" s="12"/>
      <c r="M369" s="12">
        <v>43635.0</v>
      </c>
      <c r="N369" s="2">
        <v>293.06</v>
      </c>
      <c r="O369" s="3" t="s">
        <v>219</v>
      </c>
      <c r="P369" s="4" t="str">
        <f t="array" ref="P369">XLOOKUP(O369,Agregado!$B$2:$B$1511,Agregado!$G$2:$G$1511)</f>
        <v>#N/A</v>
      </c>
    </row>
    <row r="370" ht="15.75" customHeight="1">
      <c r="B370" s="13" t="s">
        <v>1289</v>
      </c>
      <c r="C370" s="7">
        <v>129511.79700000015</v>
      </c>
      <c r="D370" s="7">
        <v>114844.25000000007</v>
      </c>
      <c r="E370" s="7">
        <v>83374.7729999999</v>
      </c>
      <c r="F370" s="7">
        <f t="shared" si="1"/>
        <v>327730.82</v>
      </c>
      <c r="G370" s="14">
        <f t="shared" si="2"/>
        <v>0.002073167274</v>
      </c>
      <c r="I370" s="12"/>
      <c r="J370" s="12"/>
      <c r="K370" s="12"/>
      <c r="L370" s="12"/>
      <c r="M370" s="12">
        <v>43636.0</v>
      </c>
      <c r="N370" s="2">
        <v>295.86</v>
      </c>
      <c r="O370" s="3" t="s">
        <v>220</v>
      </c>
      <c r="P370" s="4" t="str">
        <f t="array" ref="P370">XLOOKUP(O370,Agregado!$B$2:$B$1511,Agregado!$G$2:$G$1511)</f>
        <v>#N/A</v>
      </c>
    </row>
    <row r="371" ht="15.75" customHeight="1">
      <c r="B371" s="13" t="s">
        <v>1290</v>
      </c>
      <c r="C371" s="7">
        <v>127665.27300000015</v>
      </c>
      <c r="D371" s="7">
        <v>116193.62700000007</v>
      </c>
      <c r="E371" s="7">
        <v>83933.88099999989</v>
      </c>
      <c r="F371" s="7">
        <f t="shared" si="1"/>
        <v>327792.781</v>
      </c>
      <c r="G371" s="14">
        <f t="shared" si="2"/>
        <v>0.0001890427746</v>
      </c>
      <c r="I371" s="12"/>
      <c r="J371" s="12"/>
      <c r="K371" s="12"/>
      <c r="L371" s="12"/>
      <c r="M371" s="12">
        <v>43637.0</v>
      </c>
      <c r="N371" s="2">
        <v>294.0</v>
      </c>
      <c r="O371" s="3" t="s">
        <v>221</v>
      </c>
      <c r="P371" s="4" t="str">
        <f t="array" ref="P371">XLOOKUP(O371,Agregado!$B$2:$B$1511,Agregado!$G$2:$G$1511)</f>
        <v>#N/A</v>
      </c>
    </row>
    <row r="372" ht="15.75" customHeight="1">
      <c r="B372" s="13" t="s">
        <v>1291</v>
      </c>
      <c r="C372" s="7">
        <v>123581.99000000015</v>
      </c>
      <c r="D372" s="7">
        <v>116593.42800000007</v>
      </c>
      <c r="E372" s="7">
        <v>84029.6319999999</v>
      </c>
      <c r="F372" s="7">
        <f t="shared" si="1"/>
        <v>324205.05</v>
      </c>
      <c r="G372" s="14">
        <f t="shared" si="2"/>
        <v>-0.01100545751</v>
      </c>
      <c r="I372" s="12"/>
      <c r="J372" s="12"/>
      <c r="K372" s="12"/>
      <c r="L372" s="12"/>
      <c r="M372" s="12">
        <v>43640.0</v>
      </c>
      <c r="N372" s="2">
        <v>293.64</v>
      </c>
      <c r="O372" s="3" t="s">
        <v>222</v>
      </c>
      <c r="P372" s="4" t="str">
        <f t="array" ref="P372">XLOOKUP(O372,Agregado!$B$2:$B$1511,Agregado!$G$2:$G$1511)</f>
        <v>#N/A</v>
      </c>
    </row>
    <row r="373" ht="15.75" customHeight="1">
      <c r="B373" s="13" t="s">
        <v>1292</v>
      </c>
      <c r="C373" s="7">
        <v>123846.68200000015</v>
      </c>
      <c r="D373" s="7">
        <v>116593.42800000007</v>
      </c>
      <c r="E373" s="7">
        <v>83614.2769999999</v>
      </c>
      <c r="F373" s="7">
        <f t="shared" si="1"/>
        <v>324054.387</v>
      </c>
      <c r="G373" s="14">
        <f t="shared" si="2"/>
        <v>-0.0004648231684</v>
      </c>
      <c r="I373" s="12"/>
      <c r="J373" s="12"/>
      <c r="K373" s="12"/>
      <c r="L373" s="12"/>
      <c r="M373" s="12">
        <v>43641.0</v>
      </c>
      <c r="N373" s="2">
        <v>290.76</v>
      </c>
      <c r="O373" s="3" t="s">
        <v>223</v>
      </c>
      <c r="P373" s="4" t="str">
        <f t="array" ref="P373">XLOOKUP(O373,Agregado!$B$2:$B$1511,Agregado!$G$2:$G$1511)</f>
        <v>#N/A</v>
      </c>
    </row>
    <row r="374" ht="15.75" customHeight="1">
      <c r="B374" s="13" t="s">
        <v>1293</v>
      </c>
      <c r="C374" s="7">
        <v>126679.85400000015</v>
      </c>
      <c r="D374" s="7">
        <v>116549.13600000007</v>
      </c>
      <c r="E374" s="7">
        <v>83679.6069999999</v>
      </c>
      <c r="F374" s="7">
        <f t="shared" si="1"/>
        <v>326908.597</v>
      </c>
      <c r="G374" s="14">
        <f t="shared" si="2"/>
        <v>0.00876924913</v>
      </c>
      <c r="I374" s="12"/>
      <c r="J374" s="12"/>
      <c r="K374" s="12"/>
      <c r="L374" s="12"/>
      <c r="M374" s="12">
        <v>43642.0</v>
      </c>
      <c r="N374" s="2">
        <v>290.47</v>
      </c>
      <c r="O374" s="3" t="s">
        <v>224</v>
      </c>
      <c r="P374" s="4" t="str">
        <f t="array" ref="P374">XLOOKUP(O374,Agregado!$B$2:$B$1511,Agregado!$G$2:$G$1511)</f>
        <v>#N/A</v>
      </c>
    </row>
    <row r="375" ht="15.75" customHeight="1">
      <c r="B375" s="13" t="s">
        <v>1294</v>
      </c>
      <c r="C375" s="7">
        <v>128948.13400000015</v>
      </c>
      <c r="D375" s="7">
        <v>116593.00700000007</v>
      </c>
      <c r="E375" s="7">
        <v>83715.2469999999</v>
      </c>
      <c r="F375" s="7">
        <f t="shared" si="1"/>
        <v>329256.388</v>
      </c>
      <c r="G375" s="14">
        <f t="shared" si="2"/>
        <v>0.007156130159</v>
      </c>
      <c r="I375" s="12"/>
      <c r="J375" s="12"/>
      <c r="K375" s="12"/>
      <c r="L375" s="12"/>
      <c r="M375" s="12">
        <v>43643.0</v>
      </c>
      <c r="N375" s="2">
        <v>291.5</v>
      </c>
      <c r="O375" s="3" t="s">
        <v>225</v>
      </c>
      <c r="P375" s="4" t="str">
        <f t="array" ref="P375">XLOOKUP(O375,Agregado!$B$2:$B$1511,Agregado!$G$2:$G$1511)</f>
        <v>#N/A</v>
      </c>
    </row>
    <row r="376" ht="15.75" customHeight="1">
      <c r="B376" s="13" t="s">
        <v>1295</v>
      </c>
      <c r="C376" s="7">
        <v>127437.80300000015</v>
      </c>
      <c r="D376" s="7">
        <v>109699.15900000007</v>
      </c>
      <c r="E376" s="7">
        <v>84687.1099999999</v>
      </c>
      <c r="F376" s="7">
        <f t="shared" si="1"/>
        <v>321824.072</v>
      </c>
      <c r="G376" s="14">
        <f t="shared" si="2"/>
        <v>-0.02283170612</v>
      </c>
      <c r="I376" s="12"/>
      <c r="J376" s="12"/>
      <c r="K376" s="12"/>
      <c r="L376" s="12"/>
      <c r="M376" s="12">
        <v>43644.0</v>
      </c>
      <c r="N376" s="2">
        <v>293.0</v>
      </c>
      <c r="O376" s="3" t="s">
        <v>226</v>
      </c>
      <c r="P376" s="4" t="str">
        <f t="array" ref="P376">XLOOKUP(O376,Agregado!$B$2:$B$1511,Agregado!$G$2:$G$1511)</f>
        <v>#N/A</v>
      </c>
    </row>
    <row r="377" ht="15.75" customHeight="1">
      <c r="B377" s="13" t="s">
        <v>1296</v>
      </c>
      <c r="C377" s="7">
        <v>126490.09700000014</v>
      </c>
      <c r="D377" s="7">
        <v>109699.15900000007</v>
      </c>
      <c r="E377" s="7">
        <v>84687.1099999999</v>
      </c>
      <c r="F377" s="7">
        <f t="shared" si="1"/>
        <v>320876.366</v>
      </c>
      <c r="G377" s="14">
        <f t="shared" si="2"/>
        <v>-0.002949139695</v>
      </c>
      <c r="I377" s="12"/>
      <c r="J377" s="12"/>
      <c r="K377" s="12"/>
      <c r="L377" s="12"/>
      <c r="M377" s="12">
        <v>43647.0</v>
      </c>
      <c r="N377" s="2">
        <v>295.66</v>
      </c>
      <c r="O377" s="3">
        <v>43472.0</v>
      </c>
      <c r="P377" s="4" t="str">
        <f t="array" ref="P377">XLOOKUP(O377,Agregado!$B$2:$B$1511,Agregado!$G$2:$G$1511)</f>
        <v>#N/A</v>
      </c>
    </row>
    <row r="378" ht="15.75" customHeight="1">
      <c r="B378" s="13" t="s">
        <v>1297</v>
      </c>
      <c r="C378" s="7">
        <v>127076.67900000013</v>
      </c>
      <c r="D378" s="7">
        <v>109876.14500000008</v>
      </c>
      <c r="E378" s="7">
        <v>83926.2529999999</v>
      </c>
      <c r="F378" s="7">
        <f t="shared" si="1"/>
        <v>320879.077</v>
      </c>
      <c r="G378" s="14">
        <f t="shared" si="2"/>
        <v>0.000008448701229</v>
      </c>
      <c r="I378" s="12"/>
      <c r="J378" s="12"/>
      <c r="K378" s="12"/>
      <c r="L378" s="12"/>
      <c r="M378" s="12">
        <v>43648.0</v>
      </c>
      <c r="N378" s="2">
        <v>296.43</v>
      </c>
      <c r="O378" s="3">
        <v>43503.0</v>
      </c>
      <c r="P378" s="4" t="str">
        <f t="array" ref="P378">XLOOKUP(O378,Agregado!$B$2:$B$1511,Agregado!$G$2:$G$1511)</f>
        <v>#N/A</v>
      </c>
    </row>
    <row r="379" ht="15.75" customHeight="1">
      <c r="B379" s="13" t="s">
        <v>1298</v>
      </c>
      <c r="C379" s="7">
        <v>126988.01500000013</v>
      </c>
      <c r="D379" s="7">
        <v>109995.04100000007</v>
      </c>
      <c r="E379" s="7">
        <v>84128.11599999989</v>
      </c>
      <c r="F379" s="7">
        <f t="shared" si="1"/>
        <v>321111.172</v>
      </c>
      <c r="G379" s="14">
        <f t="shared" si="2"/>
        <v>0.0007230483967</v>
      </c>
      <c r="I379" s="12"/>
      <c r="J379" s="12"/>
      <c r="K379" s="12"/>
      <c r="L379" s="12"/>
      <c r="M379" s="12">
        <v>43649.0</v>
      </c>
      <c r="N379" s="2">
        <v>298.8</v>
      </c>
      <c r="O379" s="3">
        <v>43531.0</v>
      </c>
      <c r="P379" s="4" t="str">
        <f t="array" ref="P379">XLOOKUP(O379,Agregado!$B$2:$B$1511,Agregado!$G$2:$G$1511)</f>
        <v>#N/A</v>
      </c>
    </row>
    <row r="380" ht="15.75" customHeight="1">
      <c r="B380" s="13" t="s">
        <v>1299</v>
      </c>
      <c r="C380" s="7">
        <v>127358.54000000012</v>
      </c>
      <c r="D380" s="7">
        <v>110129.19600000007</v>
      </c>
      <c r="E380" s="7">
        <v>84167.6059999999</v>
      </c>
      <c r="F380" s="7">
        <f t="shared" si="1"/>
        <v>321655.342</v>
      </c>
      <c r="G380" s="14">
        <f t="shared" si="2"/>
        <v>0.001693212444</v>
      </c>
      <c r="I380" s="12"/>
      <c r="J380" s="12"/>
      <c r="K380" s="12"/>
      <c r="L380" s="12"/>
      <c r="M380" s="12">
        <v>43651.0</v>
      </c>
      <c r="N380" s="2">
        <v>298.46</v>
      </c>
      <c r="O380" s="3">
        <v>43592.0</v>
      </c>
      <c r="P380" s="4" t="str">
        <f t="array" ref="P380">XLOOKUP(O380,Agregado!$B$2:$B$1511,Agregado!$G$2:$G$1511)</f>
        <v>#N/A</v>
      </c>
    </row>
    <row r="381" ht="15.75" customHeight="1">
      <c r="B381" s="13" t="s">
        <v>1300</v>
      </c>
      <c r="C381" s="7">
        <v>127731.99600000013</v>
      </c>
      <c r="D381" s="7">
        <v>110129.19600000007</v>
      </c>
      <c r="E381" s="7">
        <v>84117.9919999999</v>
      </c>
      <c r="F381" s="7">
        <f t="shared" si="1"/>
        <v>321979.184</v>
      </c>
      <c r="G381" s="14">
        <f t="shared" si="2"/>
        <v>0.001006291659</v>
      </c>
      <c r="I381" s="12"/>
      <c r="J381" s="12"/>
      <c r="K381" s="12"/>
      <c r="L381" s="12"/>
      <c r="M381" s="12">
        <v>43654.0</v>
      </c>
      <c r="N381" s="2">
        <v>296.82</v>
      </c>
      <c r="O381" s="3">
        <v>43684.0</v>
      </c>
      <c r="P381" s="4" t="str">
        <f t="array" ref="P381">XLOOKUP(O381,Agregado!$B$2:$B$1511,Agregado!$G$2:$G$1511)</f>
        <v>#N/A</v>
      </c>
    </row>
    <row r="382" ht="15.75" customHeight="1">
      <c r="B382" s="13" t="s">
        <v>1301</v>
      </c>
      <c r="C382" s="7">
        <v>129491.69500000012</v>
      </c>
      <c r="D382" s="7">
        <v>110129.19600000007</v>
      </c>
      <c r="E382" s="7">
        <v>84387.5679999999</v>
      </c>
      <c r="F382" s="7">
        <f t="shared" si="1"/>
        <v>324008.459</v>
      </c>
      <c r="G382" s="14">
        <f t="shared" si="2"/>
        <v>0.006282725984</v>
      </c>
      <c r="I382" s="12"/>
      <c r="J382" s="12"/>
      <c r="K382" s="12"/>
      <c r="L382" s="12"/>
      <c r="M382" s="12">
        <v>43655.0</v>
      </c>
      <c r="N382" s="2">
        <v>297.19</v>
      </c>
      <c r="O382" s="3">
        <v>43715.0</v>
      </c>
      <c r="P382" s="4" t="str">
        <f t="array" ref="P382">XLOOKUP(O382,Agregado!$B$2:$B$1511,Agregado!$G$2:$G$1511)</f>
        <v>#N/A</v>
      </c>
    </row>
    <row r="383" ht="15.75" customHeight="1">
      <c r="B383" s="13" t="s">
        <v>1302</v>
      </c>
      <c r="C383" s="7">
        <v>131198.38000000012</v>
      </c>
      <c r="D383" s="7">
        <v>110502.35000000006</v>
      </c>
      <c r="E383" s="7">
        <v>84663.8559999999</v>
      </c>
      <c r="F383" s="7">
        <f t="shared" si="1"/>
        <v>326364.586</v>
      </c>
      <c r="G383" s="14">
        <f t="shared" si="2"/>
        <v>0.007245494953</v>
      </c>
      <c r="I383" s="12"/>
      <c r="J383" s="12"/>
      <c r="K383" s="12"/>
      <c r="L383" s="12"/>
      <c r="M383" s="12">
        <v>43656.0</v>
      </c>
      <c r="N383" s="2">
        <v>298.61</v>
      </c>
      <c r="O383" s="3">
        <v>43745.0</v>
      </c>
      <c r="P383" s="4" t="str">
        <f t="array" ref="P383">XLOOKUP(O383,Agregado!$B$2:$B$1511,Agregado!$G$2:$G$1511)</f>
        <v>#N/A</v>
      </c>
    </row>
    <row r="384" ht="15.75" customHeight="1">
      <c r="B384" s="13" t="s">
        <v>1303</v>
      </c>
      <c r="C384" s="7">
        <v>131034.88000000012</v>
      </c>
      <c r="D384" s="7">
        <v>110502.35000000006</v>
      </c>
      <c r="E384" s="7">
        <v>84788.6289999999</v>
      </c>
      <c r="F384" s="7">
        <f t="shared" si="1"/>
        <v>326325.859</v>
      </c>
      <c r="G384" s="14">
        <f t="shared" si="2"/>
        <v>-0.0001186688126</v>
      </c>
      <c r="I384" s="12"/>
      <c r="J384" s="12"/>
      <c r="K384" s="12"/>
      <c r="L384" s="12"/>
      <c r="M384" s="12">
        <v>43657.0</v>
      </c>
      <c r="N384" s="2">
        <v>299.31</v>
      </c>
      <c r="O384" s="3">
        <v>43776.0</v>
      </c>
      <c r="P384" s="4" t="str">
        <f t="array" ref="P384">XLOOKUP(O384,Agregado!$B$2:$B$1511,Agregado!$G$2:$G$1511)</f>
        <v>#N/A</v>
      </c>
    </row>
    <row r="385" ht="15.75" customHeight="1">
      <c r="B385" s="13" t="s">
        <v>1304</v>
      </c>
      <c r="C385" s="7">
        <v>131064.74200000011</v>
      </c>
      <c r="D385" s="7">
        <v>110907.80700000006</v>
      </c>
      <c r="E385" s="7">
        <v>84874.9289999999</v>
      </c>
      <c r="F385" s="7">
        <f t="shared" si="1"/>
        <v>326847.478</v>
      </c>
      <c r="G385" s="14">
        <f t="shared" si="2"/>
        <v>0.001597184335</v>
      </c>
      <c r="I385" s="12"/>
      <c r="J385" s="12"/>
      <c r="K385" s="12"/>
      <c r="L385" s="12"/>
      <c r="M385" s="12">
        <v>43658.0</v>
      </c>
      <c r="N385" s="2">
        <v>300.65</v>
      </c>
      <c r="O385" s="3">
        <v>43806.0</v>
      </c>
      <c r="P385" s="4" t="str">
        <f t="array" ref="P385">XLOOKUP(O385,Agregado!$B$2:$B$1511,Agregado!$G$2:$G$1511)</f>
        <v>#N/A</v>
      </c>
    </row>
    <row r="386" ht="15.75" customHeight="1">
      <c r="B386" s="13" t="s">
        <v>1305</v>
      </c>
      <c r="C386" s="7">
        <v>132172.1470000001</v>
      </c>
      <c r="D386" s="7">
        <v>111208.83200000005</v>
      </c>
      <c r="E386" s="7">
        <v>84933.55199999991</v>
      </c>
      <c r="F386" s="7">
        <f t="shared" si="1"/>
        <v>328314.531</v>
      </c>
      <c r="G386" s="14">
        <f t="shared" si="2"/>
        <v>0.004478450923</v>
      </c>
      <c r="I386" s="12"/>
      <c r="J386" s="12"/>
      <c r="K386" s="12"/>
      <c r="L386" s="12"/>
      <c r="M386" s="12">
        <v>43661.0</v>
      </c>
      <c r="N386" s="2">
        <v>300.75</v>
      </c>
      <c r="O386" s="3" t="s">
        <v>227</v>
      </c>
      <c r="P386" s="4" t="str">
        <f t="array" ref="P386">XLOOKUP(O386,Agregado!$B$2:$B$1511,Agregado!$G$2:$G$1511)</f>
        <v>#N/A</v>
      </c>
    </row>
    <row r="387" ht="15.75" customHeight="1">
      <c r="B387" s="13" t="s">
        <v>1306</v>
      </c>
      <c r="C387" s="7">
        <v>133720.79900000012</v>
      </c>
      <c r="D387" s="7">
        <v>111314.68700000005</v>
      </c>
      <c r="E387" s="7">
        <v>85108.09099999991</v>
      </c>
      <c r="F387" s="7">
        <f t="shared" si="1"/>
        <v>330143.577</v>
      </c>
      <c r="G387" s="14">
        <f t="shared" si="2"/>
        <v>0.005555556784</v>
      </c>
      <c r="I387" s="12"/>
      <c r="J387" s="12"/>
      <c r="K387" s="12"/>
      <c r="L387" s="12"/>
      <c r="M387" s="12">
        <v>43662.0</v>
      </c>
      <c r="N387" s="2">
        <v>299.71</v>
      </c>
      <c r="O387" s="3" t="s">
        <v>228</v>
      </c>
      <c r="P387" s="4" t="str">
        <f t="array" ref="P387">XLOOKUP(O387,Agregado!$B$2:$B$1511,Agregado!$G$2:$G$1511)</f>
        <v>#N/A</v>
      </c>
    </row>
    <row r="388" ht="15.75" customHeight="1">
      <c r="B388" s="13" t="s">
        <v>1307</v>
      </c>
      <c r="C388" s="7">
        <v>134577.9650000001</v>
      </c>
      <c r="D388" s="7">
        <v>111949.92700000005</v>
      </c>
      <c r="E388" s="7">
        <v>85323.93299999992</v>
      </c>
      <c r="F388" s="7">
        <f t="shared" si="1"/>
        <v>331851.825</v>
      </c>
      <c r="G388" s="14">
        <f t="shared" si="2"/>
        <v>0.005160917391</v>
      </c>
      <c r="I388" s="12"/>
      <c r="J388" s="12"/>
      <c r="K388" s="12"/>
      <c r="L388" s="12"/>
      <c r="M388" s="12">
        <v>43663.0</v>
      </c>
      <c r="N388" s="2">
        <v>297.74</v>
      </c>
      <c r="O388" s="3" t="s">
        <v>229</v>
      </c>
      <c r="P388" s="4" t="str">
        <f t="array" ref="P388">XLOOKUP(O388,Agregado!$B$2:$B$1511,Agregado!$G$2:$G$1511)</f>
        <v>#N/A</v>
      </c>
    </row>
    <row r="389" ht="15.75" customHeight="1">
      <c r="B389" s="13" t="s">
        <v>1308</v>
      </c>
      <c r="C389" s="7">
        <v>135312.3440000001</v>
      </c>
      <c r="D389" s="7">
        <v>112055.44300000006</v>
      </c>
      <c r="E389" s="7">
        <v>85387.07799999992</v>
      </c>
      <c r="F389" s="7">
        <f t="shared" si="1"/>
        <v>332754.865</v>
      </c>
      <c r="G389" s="14">
        <f t="shared" si="2"/>
        <v>0.002717518705</v>
      </c>
      <c r="I389" s="12"/>
      <c r="J389" s="12"/>
      <c r="K389" s="12"/>
      <c r="L389" s="12"/>
      <c r="M389" s="12">
        <v>43664.0</v>
      </c>
      <c r="N389" s="2">
        <v>298.83</v>
      </c>
      <c r="O389" s="3" t="s">
        <v>230</v>
      </c>
      <c r="P389" s="4" t="str">
        <f t="array" ref="P389">XLOOKUP(O389,Agregado!$B$2:$B$1511,Agregado!$G$2:$G$1511)</f>
        <v>#N/A</v>
      </c>
    </row>
    <row r="390" ht="15.75" customHeight="1">
      <c r="B390" s="13" t="s">
        <v>1309</v>
      </c>
      <c r="C390" s="7">
        <v>135014.5480000001</v>
      </c>
      <c r="D390" s="7">
        <v>112055.44300000006</v>
      </c>
      <c r="E390" s="7">
        <v>85494.17899999992</v>
      </c>
      <c r="F390" s="7">
        <f t="shared" si="1"/>
        <v>332564.17</v>
      </c>
      <c r="G390" s="14">
        <f t="shared" si="2"/>
        <v>-0.0005732437979</v>
      </c>
      <c r="I390" s="12"/>
      <c r="J390" s="12"/>
      <c r="K390" s="12"/>
      <c r="L390" s="12"/>
      <c r="M390" s="12">
        <v>43665.0</v>
      </c>
      <c r="N390" s="2">
        <v>297.17</v>
      </c>
      <c r="O390" s="3" t="s">
        <v>231</v>
      </c>
      <c r="P390" s="4" t="str">
        <f t="array" ref="P390">XLOOKUP(O390,Agregado!$B$2:$B$1511,Agregado!$G$2:$G$1511)</f>
        <v>#N/A</v>
      </c>
    </row>
    <row r="391" ht="15.75" customHeight="1">
      <c r="B391" s="13" t="s">
        <v>1310</v>
      </c>
      <c r="C391" s="7">
        <v>134058.0930000001</v>
      </c>
      <c r="D391" s="7">
        <v>112250.84300000005</v>
      </c>
      <c r="E391" s="7">
        <v>85356.35499999992</v>
      </c>
      <c r="F391" s="7">
        <f t="shared" si="1"/>
        <v>331665.291</v>
      </c>
      <c r="G391" s="14">
        <f t="shared" si="2"/>
        <v>-0.002706533213</v>
      </c>
      <c r="I391" s="12"/>
      <c r="J391" s="12"/>
      <c r="K391" s="12"/>
      <c r="L391" s="12"/>
      <c r="M391" s="12">
        <v>43668.0</v>
      </c>
      <c r="N391" s="2">
        <v>297.9</v>
      </c>
      <c r="O391" s="3" t="s">
        <v>232</v>
      </c>
      <c r="P391" s="4" t="str">
        <f t="array" ref="P391">XLOOKUP(O391,Agregado!$B$2:$B$1511,Agregado!$G$2:$G$1511)</f>
        <v>#N/A</v>
      </c>
    </row>
    <row r="392" ht="15.75" customHeight="1">
      <c r="B392" s="13" t="s">
        <v>1311</v>
      </c>
      <c r="C392" s="7">
        <v>132201.47500000012</v>
      </c>
      <c r="D392" s="7">
        <v>112250.84300000005</v>
      </c>
      <c r="E392" s="7">
        <v>85408.51699999992</v>
      </c>
      <c r="F392" s="7">
        <f t="shared" si="1"/>
        <v>329860.835</v>
      </c>
      <c r="G392" s="14">
        <f t="shared" si="2"/>
        <v>-0.005455447349</v>
      </c>
      <c r="I392" s="12"/>
      <c r="J392" s="12"/>
      <c r="K392" s="12"/>
      <c r="L392" s="12"/>
      <c r="M392" s="12">
        <v>43669.0</v>
      </c>
      <c r="N392" s="2">
        <v>300.03</v>
      </c>
      <c r="O392" s="3" t="s">
        <v>233</v>
      </c>
      <c r="P392" s="4" t="str">
        <f t="array" ref="P392">XLOOKUP(O392,Agregado!$B$2:$B$1511,Agregado!$G$2:$G$1511)</f>
        <v>#N/A</v>
      </c>
    </row>
    <row r="393" ht="15.75" customHeight="1">
      <c r="B393" s="13" t="s">
        <v>1312</v>
      </c>
      <c r="C393" s="7">
        <v>130622.57700000012</v>
      </c>
      <c r="D393" s="7">
        <v>112250.84300000005</v>
      </c>
      <c r="E393" s="7">
        <v>85417.73099999993</v>
      </c>
      <c r="F393" s="7">
        <f t="shared" si="1"/>
        <v>328291.151</v>
      </c>
      <c r="G393" s="14">
        <f t="shared" si="2"/>
        <v>-0.004769983255</v>
      </c>
      <c r="I393" s="12"/>
      <c r="J393" s="12"/>
      <c r="K393" s="12"/>
      <c r="L393" s="12"/>
      <c r="M393" s="12">
        <v>43670.0</v>
      </c>
      <c r="N393" s="2">
        <v>301.44</v>
      </c>
      <c r="O393" s="3" t="s">
        <v>234</v>
      </c>
      <c r="P393" s="4" t="str">
        <f t="array" ref="P393">XLOOKUP(O393,Agregado!$B$2:$B$1511,Agregado!$G$2:$G$1511)</f>
        <v>#N/A</v>
      </c>
    </row>
    <row r="394" ht="15.75" customHeight="1">
      <c r="B394" s="13" t="s">
        <v>1313</v>
      </c>
      <c r="C394" s="7">
        <v>129872.70500000012</v>
      </c>
      <c r="D394" s="7">
        <v>112250.84300000005</v>
      </c>
      <c r="E394" s="7">
        <v>85488.92999999992</v>
      </c>
      <c r="F394" s="7">
        <f t="shared" si="1"/>
        <v>327612.478</v>
      </c>
      <c r="G394" s="14">
        <f t="shared" si="2"/>
        <v>-0.002069429752</v>
      </c>
      <c r="I394" s="12"/>
      <c r="J394" s="12"/>
      <c r="K394" s="12"/>
      <c r="L394" s="12"/>
      <c r="M394" s="12">
        <v>43671.0</v>
      </c>
      <c r="N394" s="2">
        <v>300.0</v>
      </c>
      <c r="O394" s="3" t="s">
        <v>235</v>
      </c>
      <c r="P394" s="4" t="str">
        <f t="array" ref="P394">XLOOKUP(O394,Agregado!$B$2:$B$1511,Agregado!$G$2:$G$1511)</f>
        <v>#N/A</v>
      </c>
    </row>
    <row r="395" ht="15.75" customHeight="1">
      <c r="B395" s="13" t="s">
        <v>1314</v>
      </c>
      <c r="C395" s="7">
        <v>130113.79800000011</v>
      </c>
      <c r="D395" s="7">
        <v>112781.27600000006</v>
      </c>
      <c r="E395" s="7">
        <v>85637.93199999991</v>
      </c>
      <c r="F395" s="7">
        <f t="shared" si="1"/>
        <v>328533.006</v>
      </c>
      <c r="G395" s="14">
        <f t="shared" si="2"/>
        <v>0.002805867377</v>
      </c>
      <c r="I395" s="12"/>
      <c r="J395" s="12"/>
      <c r="K395" s="12"/>
      <c r="L395" s="12"/>
      <c r="M395" s="12">
        <v>43672.0</v>
      </c>
      <c r="N395" s="2">
        <v>302.01</v>
      </c>
      <c r="O395" s="3" t="s">
        <v>236</v>
      </c>
      <c r="P395" s="4" t="str">
        <f t="array" ref="P395">XLOOKUP(O395,Agregado!$B$2:$B$1511,Agregado!$G$2:$G$1511)</f>
        <v>#N/A</v>
      </c>
    </row>
    <row r="396" ht="15.75" customHeight="1">
      <c r="B396" s="13" t="s">
        <v>1315</v>
      </c>
      <c r="C396" s="7">
        <v>129948.91700000012</v>
      </c>
      <c r="D396" s="7">
        <v>113112.93800000005</v>
      </c>
      <c r="E396" s="7">
        <v>85708.28599999992</v>
      </c>
      <c r="F396" s="7">
        <f t="shared" si="1"/>
        <v>328770.141</v>
      </c>
      <c r="G396" s="14">
        <f t="shared" si="2"/>
        <v>0.0007215392513</v>
      </c>
      <c r="I396" s="12"/>
      <c r="J396" s="12"/>
      <c r="K396" s="12"/>
      <c r="L396" s="12"/>
      <c r="M396" s="12">
        <v>43675.0</v>
      </c>
      <c r="N396" s="2">
        <v>301.46</v>
      </c>
      <c r="O396" s="3" t="s">
        <v>237</v>
      </c>
      <c r="P396" s="4" t="str">
        <f t="array" ref="P396">XLOOKUP(O396,Agregado!$B$2:$B$1511,Agregado!$G$2:$G$1511)</f>
        <v>#N/A</v>
      </c>
    </row>
    <row r="397" ht="15.75" customHeight="1">
      <c r="B397" s="13" t="s">
        <v>1316</v>
      </c>
      <c r="C397" s="7">
        <v>131383.40200000012</v>
      </c>
      <c r="D397" s="7">
        <v>112930.69300000006</v>
      </c>
      <c r="E397" s="7">
        <v>85734.17299999992</v>
      </c>
      <c r="F397" s="7">
        <f t="shared" si="1"/>
        <v>330048.268</v>
      </c>
      <c r="G397" s="14">
        <f t="shared" si="2"/>
        <v>0.003880063417</v>
      </c>
      <c r="I397" s="12"/>
      <c r="J397" s="12"/>
      <c r="K397" s="12"/>
      <c r="L397" s="12"/>
      <c r="M397" s="12">
        <v>43676.0</v>
      </c>
      <c r="N397" s="2">
        <v>300.72</v>
      </c>
      <c r="O397" s="3" t="s">
        <v>238</v>
      </c>
      <c r="P397" s="4" t="str">
        <f t="array" ref="P397">XLOOKUP(O397,Agregado!$B$2:$B$1511,Agregado!$G$2:$G$1511)</f>
        <v>#N/A</v>
      </c>
    </row>
    <row r="398" ht="15.75" customHeight="1">
      <c r="B398" s="13" t="s">
        <v>1317</v>
      </c>
      <c r="C398" s="7">
        <v>131911.04300000012</v>
      </c>
      <c r="D398" s="7">
        <v>112976.18100000006</v>
      </c>
      <c r="E398" s="7">
        <v>85907.62199999992</v>
      </c>
      <c r="F398" s="7">
        <f t="shared" si="1"/>
        <v>330794.846</v>
      </c>
      <c r="G398" s="14">
        <f t="shared" si="2"/>
        <v>0.002259472186</v>
      </c>
      <c r="I398" s="12"/>
      <c r="J398" s="12"/>
      <c r="K398" s="12"/>
      <c r="L398" s="12"/>
      <c r="M398" s="12">
        <v>43677.0</v>
      </c>
      <c r="N398" s="2">
        <v>297.43</v>
      </c>
      <c r="O398" s="3" t="s">
        <v>239</v>
      </c>
      <c r="P398" s="4" t="str">
        <f t="array" ref="P398">XLOOKUP(O398,Agregado!$B$2:$B$1511,Agregado!$G$2:$G$1511)</f>
        <v>#N/A</v>
      </c>
    </row>
    <row r="399" ht="15.75" customHeight="1">
      <c r="B399" s="13" t="s">
        <v>1318</v>
      </c>
      <c r="C399" s="7">
        <v>132166.6910000001</v>
      </c>
      <c r="D399" s="7">
        <v>112885.43200000006</v>
      </c>
      <c r="E399" s="7">
        <v>86040.34899999991</v>
      </c>
      <c r="F399" s="7">
        <f t="shared" si="1"/>
        <v>331092.472</v>
      </c>
      <c r="G399" s="14">
        <f t="shared" si="2"/>
        <v>0.0008993253443</v>
      </c>
      <c r="I399" s="12"/>
      <c r="J399" s="12"/>
      <c r="K399" s="12"/>
      <c r="L399" s="12"/>
      <c r="M399" s="12">
        <v>43678.0</v>
      </c>
      <c r="N399" s="2">
        <v>294.84</v>
      </c>
      <c r="O399" s="3">
        <v>43473.0</v>
      </c>
      <c r="P399" s="4" t="str">
        <f t="array" ref="P399">XLOOKUP(O399,Agregado!$B$2:$B$1511,Agregado!$G$2:$G$1511)</f>
        <v>#N/A</v>
      </c>
    </row>
    <row r="400" ht="15.75" customHeight="1">
      <c r="B400" s="13" t="s">
        <v>1319</v>
      </c>
      <c r="C400" s="7">
        <v>131155.2020000001</v>
      </c>
      <c r="D400" s="7">
        <v>113259.44800000006</v>
      </c>
      <c r="E400" s="7">
        <v>86368.89199999992</v>
      </c>
      <c r="F400" s="7">
        <f t="shared" si="1"/>
        <v>330783.542</v>
      </c>
      <c r="G400" s="14">
        <f t="shared" si="2"/>
        <v>-0.0009334981655</v>
      </c>
      <c r="I400" s="12"/>
      <c r="J400" s="12"/>
      <c r="K400" s="12"/>
      <c r="L400" s="12"/>
      <c r="M400" s="12">
        <v>43679.0</v>
      </c>
      <c r="N400" s="2">
        <v>292.62</v>
      </c>
      <c r="O400" s="3">
        <v>43504.0</v>
      </c>
      <c r="P400" s="4" t="str">
        <f t="array" ref="P400">XLOOKUP(O400,Agregado!$B$2:$B$1511,Agregado!$G$2:$G$1511)</f>
        <v>#N/A</v>
      </c>
    </row>
    <row r="401" ht="15.75" customHeight="1">
      <c r="B401" s="13" t="s">
        <v>1320</v>
      </c>
      <c r="C401" s="7">
        <v>130639.2130000001</v>
      </c>
      <c r="D401" s="7">
        <v>112859.10500000007</v>
      </c>
      <c r="E401" s="7">
        <v>86710.77299999991</v>
      </c>
      <c r="F401" s="7">
        <f t="shared" si="1"/>
        <v>330209.091</v>
      </c>
      <c r="G401" s="14">
        <f t="shared" si="2"/>
        <v>-0.00173814689</v>
      </c>
      <c r="I401" s="12"/>
      <c r="J401" s="12"/>
      <c r="K401" s="12"/>
      <c r="L401" s="12"/>
      <c r="M401" s="12">
        <v>43682.0</v>
      </c>
      <c r="N401" s="2">
        <v>283.82</v>
      </c>
      <c r="O401" s="3">
        <v>43593.0</v>
      </c>
      <c r="P401" s="4" t="str">
        <f t="array" ref="P401">XLOOKUP(O401,Agregado!$B$2:$B$1511,Agregado!$G$2:$G$1511)</f>
        <v>#N/A</v>
      </c>
    </row>
    <row r="402" ht="15.75" customHeight="1">
      <c r="B402" s="13" t="s">
        <v>1321</v>
      </c>
      <c r="C402" s="7">
        <v>127507.0000000001</v>
      </c>
      <c r="D402" s="7">
        <v>116333.22200000007</v>
      </c>
      <c r="E402" s="7">
        <v>86945.62399999991</v>
      </c>
      <c r="F402" s="7">
        <f t="shared" si="1"/>
        <v>330785.846</v>
      </c>
      <c r="G402" s="14">
        <f t="shared" si="2"/>
        <v>0.001745112146</v>
      </c>
      <c r="I402" s="12"/>
      <c r="J402" s="12"/>
      <c r="K402" s="12"/>
      <c r="L402" s="12"/>
      <c r="M402" s="12">
        <v>43683.0</v>
      </c>
      <c r="N402" s="2">
        <v>287.8</v>
      </c>
      <c r="O402" s="3">
        <v>43624.0</v>
      </c>
      <c r="P402" s="4" t="str">
        <f t="array" ref="P402">XLOOKUP(O402,Agregado!$B$2:$B$1511,Agregado!$G$2:$G$1511)</f>
        <v>#N/A</v>
      </c>
    </row>
    <row r="403" ht="15.75" customHeight="1">
      <c r="B403" s="13" t="s">
        <v>1322</v>
      </c>
      <c r="C403" s="7">
        <v>122223.88400000011</v>
      </c>
      <c r="D403" s="7">
        <v>116033.27700000006</v>
      </c>
      <c r="E403" s="7">
        <v>87011.6829999999</v>
      </c>
      <c r="F403" s="7">
        <f t="shared" si="1"/>
        <v>325268.844</v>
      </c>
      <c r="G403" s="14">
        <f t="shared" si="2"/>
        <v>-0.01681912237</v>
      </c>
      <c r="I403" s="12"/>
      <c r="J403" s="12"/>
      <c r="K403" s="12"/>
      <c r="L403" s="12"/>
      <c r="M403" s="12">
        <v>43684.0</v>
      </c>
      <c r="N403" s="2">
        <v>287.97</v>
      </c>
      <c r="O403" s="3">
        <v>43654.0</v>
      </c>
      <c r="P403" s="4" t="str">
        <f t="array" ref="P403">XLOOKUP(O403,Agregado!$B$2:$B$1511,Agregado!$G$2:$G$1511)</f>
        <v>#N/A</v>
      </c>
    </row>
    <row r="404" ht="15.75" customHeight="1">
      <c r="B404" s="13" t="s">
        <v>1323</v>
      </c>
      <c r="C404" s="7">
        <v>118785.2390000001</v>
      </c>
      <c r="D404" s="7">
        <v>116134.56800000006</v>
      </c>
      <c r="E404" s="7">
        <v>87284.0319999999</v>
      </c>
      <c r="F404" s="7">
        <f t="shared" si="1"/>
        <v>322203.839</v>
      </c>
      <c r="G404" s="14">
        <f t="shared" si="2"/>
        <v>-0.009467667054</v>
      </c>
      <c r="I404" s="12"/>
      <c r="J404" s="12"/>
      <c r="K404" s="12"/>
      <c r="L404" s="12"/>
      <c r="M404" s="12">
        <v>43685.0</v>
      </c>
      <c r="N404" s="2">
        <v>293.62</v>
      </c>
      <c r="O404" s="3">
        <v>43685.0</v>
      </c>
      <c r="P404" s="4" t="str">
        <f t="array" ref="P404">XLOOKUP(O404,Agregado!$B$2:$B$1511,Agregado!$G$2:$G$1511)</f>
        <v>#N/A</v>
      </c>
    </row>
    <row r="405" ht="15.75" customHeight="1">
      <c r="B405" s="13" t="s">
        <v>1324</v>
      </c>
      <c r="C405" s="7">
        <v>120441.1250000001</v>
      </c>
      <c r="D405" s="7">
        <v>116120.08600000005</v>
      </c>
      <c r="E405" s="7">
        <v>87388.50999999991</v>
      </c>
      <c r="F405" s="7">
        <f t="shared" si="1"/>
        <v>323949.721</v>
      </c>
      <c r="G405" s="14">
        <f t="shared" si="2"/>
        <v>0.00540393602</v>
      </c>
      <c r="I405" s="12"/>
      <c r="J405" s="12"/>
      <c r="K405" s="12"/>
      <c r="L405" s="12"/>
      <c r="M405" s="12">
        <v>43686.0</v>
      </c>
      <c r="N405" s="2">
        <v>291.62</v>
      </c>
      <c r="O405" s="3">
        <v>43716.0</v>
      </c>
      <c r="P405" s="4" t="str">
        <f t="array" ref="P405">XLOOKUP(O405,Agregado!$B$2:$B$1511,Agregado!$G$2:$G$1511)</f>
        <v>#N/A</v>
      </c>
    </row>
    <row r="406" ht="15.75" customHeight="1">
      <c r="B406" s="13" t="s">
        <v>1325</v>
      </c>
      <c r="C406" s="7">
        <v>121336.1450000001</v>
      </c>
      <c r="D406" s="7">
        <v>116120.08600000005</v>
      </c>
      <c r="E406" s="7">
        <v>87640.7709999999</v>
      </c>
      <c r="F406" s="7">
        <f t="shared" si="1"/>
        <v>325097.002</v>
      </c>
      <c r="G406" s="14">
        <f t="shared" si="2"/>
        <v>0.003535283838</v>
      </c>
      <c r="I406" s="12"/>
      <c r="J406" s="12"/>
      <c r="K406" s="12"/>
      <c r="L406" s="12"/>
      <c r="M406" s="12">
        <v>43689.0</v>
      </c>
      <c r="N406" s="2">
        <v>288.07</v>
      </c>
      <c r="O406" s="3">
        <v>43807.0</v>
      </c>
      <c r="P406" s="4" t="str">
        <f t="array" ref="P406">XLOOKUP(O406,Agregado!$B$2:$B$1511,Agregado!$G$2:$G$1511)</f>
        <v>#N/A</v>
      </c>
    </row>
    <row r="407" ht="15.75" customHeight="1">
      <c r="B407" s="13" t="s">
        <v>1326</v>
      </c>
      <c r="C407" s="7">
        <v>122356.5910000001</v>
      </c>
      <c r="D407" s="7">
        <v>116149.40900000006</v>
      </c>
      <c r="E407" s="7">
        <v>87672.72999999991</v>
      </c>
      <c r="F407" s="7">
        <f t="shared" si="1"/>
        <v>326178.73</v>
      </c>
      <c r="G407" s="14">
        <f t="shared" si="2"/>
        <v>0.003321877176</v>
      </c>
      <c r="I407" s="12"/>
      <c r="J407" s="12"/>
      <c r="K407" s="12"/>
      <c r="L407" s="12"/>
      <c r="M407" s="12">
        <v>43690.0</v>
      </c>
      <c r="N407" s="2">
        <v>292.55</v>
      </c>
      <c r="O407" s="3" t="s">
        <v>240</v>
      </c>
      <c r="P407" s="4" t="str">
        <f t="array" ref="P407">XLOOKUP(O407,Agregado!$B$2:$B$1511,Agregado!$G$2:$G$1511)</f>
        <v>#N/A</v>
      </c>
    </row>
    <row r="408" ht="15.75" customHeight="1">
      <c r="B408" s="13" t="s">
        <v>1327</v>
      </c>
      <c r="C408" s="7">
        <v>121665.08900000011</v>
      </c>
      <c r="D408" s="7">
        <v>116163.89800000006</v>
      </c>
      <c r="E408" s="7">
        <v>87677.0889999999</v>
      </c>
      <c r="F408" s="7">
        <f t="shared" si="1"/>
        <v>325506.076</v>
      </c>
      <c r="G408" s="14">
        <f t="shared" si="2"/>
        <v>-0.002064354524</v>
      </c>
      <c r="I408" s="12"/>
      <c r="J408" s="12"/>
      <c r="K408" s="12"/>
      <c r="L408" s="12"/>
      <c r="M408" s="12">
        <v>43691.0</v>
      </c>
      <c r="N408" s="2">
        <v>283.9</v>
      </c>
      <c r="O408" s="3" t="s">
        <v>241</v>
      </c>
      <c r="P408" s="4" t="str">
        <f t="array" ref="P408">XLOOKUP(O408,Agregado!$B$2:$B$1511,Agregado!$G$2:$G$1511)</f>
        <v>#N/A</v>
      </c>
    </row>
    <row r="409" ht="15.75" customHeight="1">
      <c r="B409" s="13" t="s">
        <v>1328</v>
      </c>
      <c r="C409" s="7">
        <v>124837.42400000012</v>
      </c>
      <c r="D409" s="7">
        <v>116340.33800000006</v>
      </c>
      <c r="E409" s="7">
        <v>87870.6069999999</v>
      </c>
      <c r="F409" s="7">
        <f t="shared" si="1"/>
        <v>329048.369</v>
      </c>
      <c r="G409" s="14">
        <f t="shared" si="2"/>
        <v>0.01082363006</v>
      </c>
      <c r="I409" s="12"/>
      <c r="J409" s="12"/>
      <c r="K409" s="12"/>
      <c r="L409" s="12"/>
      <c r="M409" s="12">
        <v>43692.0</v>
      </c>
      <c r="N409" s="2">
        <v>284.65</v>
      </c>
      <c r="O409" s="3" t="s">
        <v>242</v>
      </c>
      <c r="P409" s="4" t="str">
        <f t="array" ref="P409">XLOOKUP(O409,Agregado!$B$2:$B$1511,Agregado!$G$2:$G$1511)</f>
        <v>#N/A</v>
      </c>
    </row>
    <row r="410" ht="15.75" customHeight="1">
      <c r="B410" s="13" t="s">
        <v>1329</v>
      </c>
      <c r="C410" s="7">
        <v>122438.32000000011</v>
      </c>
      <c r="D410" s="7">
        <v>116425.99900000005</v>
      </c>
      <c r="E410" s="7">
        <v>87898.8039999999</v>
      </c>
      <c r="F410" s="7">
        <f t="shared" si="1"/>
        <v>326763.123</v>
      </c>
      <c r="G410" s="14">
        <f t="shared" si="2"/>
        <v>-0.006969244295</v>
      </c>
      <c r="I410" s="12"/>
      <c r="J410" s="12"/>
      <c r="K410" s="12"/>
      <c r="L410" s="12"/>
      <c r="M410" s="12">
        <v>43693.0</v>
      </c>
      <c r="N410" s="2">
        <v>288.85</v>
      </c>
      <c r="O410" s="3" t="s">
        <v>243</v>
      </c>
      <c r="P410" s="4" t="str">
        <f t="array" ref="P410">XLOOKUP(O410,Agregado!$B$2:$B$1511,Agregado!$G$2:$G$1511)</f>
        <v>#N/A</v>
      </c>
    </row>
    <row r="411" ht="15.75" customHeight="1">
      <c r="B411" s="13" t="s">
        <v>1330</v>
      </c>
      <c r="C411" s="7">
        <v>120104.03300000011</v>
      </c>
      <c r="D411" s="7">
        <v>116211.27900000005</v>
      </c>
      <c r="E411" s="7">
        <v>87897.2089999999</v>
      </c>
      <c r="F411" s="7">
        <f t="shared" si="1"/>
        <v>324212.521</v>
      </c>
      <c r="G411" s="14">
        <f t="shared" si="2"/>
        <v>-0.007836284124</v>
      </c>
      <c r="I411" s="12"/>
      <c r="J411" s="12"/>
      <c r="K411" s="12"/>
      <c r="L411" s="12"/>
      <c r="M411" s="12">
        <v>43696.0</v>
      </c>
      <c r="N411" s="2">
        <v>292.33</v>
      </c>
      <c r="O411" s="3" t="s">
        <v>244</v>
      </c>
      <c r="P411" s="4" t="str">
        <f t="array" ref="P411">XLOOKUP(O411,Agregado!$B$2:$B$1511,Agregado!$G$2:$G$1511)</f>
        <v>#N/A</v>
      </c>
    </row>
    <row r="412" ht="15.75" customHeight="1">
      <c r="B412" s="13" t="s">
        <v>1331</v>
      </c>
      <c r="C412" s="7">
        <v>120696.09300000011</v>
      </c>
      <c r="D412" s="7">
        <v>116095.09100000006</v>
      </c>
      <c r="E412" s="7">
        <v>87929.0489999999</v>
      </c>
      <c r="F412" s="7">
        <f t="shared" si="1"/>
        <v>324720.233</v>
      </c>
      <c r="G412" s="14">
        <f t="shared" si="2"/>
        <v>0.001564760294</v>
      </c>
      <c r="I412" s="12"/>
      <c r="J412" s="12"/>
      <c r="K412" s="12"/>
      <c r="L412" s="12"/>
      <c r="M412" s="12">
        <v>43697.0</v>
      </c>
      <c r="N412" s="2">
        <v>290.09</v>
      </c>
      <c r="O412" s="3" t="s">
        <v>245</v>
      </c>
      <c r="P412" s="4" t="str">
        <f t="array" ref="P412">XLOOKUP(O412,Agregado!$B$2:$B$1511,Agregado!$G$2:$G$1511)</f>
        <v>#N/A</v>
      </c>
    </row>
    <row r="413" ht="15.75" customHeight="1">
      <c r="B413" s="13" t="s">
        <v>1332</v>
      </c>
      <c r="C413" s="7">
        <v>121704.56800000012</v>
      </c>
      <c r="D413" s="7">
        <v>116300.89300000005</v>
      </c>
      <c r="E413" s="7">
        <v>87989.0899999999</v>
      </c>
      <c r="F413" s="7">
        <f t="shared" si="1"/>
        <v>325994.551</v>
      </c>
      <c r="G413" s="14">
        <f t="shared" si="2"/>
        <v>0.003916676431</v>
      </c>
      <c r="I413" s="12"/>
      <c r="J413" s="12"/>
      <c r="K413" s="12"/>
      <c r="L413" s="12"/>
      <c r="M413" s="12">
        <v>43698.0</v>
      </c>
      <c r="N413" s="2">
        <v>292.45</v>
      </c>
      <c r="O413" s="3" t="s">
        <v>246</v>
      </c>
      <c r="P413" s="4" t="str">
        <f t="array" ref="P413">XLOOKUP(O413,Agregado!$B$2:$B$1511,Agregado!$G$2:$G$1511)</f>
        <v>#N/A</v>
      </c>
    </row>
    <row r="414" ht="15.75" customHeight="1">
      <c r="B414" s="13" t="s">
        <v>1333</v>
      </c>
      <c r="C414" s="7">
        <v>121632.06200000012</v>
      </c>
      <c r="D414" s="7">
        <v>116548.83500000005</v>
      </c>
      <c r="E414" s="7">
        <v>88198.8139999999</v>
      </c>
      <c r="F414" s="7">
        <f t="shared" si="1"/>
        <v>326379.711</v>
      </c>
      <c r="G414" s="14">
        <f t="shared" si="2"/>
        <v>0.001180794728</v>
      </c>
      <c r="I414" s="12"/>
      <c r="J414" s="12"/>
      <c r="K414" s="12"/>
      <c r="L414" s="12"/>
      <c r="M414" s="12">
        <v>43699.0</v>
      </c>
      <c r="N414" s="2">
        <v>292.36</v>
      </c>
      <c r="O414" s="3" t="s">
        <v>247</v>
      </c>
      <c r="P414" s="4" t="str">
        <f t="array" ref="P414">XLOOKUP(O414,Agregado!$B$2:$B$1511,Agregado!$G$2:$G$1511)</f>
        <v>#N/A</v>
      </c>
    </row>
    <row r="415" ht="15.75" customHeight="1">
      <c r="B415" s="13" t="s">
        <v>1334</v>
      </c>
      <c r="C415" s="7">
        <v>121061.84000000013</v>
      </c>
      <c r="D415" s="7">
        <v>116490.01200000005</v>
      </c>
      <c r="E415" s="7">
        <v>88178.9419999999</v>
      </c>
      <c r="F415" s="7">
        <f t="shared" si="1"/>
        <v>325730.794</v>
      </c>
      <c r="G415" s="14">
        <f t="shared" si="2"/>
        <v>-0.001990206289</v>
      </c>
      <c r="I415" s="12"/>
      <c r="J415" s="12"/>
      <c r="K415" s="12"/>
      <c r="L415" s="12"/>
      <c r="M415" s="12">
        <v>43700.0</v>
      </c>
      <c r="N415" s="2">
        <v>284.85</v>
      </c>
      <c r="O415" s="3" t="s">
        <v>248</v>
      </c>
      <c r="P415" s="4" t="str">
        <f t="array" ref="P415">XLOOKUP(O415,Agregado!$B$2:$B$1511,Agregado!$G$2:$G$1511)</f>
        <v>#N/A</v>
      </c>
    </row>
    <row r="416" ht="15.75" customHeight="1">
      <c r="B416" s="13" t="s">
        <v>1335</v>
      </c>
      <c r="C416" s="7">
        <v>121222.59500000013</v>
      </c>
      <c r="D416" s="7">
        <v>115240.62700000005</v>
      </c>
      <c r="E416" s="7">
        <v>88121.76599999989</v>
      </c>
      <c r="F416" s="7">
        <f t="shared" si="1"/>
        <v>324584.988</v>
      </c>
      <c r="G416" s="14">
        <f t="shared" si="2"/>
        <v>-0.003523848621</v>
      </c>
      <c r="I416" s="12"/>
      <c r="J416" s="12"/>
      <c r="K416" s="12"/>
      <c r="L416" s="12"/>
      <c r="M416" s="12">
        <v>43703.0</v>
      </c>
      <c r="N416" s="2">
        <v>288.0</v>
      </c>
      <c r="O416" s="3" t="s">
        <v>249</v>
      </c>
      <c r="P416" s="4" t="str">
        <f t="array" ref="P416">XLOOKUP(O416,Agregado!$B$2:$B$1511,Agregado!$G$2:$G$1511)</f>
        <v>#N/A</v>
      </c>
    </row>
    <row r="417" ht="15.75" customHeight="1">
      <c r="B417" s="13" t="s">
        <v>1336</v>
      </c>
      <c r="C417" s="7">
        <v>120681.62500000013</v>
      </c>
      <c r="D417" s="7">
        <v>115627.20000000006</v>
      </c>
      <c r="E417" s="7">
        <v>88120.15199999989</v>
      </c>
      <c r="F417" s="7">
        <f t="shared" si="1"/>
        <v>324428.977</v>
      </c>
      <c r="G417" s="14">
        <f t="shared" si="2"/>
        <v>-0.000480763162</v>
      </c>
      <c r="I417" s="12"/>
      <c r="J417" s="12"/>
      <c r="K417" s="12"/>
      <c r="L417" s="12"/>
      <c r="M417" s="12">
        <v>43704.0</v>
      </c>
      <c r="N417" s="2">
        <v>286.87</v>
      </c>
      <c r="O417" s="3" t="s">
        <v>250</v>
      </c>
      <c r="P417" s="4" t="str">
        <f t="array" ref="P417">XLOOKUP(O417,Agregado!$B$2:$B$1511,Agregado!$G$2:$G$1511)</f>
        <v>#N/A</v>
      </c>
    </row>
    <row r="418" ht="15.75" customHeight="1">
      <c r="B418" s="13" t="s">
        <v>1337</v>
      </c>
      <c r="C418" s="7">
        <v>120796.77400000014</v>
      </c>
      <c r="D418" s="7">
        <v>115699.58200000005</v>
      </c>
      <c r="E418" s="7">
        <v>88267.98799999988</v>
      </c>
      <c r="F418" s="7">
        <f t="shared" si="1"/>
        <v>324764.344</v>
      </c>
      <c r="G418" s="14">
        <f t="shared" si="2"/>
        <v>0.001033180777</v>
      </c>
      <c r="I418" s="12"/>
      <c r="J418" s="12"/>
      <c r="K418" s="12"/>
      <c r="L418" s="12"/>
      <c r="M418" s="12">
        <v>43705.0</v>
      </c>
      <c r="N418" s="2">
        <v>288.89</v>
      </c>
      <c r="O418" s="3" t="s">
        <v>251</v>
      </c>
      <c r="P418" s="4" t="str">
        <f t="array" ref="P418">XLOOKUP(O418,Agregado!$B$2:$B$1511,Agregado!$G$2:$G$1511)</f>
        <v>#N/A</v>
      </c>
    </row>
    <row r="419" ht="15.75" customHeight="1">
      <c r="B419" s="13" t="s">
        <v>1338</v>
      </c>
      <c r="C419" s="7">
        <v>121313.29100000014</v>
      </c>
      <c r="D419" s="7">
        <v>115714.01200000005</v>
      </c>
      <c r="E419" s="7">
        <v>88348.96399999988</v>
      </c>
      <c r="F419" s="7">
        <f t="shared" si="1"/>
        <v>325376.267</v>
      </c>
      <c r="G419" s="14">
        <f t="shared" si="2"/>
        <v>0.001882433339</v>
      </c>
      <c r="I419" s="12"/>
      <c r="J419" s="12"/>
      <c r="K419" s="12"/>
      <c r="L419" s="12"/>
      <c r="M419" s="12">
        <v>43706.0</v>
      </c>
      <c r="N419" s="2">
        <v>292.58</v>
      </c>
      <c r="O419" s="3" t="s">
        <v>252</v>
      </c>
      <c r="P419" s="4" t="str">
        <f t="array" ref="P419">XLOOKUP(O419,Agregado!$B$2:$B$1511,Agregado!$G$2:$G$1511)</f>
        <v>#N/A</v>
      </c>
    </row>
    <row r="420" ht="15.75" customHeight="1">
      <c r="B420" s="13" t="s">
        <v>1339</v>
      </c>
      <c r="C420" s="7">
        <v>121183.31500000015</v>
      </c>
      <c r="D420" s="7">
        <v>115597.81100000005</v>
      </c>
      <c r="E420" s="7">
        <v>88241.02099999988</v>
      </c>
      <c r="F420" s="7">
        <f t="shared" si="1"/>
        <v>325022.147</v>
      </c>
      <c r="G420" s="14">
        <f t="shared" si="2"/>
        <v>-0.001088932652</v>
      </c>
      <c r="I420" s="12"/>
      <c r="J420" s="12"/>
      <c r="K420" s="12"/>
      <c r="L420" s="12"/>
      <c r="M420" s="12">
        <v>43707.0</v>
      </c>
      <c r="N420" s="2">
        <v>292.45</v>
      </c>
      <c r="O420" s="3" t="s">
        <v>253</v>
      </c>
      <c r="P420" s="4" t="str">
        <f t="array" ref="P420">XLOOKUP(O420,Agregado!$B$2:$B$1511,Agregado!$G$2:$G$1511)</f>
        <v>#N/A</v>
      </c>
    </row>
    <row r="421" ht="15.75" customHeight="1">
      <c r="B421" s="13" t="s">
        <v>1340</v>
      </c>
      <c r="C421" s="7">
        <v>121636.74700000015</v>
      </c>
      <c r="D421" s="7">
        <v>115597.81100000005</v>
      </c>
      <c r="E421" s="7">
        <v>88376.82299999987</v>
      </c>
      <c r="F421" s="7">
        <f t="shared" si="1"/>
        <v>325611.381</v>
      </c>
      <c r="G421" s="14">
        <f t="shared" si="2"/>
        <v>0.001811262825</v>
      </c>
      <c r="I421" s="12"/>
      <c r="J421" s="12"/>
      <c r="K421" s="12"/>
      <c r="L421" s="12"/>
      <c r="M421" s="12">
        <v>43711.0</v>
      </c>
      <c r="N421" s="2">
        <v>290.74</v>
      </c>
      <c r="O421" s="3">
        <v>43533.0</v>
      </c>
      <c r="P421" s="4" t="str">
        <f t="array" ref="P421">XLOOKUP(O421,Agregado!$B$2:$B$1511,Agregado!$G$2:$G$1511)</f>
        <v>#N/A</v>
      </c>
    </row>
    <row r="422" ht="15.75" customHeight="1">
      <c r="B422" s="13" t="s">
        <v>1341</v>
      </c>
      <c r="C422" s="7">
        <v>121446.45200000015</v>
      </c>
      <c r="D422" s="7">
        <v>115774.48900000005</v>
      </c>
      <c r="E422" s="7">
        <v>88163.07399999988</v>
      </c>
      <c r="F422" s="7">
        <f t="shared" si="1"/>
        <v>325384.015</v>
      </c>
      <c r="G422" s="14">
        <f t="shared" si="2"/>
        <v>-0.0006985180253</v>
      </c>
      <c r="I422" s="12"/>
      <c r="J422" s="12"/>
      <c r="K422" s="12"/>
      <c r="L422" s="12"/>
      <c r="M422" s="12">
        <v>43712.0</v>
      </c>
      <c r="N422" s="2">
        <v>294.04</v>
      </c>
      <c r="O422" s="3">
        <v>43564.0</v>
      </c>
      <c r="P422" s="4" t="str">
        <f t="array" ref="P422">XLOOKUP(O422,Agregado!$B$2:$B$1511,Agregado!$G$2:$G$1511)</f>
        <v>#N/A</v>
      </c>
    </row>
    <row r="423" ht="15.75" customHeight="1">
      <c r="B423" s="13" t="s">
        <v>1342</v>
      </c>
      <c r="C423" s="7">
        <v>119978.07300000015</v>
      </c>
      <c r="D423" s="7">
        <v>115964.58300000004</v>
      </c>
      <c r="E423" s="7">
        <v>88251.95399999988</v>
      </c>
      <c r="F423" s="7">
        <f t="shared" si="1"/>
        <v>324194.61</v>
      </c>
      <c r="G423" s="14">
        <f t="shared" si="2"/>
        <v>-0.0036620858</v>
      </c>
      <c r="I423" s="12"/>
      <c r="J423" s="12"/>
      <c r="K423" s="12"/>
      <c r="L423" s="12"/>
      <c r="M423" s="12">
        <v>43713.0</v>
      </c>
      <c r="N423" s="2">
        <v>297.82</v>
      </c>
      <c r="O423" s="3">
        <v>43594.0</v>
      </c>
      <c r="P423" s="4" t="str">
        <f t="array" ref="P423">XLOOKUP(O423,Agregado!$B$2:$B$1511,Agregado!$G$2:$G$1511)</f>
        <v>#N/A</v>
      </c>
    </row>
    <row r="424" ht="15.75" customHeight="1">
      <c r="B424" s="13" t="s">
        <v>1343</v>
      </c>
      <c r="C424" s="7">
        <v>120639.42300000016</v>
      </c>
      <c r="D424" s="7">
        <v>115890.67100000005</v>
      </c>
      <c r="E424" s="7">
        <v>88273.36299999988</v>
      </c>
      <c r="F424" s="7">
        <f t="shared" si="1"/>
        <v>324803.457</v>
      </c>
      <c r="G424" s="14">
        <f t="shared" si="2"/>
        <v>0.00187626808</v>
      </c>
      <c r="I424" s="12"/>
      <c r="J424" s="12"/>
      <c r="K424" s="12"/>
      <c r="L424" s="12"/>
      <c r="M424" s="12">
        <v>43714.0</v>
      </c>
      <c r="N424" s="2">
        <v>298.05</v>
      </c>
      <c r="O424" s="3">
        <v>43625.0</v>
      </c>
      <c r="P424" s="4" t="str">
        <f t="array" ref="P424">XLOOKUP(O424,Agregado!$B$2:$B$1511,Agregado!$G$2:$G$1511)</f>
        <v>#N/A</v>
      </c>
    </row>
    <row r="425" ht="15.75" customHeight="1">
      <c r="B425" s="13" t="s">
        <v>1344</v>
      </c>
      <c r="C425" s="7">
        <v>121994.46200000016</v>
      </c>
      <c r="D425" s="7">
        <v>115815.78100000005</v>
      </c>
      <c r="E425" s="7">
        <v>88283.32399999988</v>
      </c>
      <c r="F425" s="7">
        <f t="shared" si="1"/>
        <v>326093.567</v>
      </c>
      <c r="G425" s="14">
        <f t="shared" si="2"/>
        <v>0.003964103819</v>
      </c>
      <c r="I425" s="12"/>
      <c r="J425" s="12"/>
      <c r="K425" s="12"/>
      <c r="L425" s="12"/>
      <c r="M425" s="12">
        <v>43717.0</v>
      </c>
      <c r="N425" s="2">
        <v>298.2</v>
      </c>
      <c r="O425" s="3">
        <v>43717.0</v>
      </c>
      <c r="P425" s="4" t="str">
        <f t="array" ref="P425">XLOOKUP(O425,Agregado!$B$2:$B$1511,Agregado!$G$2:$G$1511)</f>
        <v>#N/A</v>
      </c>
    </row>
    <row r="426" ht="15.75" customHeight="1">
      <c r="B426" s="13" t="s">
        <v>1345</v>
      </c>
      <c r="C426" s="7">
        <v>122948.35100000016</v>
      </c>
      <c r="D426" s="7">
        <v>115590.89500000005</v>
      </c>
      <c r="E426" s="7">
        <v>88500.76399999988</v>
      </c>
      <c r="F426" s="7">
        <f t="shared" si="1"/>
        <v>327040.01</v>
      </c>
      <c r="G426" s="14">
        <f t="shared" si="2"/>
        <v>0.002898162629</v>
      </c>
      <c r="I426" s="12"/>
      <c r="J426" s="12"/>
      <c r="K426" s="12"/>
      <c r="L426" s="12"/>
      <c r="M426" s="12">
        <v>43718.0</v>
      </c>
      <c r="N426" s="2">
        <v>298.13</v>
      </c>
      <c r="O426" s="3">
        <v>43747.0</v>
      </c>
      <c r="P426" s="4" t="str">
        <f t="array" ref="P426">XLOOKUP(O426,Agregado!$B$2:$B$1511,Agregado!$G$2:$G$1511)</f>
        <v>#N/A</v>
      </c>
    </row>
    <row r="427" ht="15.75" customHeight="1">
      <c r="B427" s="13" t="s">
        <v>1346</v>
      </c>
      <c r="C427" s="7">
        <v>126510.47300000016</v>
      </c>
      <c r="D427" s="7">
        <v>115965.69700000004</v>
      </c>
      <c r="E427" s="7">
        <v>88638.88299999989</v>
      </c>
      <c r="F427" s="7">
        <f t="shared" si="1"/>
        <v>331115.053</v>
      </c>
      <c r="G427" s="14">
        <f t="shared" si="2"/>
        <v>0.01238338897</v>
      </c>
      <c r="I427" s="12"/>
      <c r="J427" s="12"/>
      <c r="K427" s="12"/>
      <c r="L427" s="12"/>
      <c r="M427" s="12">
        <v>43719.0</v>
      </c>
      <c r="N427" s="2">
        <v>300.25</v>
      </c>
      <c r="O427" s="3">
        <v>43778.0</v>
      </c>
      <c r="P427" s="4" t="str">
        <f t="array" ref="P427">XLOOKUP(O427,Agregado!$B$2:$B$1511,Agregado!$G$2:$G$1511)</f>
        <v>#N/A</v>
      </c>
    </row>
    <row r="428" ht="15.75" customHeight="1">
      <c r="B428" s="13" t="s">
        <v>1347</v>
      </c>
      <c r="C428" s="7">
        <v>127658.53200000015</v>
      </c>
      <c r="D428" s="7">
        <v>116130.66800000005</v>
      </c>
      <c r="E428" s="7">
        <v>88653.90999999989</v>
      </c>
      <c r="F428" s="7">
        <f t="shared" si="1"/>
        <v>332443.11</v>
      </c>
      <c r="G428" s="14">
        <f t="shared" si="2"/>
        <v>0.004002840587</v>
      </c>
      <c r="I428" s="12"/>
      <c r="J428" s="12"/>
      <c r="K428" s="12"/>
      <c r="L428" s="12"/>
      <c r="M428" s="12">
        <v>43720.0</v>
      </c>
      <c r="N428" s="2">
        <v>301.29</v>
      </c>
      <c r="O428" s="3">
        <v>43808.0</v>
      </c>
      <c r="P428" s="4" t="str">
        <f t="array" ref="P428">XLOOKUP(O428,Agregado!$B$2:$B$1511,Agregado!$G$2:$G$1511)</f>
        <v>#N/A</v>
      </c>
    </row>
    <row r="429" ht="15.75" customHeight="1">
      <c r="B429" s="13" t="s">
        <v>1348</v>
      </c>
      <c r="C429" s="7">
        <v>127943.87300000015</v>
      </c>
      <c r="D429" s="7">
        <v>116130.66800000005</v>
      </c>
      <c r="E429" s="7">
        <v>88824.03099999989</v>
      </c>
      <c r="F429" s="7">
        <f t="shared" si="1"/>
        <v>332898.572</v>
      </c>
      <c r="G429" s="14">
        <f t="shared" si="2"/>
        <v>0.001369107283</v>
      </c>
      <c r="I429" s="12"/>
      <c r="J429" s="12"/>
      <c r="K429" s="12"/>
      <c r="L429" s="12"/>
      <c r="M429" s="12">
        <v>43721.0</v>
      </c>
      <c r="N429" s="2">
        <v>301.09</v>
      </c>
      <c r="O429" s="3" t="s">
        <v>254</v>
      </c>
      <c r="P429" s="4" t="str">
        <f t="array" ref="P429">XLOOKUP(O429,Agregado!$B$2:$B$1511,Agregado!$G$2:$G$1511)</f>
        <v>#N/A</v>
      </c>
    </row>
    <row r="430" ht="15.75" customHeight="1">
      <c r="B430" s="13" t="s">
        <v>1349</v>
      </c>
      <c r="C430" s="7">
        <v>128079.44200000016</v>
      </c>
      <c r="D430" s="7">
        <v>116282.19200000005</v>
      </c>
      <c r="E430" s="7">
        <v>88841.28399999988</v>
      </c>
      <c r="F430" s="7">
        <f t="shared" si="1"/>
        <v>333202.918</v>
      </c>
      <c r="G430" s="14">
        <f t="shared" si="2"/>
        <v>0.000913812762</v>
      </c>
      <c r="I430" s="12"/>
      <c r="J430" s="12"/>
      <c r="K430" s="12"/>
      <c r="L430" s="12"/>
      <c r="M430" s="12">
        <v>43724.0</v>
      </c>
      <c r="N430" s="2">
        <v>300.16</v>
      </c>
      <c r="O430" s="3" t="s">
        <v>255</v>
      </c>
      <c r="P430" s="4" t="str">
        <f t="array" ref="P430">XLOOKUP(O430,Agregado!$B$2:$B$1511,Agregado!$G$2:$G$1511)</f>
        <v>#N/A</v>
      </c>
    </row>
    <row r="431" ht="15.75" customHeight="1">
      <c r="B431" s="13" t="s">
        <v>1350</v>
      </c>
      <c r="C431" s="7">
        <v>133605.16700000016</v>
      </c>
      <c r="D431" s="7">
        <v>116191.31900000005</v>
      </c>
      <c r="E431" s="7">
        <v>88890.29399999988</v>
      </c>
      <c r="F431" s="7">
        <f t="shared" si="1"/>
        <v>338686.78</v>
      </c>
      <c r="G431" s="14">
        <f t="shared" si="2"/>
        <v>0.01632405971</v>
      </c>
      <c r="I431" s="12"/>
      <c r="J431" s="12"/>
      <c r="K431" s="12"/>
      <c r="L431" s="12"/>
      <c r="M431" s="12">
        <v>43725.0</v>
      </c>
      <c r="N431" s="2">
        <v>300.92</v>
      </c>
      <c r="O431" s="3" t="s">
        <v>256</v>
      </c>
      <c r="P431" s="4" t="str">
        <f t="array" ref="P431">XLOOKUP(O431,Agregado!$B$2:$B$1511,Agregado!$G$2:$G$1511)</f>
        <v>#N/A</v>
      </c>
    </row>
    <row r="432" ht="15.75" customHeight="1">
      <c r="B432" s="13" t="s">
        <v>1351</v>
      </c>
      <c r="C432" s="7">
        <v>127451.13200000016</v>
      </c>
      <c r="D432" s="7">
        <v>118607.07700000005</v>
      </c>
      <c r="E432" s="7">
        <v>88902.60999999988</v>
      </c>
      <c r="F432" s="7">
        <f t="shared" si="1"/>
        <v>334960.819</v>
      </c>
      <c r="G432" s="14">
        <f t="shared" si="2"/>
        <v>-0.01106216069</v>
      </c>
      <c r="I432" s="12"/>
      <c r="J432" s="12"/>
      <c r="K432" s="12"/>
      <c r="L432" s="12"/>
      <c r="M432" s="12">
        <v>43726.0</v>
      </c>
      <c r="N432" s="2">
        <v>301.1</v>
      </c>
      <c r="O432" s="3" t="s">
        <v>257</v>
      </c>
      <c r="P432" s="4" t="str">
        <f t="array" ref="P432">XLOOKUP(O432,Agregado!$B$2:$B$1511,Agregado!$G$2:$G$1511)</f>
        <v>#N/A</v>
      </c>
    </row>
    <row r="433" ht="15.75" customHeight="1">
      <c r="B433" s="13" t="s">
        <v>1352</v>
      </c>
      <c r="C433" s="7">
        <v>127421.03500000016</v>
      </c>
      <c r="D433" s="7">
        <v>118501.11500000005</v>
      </c>
      <c r="E433" s="7">
        <v>88873.58399999989</v>
      </c>
      <c r="F433" s="7">
        <f t="shared" si="1"/>
        <v>334795.734</v>
      </c>
      <c r="G433" s="14">
        <f t="shared" si="2"/>
        <v>-0.0004929701773</v>
      </c>
      <c r="I433" s="12"/>
      <c r="J433" s="12"/>
      <c r="K433" s="12"/>
      <c r="L433" s="12"/>
      <c r="M433" s="12">
        <v>43727.0</v>
      </c>
      <c r="N433" s="2">
        <v>301.08</v>
      </c>
      <c r="O433" s="3" t="s">
        <v>258</v>
      </c>
      <c r="P433" s="4" t="str">
        <f t="array" ref="P433">XLOOKUP(O433,Agregado!$B$2:$B$1511,Agregado!$G$2:$G$1511)</f>
        <v>#N/A</v>
      </c>
    </row>
    <row r="434" ht="15.75" customHeight="1">
      <c r="B434" s="13" t="s">
        <v>1353</v>
      </c>
      <c r="C434" s="7">
        <v>129287.68700000017</v>
      </c>
      <c r="D434" s="7">
        <v>118410.25900000005</v>
      </c>
      <c r="E434" s="7">
        <v>89078.23999999989</v>
      </c>
      <c r="F434" s="7">
        <f t="shared" si="1"/>
        <v>336776.186</v>
      </c>
      <c r="G434" s="14">
        <f t="shared" si="2"/>
        <v>0.005897976619</v>
      </c>
      <c r="I434" s="12"/>
      <c r="J434" s="12"/>
      <c r="K434" s="12"/>
      <c r="L434" s="12"/>
      <c r="M434" s="12">
        <v>43728.0</v>
      </c>
      <c r="N434" s="2">
        <v>298.28</v>
      </c>
      <c r="O434" s="3" t="s">
        <v>259</v>
      </c>
      <c r="P434" s="4" t="str">
        <f t="array" ref="P434">XLOOKUP(O434,Agregado!$B$2:$B$1511,Agregado!$G$2:$G$1511)</f>
        <v>#N/A</v>
      </c>
    </row>
    <row r="435" ht="15.75" customHeight="1">
      <c r="B435" s="13" t="s">
        <v>1354</v>
      </c>
      <c r="C435" s="7">
        <v>124951.90700000017</v>
      </c>
      <c r="D435" s="7">
        <v>117910.50900000005</v>
      </c>
      <c r="E435" s="7">
        <v>88833.8889999999</v>
      </c>
      <c r="F435" s="7">
        <f t="shared" si="1"/>
        <v>331696.305</v>
      </c>
      <c r="G435" s="14">
        <f t="shared" si="2"/>
        <v>-0.01519876691</v>
      </c>
      <c r="I435" s="12"/>
      <c r="J435" s="12"/>
      <c r="K435" s="12"/>
      <c r="L435" s="12"/>
      <c r="M435" s="12">
        <v>43731.0</v>
      </c>
      <c r="N435" s="2">
        <v>298.21</v>
      </c>
      <c r="O435" s="3" t="s">
        <v>260</v>
      </c>
      <c r="P435" s="4" t="str">
        <f t="array" ref="P435">XLOOKUP(O435,Agregado!$B$2:$B$1511,Agregado!$G$2:$G$1511)</f>
        <v>#N/A</v>
      </c>
    </row>
    <row r="436" ht="15.75" customHeight="1">
      <c r="B436" s="13" t="s">
        <v>1355</v>
      </c>
      <c r="C436" s="7">
        <v>124936.99400000017</v>
      </c>
      <c r="D436" s="7">
        <v>117729.66400000005</v>
      </c>
      <c r="E436" s="7">
        <v>88473.3709999999</v>
      </c>
      <c r="F436" s="7">
        <f t="shared" si="1"/>
        <v>331140.029</v>
      </c>
      <c r="G436" s="14">
        <f t="shared" si="2"/>
        <v>-0.001678472051</v>
      </c>
      <c r="I436" s="12"/>
      <c r="J436" s="12"/>
      <c r="K436" s="12"/>
      <c r="L436" s="12"/>
      <c r="M436" s="12">
        <v>43732.0</v>
      </c>
      <c r="N436" s="2">
        <v>295.87</v>
      </c>
      <c r="O436" s="3" t="s">
        <v>261</v>
      </c>
      <c r="P436" s="4" t="str">
        <f t="array" ref="P436">XLOOKUP(O436,Agregado!$B$2:$B$1511,Agregado!$G$2:$G$1511)</f>
        <v>#N/A</v>
      </c>
    </row>
    <row r="437" ht="15.75" customHeight="1">
      <c r="B437" s="13" t="s">
        <v>1356</v>
      </c>
      <c r="C437" s="7">
        <v>127367.55500000017</v>
      </c>
      <c r="D437" s="7">
        <v>117699.52600000004</v>
      </c>
      <c r="E437" s="7">
        <v>88477.3159999999</v>
      </c>
      <c r="F437" s="7">
        <f t="shared" si="1"/>
        <v>333544.397</v>
      </c>
      <c r="G437" s="14">
        <f t="shared" si="2"/>
        <v>0.007234646677</v>
      </c>
      <c r="I437" s="12"/>
      <c r="J437" s="12"/>
      <c r="K437" s="12"/>
      <c r="L437" s="12"/>
      <c r="M437" s="12">
        <v>43733.0</v>
      </c>
      <c r="N437" s="2">
        <v>297.62</v>
      </c>
      <c r="O437" s="3" t="s">
        <v>262</v>
      </c>
      <c r="P437" s="4" t="str">
        <f t="array" ref="P437">XLOOKUP(O437,Agregado!$B$2:$B$1511,Agregado!$G$2:$G$1511)</f>
        <v>#N/A</v>
      </c>
    </row>
    <row r="438" ht="15.75" customHeight="1">
      <c r="B438" s="13" t="s">
        <v>1357</v>
      </c>
      <c r="C438" s="7">
        <v>129984.85600000017</v>
      </c>
      <c r="D438" s="7">
        <v>117580.57200000004</v>
      </c>
      <c r="E438" s="7">
        <v>88722.38499999991</v>
      </c>
      <c r="F438" s="7">
        <f t="shared" si="1"/>
        <v>336287.813</v>
      </c>
      <c r="G438" s="14">
        <f t="shared" si="2"/>
        <v>0.008191398679</v>
      </c>
      <c r="I438" s="12"/>
      <c r="J438" s="12"/>
      <c r="K438" s="12"/>
      <c r="L438" s="12"/>
      <c r="M438" s="12">
        <v>43734.0</v>
      </c>
      <c r="N438" s="2">
        <v>297.0</v>
      </c>
      <c r="O438" s="3" t="s">
        <v>263</v>
      </c>
      <c r="P438" s="4" t="str">
        <f t="array" ref="P438">XLOOKUP(O438,Agregado!$B$2:$B$1511,Agregado!$G$2:$G$1511)</f>
        <v>#N/A</v>
      </c>
    </row>
    <row r="439" ht="15.75" customHeight="1">
      <c r="B439" s="13" t="s">
        <v>1358</v>
      </c>
      <c r="C439" s="7">
        <v>131398.27700000018</v>
      </c>
      <c r="D439" s="7">
        <v>117565.61100000005</v>
      </c>
      <c r="E439" s="7">
        <v>89333.32599999991</v>
      </c>
      <c r="F439" s="7">
        <f t="shared" si="1"/>
        <v>338297.214</v>
      </c>
      <c r="G439" s="14">
        <f t="shared" si="2"/>
        <v>0.005957460847</v>
      </c>
      <c r="I439" s="12"/>
      <c r="J439" s="12"/>
      <c r="K439" s="12"/>
      <c r="L439" s="12"/>
      <c r="M439" s="12">
        <v>43735.0</v>
      </c>
      <c r="N439" s="2">
        <v>295.4</v>
      </c>
      <c r="O439" s="3" t="s">
        <v>264</v>
      </c>
      <c r="P439" s="4" t="str">
        <f t="array" ref="P439">XLOOKUP(O439,Agregado!$B$2:$B$1511,Agregado!$G$2:$G$1511)</f>
        <v>#N/A</v>
      </c>
    </row>
    <row r="440" ht="15.75" customHeight="1">
      <c r="B440" s="13" t="s">
        <v>1359</v>
      </c>
      <c r="C440" s="7">
        <v>131116.26400000017</v>
      </c>
      <c r="D440" s="7">
        <v>117565.61100000005</v>
      </c>
      <c r="E440" s="7">
        <v>89128.85299999992</v>
      </c>
      <c r="F440" s="7">
        <f t="shared" si="1"/>
        <v>337810.728</v>
      </c>
      <c r="G440" s="14">
        <f t="shared" si="2"/>
        <v>-0.001439078152</v>
      </c>
      <c r="I440" s="12"/>
      <c r="J440" s="12"/>
      <c r="K440" s="12"/>
      <c r="L440" s="12"/>
      <c r="M440" s="12">
        <v>43738.0</v>
      </c>
      <c r="N440" s="2">
        <v>296.77</v>
      </c>
      <c r="O440" s="3" t="s">
        <v>265</v>
      </c>
      <c r="P440" s="4" t="str">
        <f t="array" ref="P440">XLOOKUP(O440,Agregado!$B$2:$B$1511,Agregado!$G$2:$G$1511)</f>
        <v>#N/A</v>
      </c>
    </row>
    <row r="441" ht="15.75" customHeight="1">
      <c r="B441" s="13" t="s">
        <v>1360</v>
      </c>
      <c r="C441" s="7">
        <v>129344.34900000018</v>
      </c>
      <c r="D441" s="7">
        <v>117714.09300000005</v>
      </c>
      <c r="E441" s="7">
        <v>88844.07199999991</v>
      </c>
      <c r="F441" s="7">
        <f t="shared" si="1"/>
        <v>335902.514</v>
      </c>
      <c r="G441" s="14">
        <f t="shared" si="2"/>
        <v>-0.005664781346</v>
      </c>
      <c r="I441" s="12"/>
      <c r="J441" s="12"/>
      <c r="K441" s="12"/>
      <c r="L441" s="12"/>
      <c r="M441" s="12">
        <v>43739.0</v>
      </c>
      <c r="N441" s="2">
        <v>293.24</v>
      </c>
      <c r="O441" s="3">
        <v>43475.0</v>
      </c>
      <c r="P441" s="4" t="str">
        <f t="array" ref="P441">XLOOKUP(O441,Agregado!$B$2:$B$1511,Agregado!$G$2:$G$1511)</f>
        <v>#N/A</v>
      </c>
    </row>
    <row r="442" ht="15.75" customHeight="1">
      <c r="B442" s="13" t="s">
        <v>1361</v>
      </c>
      <c r="C442" s="7">
        <v>130071.56600000018</v>
      </c>
      <c r="D442" s="7">
        <v>117729.01700000005</v>
      </c>
      <c r="E442" s="7">
        <v>88780.54299999992</v>
      </c>
      <c r="F442" s="7">
        <f t="shared" si="1"/>
        <v>336581.126</v>
      </c>
      <c r="G442" s="14">
        <f t="shared" si="2"/>
        <v>0.002018226734</v>
      </c>
      <c r="I442" s="12"/>
      <c r="J442" s="12"/>
      <c r="K442" s="12"/>
      <c r="L442" s="12"/>
      <c r="M442" s="12">
        <v>43740.0</v>
      </c>
      <c r="N442" s="2">
        <v>288.06</v>
      </c>
      <c r="O442" s="3">
        <v>43506.0</v>
      </c>
      <c r="P442" s="4" t="str">
        <f t="array" ref="P442">XLOOKUP(O442,Agregado!$B$2:$B$1511,Agregado!$G$2:$G$1511)</f>
        <v>#N/A</v>
      </c>
    </row>
    <row r="443" ht="15.75" customHeight="1">
      <c r="B443" s="13" t="s">
        <v>1362</v>
      </c>
      <c r="C443" s="7">
        <v>130130.20500000018</v>
      </c>
      <c r="D443" s="7">
        <v>117773.24100000005</v>
      </c>
      <c r="E443" s="7">
        <v>88777.10199999991</v>
      </c>
      <c r="F443" s="7">
        <f t="shared" si="1"/>
        <v>336680.548</v>
      </c>
      <c r="G443" s="14">
        <f t="shared" si="2"/>
        <v>0.0002953443054</v>
      </c>
      <c r="I443" s="12"/>
      <c r="J443" s="12"/>
      <c r="K443" s="12"/>
      <c r="L443" s="12"/>
      <c r="M443" s="12">
        <v>43741.0</v>
      </c>
      <c r="N443" s="2">
        <v>290.42</v>
      </c>
      <c r="O443" s="3">
        <v>43534.0</v>
      </c>
      <c r="P443" s="4" t="str">
        <f t="array" ref="P443">XLOOKUP(O443,Agregado!$B$2:$B$1511,Agregado!$G$2:$G$1511)</f>
        <v>#N/A</v>
      </c>
    </row>
    <row r="444" ht="15.75" customHeight="1">
      <c r="B444" s="13" t="s">
        <v>1363</v>
      </c>
      <c r="C444" s="7">
        <v>126948.41700000018</v>
      </c>
      <c r="D444" s="7">
        <v>118048.31400000006</v>
      </c>
      <c r="E444" s="7">
        <v>89151.6269999999</v>
      </c>
      <c r="F444" s="7">
        <f t="shared" si="1"/>
        <v>334148.358</v>
      </c>
      <c r="G444" s="14">
        <f t="shared" si="2"/>
        <v>-0.007549472016</v>
      </c>
      <c r="I444" s="12"/>
      <c r="J444" s="12"/>
      <c r="K444" s="12"/>
      <c r="L444" s="12"/>
      <c r="M444" s="12">
        <v>43742.0</v>
      </c>
      <c r="N444" s="2">
        <v>294.35</v>
      </c>
      <c r="O444" s="3">
        <v>43565.0</v>
      </c>
      <c r="P444" s="4" t="str">
        <f t="array" ref="P444">XLOOKUP(O444,Agregado!$B$2:$B$1511,Agregado!$G$2:$G$1511)</f>
        <v>#N/A</v>
      </c>
    </row>
    <row r="445" ht="15.75" customHeight="1">
      <c r="B445" s="13" t="s">
        <v>1364</v>
      </c>
      <c r="C445" s="7">
        <v>124306.58500000018</v>
      </c>
      <c r="D445" s="7">
        <v>118150.49000000006</v>
      </c>
      <c r="E445" s="7">
        <v>89140.5799999999</v>
      </c>
      <c r="F445" s="7">
        <f t="shared" si="1"/>
        <v>331597.655</v>
      </c>
      <c r="G445" s="14">
        <f t="shared" si="2"/>
        <v>-0.007662728521</v>
      </c>
      <c r="I445" s="12"/>
      <c r="J445" s="12"/>
      <c r="K445" s="12"/>
      <c r="L445" s="12"/>
      <c r="M445" s="12">
        <v>43745.0</v>
      </c>
      <c r="N445" s="2">
        <v>293.08</v>
      </c>
      <c r="O445" s="3">
        <v>43656.0</v>
      </c>
      <c r="P445" s="4" t="str">
        <f t="array" ref="P445">XLOOKUP(O445,Agregado!$B$2:$B$1511,Agregado!$G$2:$G$1511)</f>
        <v>#N/A</v>
      </c>
    </row>
    <row r="446" ht="15.75" customHeight="1">
      <c r="B446" s="13" t="s">
        <v>1365</v>
      </c>
      <c r="C446" s="7">
        <v>125911.26500000017</v>
      </c>
      <c r="D446" s="7">
        <v>118535.39800000006</v>
      </c>
      <c r="E446" s="7">
        <v>89010.6739999999</v>
      </c>
      <c r="F446" s="7">
        <f t="shared" si="1"/>
        <v>333457.337</v>
      </c>
      <c r="G446" s="14">
        <f t="shared" si="2"/>
        <v>0.005592580672</v>
      </c>
      <c r="I446" s="12"/>
      <c r="J446" s="12"/>
      <c r="K446" s="12"/>
      <c r="L446" s="12"/>
      <c r="M446" s="12">
        <v>43746.0</v>
      </c>
      <c r="N446" s="2">
        <v>288.53</v>
      </c>
      <c r="O446" s="3">
        <v>43687.0</v>
      </c>
      <c r="P446" s="4" t="str">
        <f t="array" ref="P446">XLOOKUP(O446,Agregado!$B$2:$B$1511,Agregado!$G$2:$G$1511)</f>
        <v>#N/A</v>
      </c>
    </row>
    <row r="447" ht="15.75" customHeight="1">
      <c r="B447" s="13" t="s">
        <v>1366</v>
      </c>
      <c r="C447" s="7">
        <v>126863.90200000018</v>
      </c>
      <c r="D447" s="7">
        <v>118785.94200000005</v>
      </c>
      <c r="E447" s="7">
        <v>86029.3309999999</v>
      </c>
      <c r="F447" s="7">
        <f t="shared" si="1"/>
        <v>331679.175</v>
      </c>
      <c r="G447" s="14">
        <f t="shared" si="2"/>
        <v>-0.005346770788</v>
      </c>
      <c r="I447" s="12"/>
      <c r="J447" s="12"/>
      <c r="K447" s="12"/>
      <c r="L447" s="12"/>
      <c r="M447" s="12">
        <v>43747.0</v>
      </c>
      <c r="N447" s="2">
        <v>291.27</v>
      </c>
      <c r="O447" s="3">
        <v>43718.0</v>
      </c>
      <c r="P447" s="4" t="str">
        <f t="array" ref="P447">XLOOKUP(O447,Agregado!$B$2:$B$1511,Agregado!$G$2:$G$1511)</f>
        <v>#N/A</v>
      </c>
    </row>
    <row r="448" ht="15.75" customHeight="1">
      <c r="B448" s="13" t="s">
        <v>1367</v>
      </c>
      <c r="C448" s="7">
        <v>125334.50300000017</v>
      </c>
      <c r="D448" s="7">
        <v>118902.01300000005</v>
      </c>
      <c r="E448" s="7">
        <v>86066.19599999991</v>
      </c>
      <c r="F448" s="7">
        <f t="shared" si="1"/>
        <v>330302.712</v>
      </c>
      <c r="G448" s="14">
        <f t="shared" si="2"/>
        <v>-0.004158618267</v>
      </c>
      <c r="I448" s="12"/>
      <c r="J448" s="12"/>
      <c r="K448" s="12"/>
      <c r="L448" s="12"/>
      <c r="M448" s="12">
        <v>43748.0</v>
      </c>
      <c r="N448" s="2">
        <v>293.24</v>
      </c>
      <c r="O448" s="3">
        <v>43748.0</v>
      </c>
      <c r="P448" s="4" t="str">
        <f t="array" ref="P448">XLOOKUP(O448,Agregado!$B$2:$B$1511,Agregado!$G$2:$G$1511)</f>
        <v>#N/A</v>
      </c>
    </row>
    <row r="449" ht="15.75" customHeight="1">
      <c r="B449" s="13" t="s">
        <v>1368</v>
      </c>
      <c r="C449" s="7">
        <v>125858.81300000017</v>
      </c>
      <c r="D449" s="7">
        <v>119150.98800000006</v>
      </c>
      <c r="E449" s="7">
        <v>86159.81399999991</v>
      </c>
      <c r="F449" s="7">
        <f t="shared" si="1"/>
        <v>331169.615</v>
      </c>
      <c r="G449" s="14">
        <f t="shared" si="2"/>
        <v>0.002621133072</v>
      </c>
      <c r="I449" s="12"/>
      <c r="J449" s="12"/>
      <c r="K449" s="12"/>
      <c r="L449" s="12"/>
      <c r="M449" s="12">
        <v>43749.0</v>
      </c>
      <c r="N449" s="2">
        <v>296.28</v>
      </c>
      <c r="O449" s="3">
        <v>43779.0</v>
      </c>
      <c r="P449" s="4" t="str">
        <f t="array" ref="P449">XLOOKUP(O449,Agregado!$B$2:$B$1511,Agregado!$G$2:$G$1511)</f>
        <v>#N/A</v>
      </c>
    </row>
    <row r="450" ht="15.75" customHeight="1">
      <c r="B450" s="13" t="s">
        <v>1369</v>
      </c>
      <c r="C450" s="7">
        <v>126445.12700000017</v>
      </c>
      <c r="D450" s="7">
        <v>119150.98800000006</v>
      </c>
      <c r="E450" s="7">
        <v>86178.2409999999</v>
      </c>
      <c r="F450" s="7">
        <f t="shared" si="1"/>
        <v>331774.356</v>
      </c>
      <c r="G450" s="14">
        <f t="shared" si="2"/>
        <v>0.001824411094</v>
      </c>
      <c r="I450" s="12"/>
      <c r="J450" s="12"/>
      <c r="K450" s="12"/>
      <c r="L450" s="12"/>
      <c r="M450" s="12">
        <v>43752.0</v>
      </c>
      <c r="N450" s="2">
        <v>295.95</v>
      </c>
      <c r="O450" s="3" t="s">
        <v>266</v>
      </c>
      <c r="P450" s="4" t="str">
        <f t="array" ref="P450">XLOOKUP(O450,Agregado!$B$2:$B$1511,Agregado!$G$2:$G$1511)</f>
        <v>#N/A</v>
      </c>
    </row>
    <row r="451" ht="15.75" customHeight="1">
      <c r="B451" s="13" t="s">
        <v>1370</v>
      </c>
      <c r="C451" s="7">
        <v>128490.20300000017</v>
      </c>
      <c r="D451" s="7">
        <v>119121.18300000006</v>
      </c>
      <c r="E451" s="7">
        <v>86214.8009999999</v>
      </c>
      <c r="F451" s="7">
        <f t="shared" si="1"/>
        <v>333826.187</v>
      </c>
      <c r="G451" s="14">
        <f t="shared" si="2"/>
        <v>0.006165372072</v>
      </c>
      <c r="I451" s="12"/>
      <c r="J451" s="12"/>
      <c r="K451" s="12"/>
      <c r="L451" s="12"/>
      <c r="M451" s="12">
        <v>43753.0</v>
      </c>
      <c r="N451" s="2">
        <v>298.88</v>
      </c>
      <c r="O451" s="3" t="s">
        <v>267</v>
      </c>
      <c r="P451" s="4" t="str">
        <f t="array" ref="P451">XLOOKUP(O451,Agregado!$B$2:$B$1511,Agregado!$G$2:$G$1511)</f>
        <v>#N/A</v>
      </c>
    </row>
    <row r="452" ht="15.75" customHeight="1">
      <c r="B452" s="13" t="s">
        <v>1371</v>
      </c>
      <c r="C452" s="7">
        <v>127927.84800000017</v>
      </c>
      <c r="D452" s="7">
        <v>119150.94600000007</v>
      </c>
      <c r="E452" s="7">
        <v>86365.50299999991</v>
      </c>
      <c r="F452" s="7">
        <f t="shared" si="1"/>
        <v>333444.297</v>
      </c>
      <c r="G452" s="14">
        <f t="shared" si="2"/>
        <v>-0.001144633401</v>
      </c>
      <c r="I452" s="12"/>
      <c r="J452" s="12"/>
      <c r="K452" s="12"/>
      <c r="L452" s="12"/>
      <c r="M452" s="12">
        <v>43754.0</v>
      </c>
      <c r="N452" s="2">
        <v>298.4</v>
      </c>
      <c r="O452" s="3" t="s">
        <v>268</v>
      </c>
      <c r="P452" s="4" t="str">
        <f t="array" ref="P452">XLOOKUP(O452,Agregado!$B$2:$B$1511,Agregado!$G$2:$G$1511)</f>
        <v>#N/A</v>
      </c>
    </row>
    <row r="453" ht="15.75" customHeight="1">
      <c r="B453" s="13" t="s">
        <v>1372</v>
      </c>
      <c r="C453" s="7">
        <v>128480.85300000018</v>
      </c>
      <c r="D453" s="7">
        <v>118985.61700000007</v>
      </c>
      <c r="E453" s="7">
        <v>86304.2889999999</v>
      </c>
      <c r="F453" s="7">
        <f t="shared" si="1"/>
        <v>333770.759</v>
      </c>
      <c r="G453" s="14">
        <f t="shared" si="2"/>
        <v>0.000978581113</v>
      </c>
      <c r="I453" s="12"/>
      <c r="J453" s="12"/>
      <c r="K453" s="12"/>
      <c r="L453" s="12"/>
      <c r="M453" s="12">
        <v>43755.0</v>
      </c>
      <c r="N453" s="2">
        <v>299.28</v>
      </c>
      <c r="O453" s="3" t="s">
        <v>269</v>
      </c>
      <c r="P453" s="4" t="str">
        <f t="array" ref="P453">XLOOKUP(O453,Agregado!$B$2:$B$1511,Agregado!$G$2:$G$1511)</f>
        <v>#N/A</v>
      </c>
    </row>
    <row r="454" ht="15.75" customHeight="1">
      <c r="B454" s="13" t="s">
        <v>1373</v>
      </c>
      <c r="C454" s="7">
        <v>127899.08300000017</v>
      </c>
      <c r="D454" s="7">
        <v>118670.60100000007</v>
      </c>
      <c r="E454" s="7">
        <v>86178.25299999991</v>
      </c>
      <c r="F454" s="7">
        <f t="shared" si="1"/>
        <v>332747.937</v>
      </c>
      <c r="G454" s="14">
        <f t="shared" si="2"/>
        <v>-0.003069149625</v>
      </c>
      <c r="I454" s="12"/>
      <c r="J454" s="12"/>
      <c r="K454" s="12"/>
      <c r="L454" s="12"/>
      <c r="M454" s="12">
        <v>43756.0</v>
      </c>
      <c r="N454" s="2">
        <v>297.97</v>
      </c>
      <c r="O454" s="3" t="s">
        <v>270</v>
      </c>
      <c r="P454" s="4" t="str">
        <f t="array" ref="P454">XLOOKUP(O454,Agregado!$B$2:$B$1511,Agregado!$G$2:$G$1511)</f>
        <v>#N/A</v>
      </c>
    </row>
    <row r="455" ht="15.75" customHeight="1">
      <c r="B455" s="13" t="s">
        <v>1374</v>
      </c>
      <c r="C455" s="7">
        <v>127614.85400000017</v>
      </c>
      <c r="D455" s="7">
        <v>118670.60100000007</v>
      </c>
      <c r="E455" s="7">
        <v>86616.3049999999</v>
      </c>
      <c r="F455" s="7">
        <f t="shared" si="1"/>
        <v>332901.76</v>
      </c>
      <c r="G455" s="14">
        <f t="shared" si="2"/>
        <v>0.0004621740337</v>
      </c>
      <c r="I455" s="12"/>
      <c r="J455" s="12"/>
      <c r="K455" s="12"/>
      <c r="L455" s="12"/>
      <c r="M455" s="12">
        <v>43759.0</v>
      </c>
      <c r="N455" s="2">
        <v>299.99</v>
      </c>
      <c r="O455" s="3" t="s">
        <v>271</v>
      </c>
      <c r="P455" s="4" t="str">
        <f t="array" ref="P455">XLOOKUP(O455,Agregado!$B$2:$B$1511,Agregado!$G$2:$G$1511)</f>
        <v>#N/A</v>
      </c>
    </row>
    <row r="456" ht="15.75" customHeight="1">
      <c r="B456" s="13" t="s">
        <v>1375</v>
      </c>
      <c r="C456" s="7">
        <v>125334.98900000016</v>
      </c>
      <c r="D456" s="7">
        <v>119030.23600000006</v>
      </c>
      <c r="E456" s="7">
        <v>86625.5909999999</v>
      </c>
      <c r="F456" s="7">
        <f t="shared" si="1"/>
        <v>330990.816</v>
      </c>
      <c r="G456" s="14">
        <f t="shared" si="2"/>
        <v>-0.005756802671</v>
      </c>
      <c r="I456" s="12"/>
      <c r="J456" s="12"/>
      <c r="K456" s="12"/>
      <c r="L456" s="12"/>
      <c r="M456" s="12">
        <v>43760.0</v>
      </c>
      <c r="N456" s="2">
        <v>299.01</v>
      </c>
      <c r="O456" s="3" t="s">
        <v>272</v>
      </c>
      <c r="P456" s="4" t="str">
        <f t="array" ref="P456">XLOOKUP(O456,Agregado!$B$2:$B$1511,Agregado!$G$2:$G$1511)</f>
        <v>#N/A</v>
      </c>
    </row>
    <row r="457" ht="15.75" customHeight="1">
      <c r="B457" s="13" t="s">
        <v>1376</v>
      </c>
      <c r="C457" s="7">
        <v>126265.22700000016</v>
      </c>
      <c r="D457" s="7">
        <v>118471.97500000006</v>
      </c>
      <c r="E457" s="7">
        <v>86251.7009999999</v>
      </c>
      <c r="F457" s="7">
        <f t="shared" si="1"/>
        <v>330988.903</v>
      </c>
      <c r="G457" s="14">
        <f t="shared" si="2"/>
        <v>-0.000005779633258</v>
      </c>
      <c r="I457" s="12"/>
      <c r="J457" s="12"/>
      <c r="K457" s="12"/>
      <c r="L457" s="12"/>
      <c r="M457" s="12">
        <v>43761.0</v>
      </c>
      <c r="N457" s="2">
        <v>299.88</v>
      </c>
      <c r="O457" s="3" t="s">
        <v>273</v>
      </c>
      <c r="P457" s="4" t="str">
        <f t="array" ref="P457">XLOOKUP(O457,Agregado!$B$2:$B$1511,Agregado!$G$2:$G$1511)</f>
        <v>#N/A</v>
      </c>
    </row>
    <row r="458" ht="15.75" customHeight="1">
      <c r="B458" s="13" t="s">
        <v>1377</v>
      </c>
      <c r="C458" s="7">
        <v>128433.08700000016</v>
      </c>
      <c r="D458" s="7">
        <v>117885.62300000007</v>
      </c>
      <c r="E458" s="7">
        <v>86319.0209999999</v>
      </c>
      <c r="F458" s="7">
        <f t="shared" si="1"/>
        <v>332637.731</v>
      </c>
      <c r="G458" s="14">
        <f t="shared" si="2"/>
        <v>0.004969153763</v>
      </c>
      <c r="I458" s="12"/>
      <c r="J458" s="12"/>
      <c r="K458" s="12"/>
      <c r="L458" s="12"/>
      <c r="M458" s="12">
        <v>43762.0</v>
      </c>
      <c r="N458" s="2">
        <v>300.37</v>
      </c>
      <c r="O458" s="3" t="s">
        <v>274</v>
      </c>
      <c r="P458" s="4" t="str">
        <f t="array" ref="P458">XLOOKUP(O458,Agregado!$B$2:$B$1511,Agregado!$G$2:$G$1511)</f>
        <v>#N/A</v>
      </c>
    </row>
    <row r="459" ht="15.75" customHeight="1">
      <c r="B459" s="13" t="s">
        <v>1378</v>
      </c>
      <c r="C459" s="7">
        <v>127788.35500000016</v>
      </c>
      <c r="D459" s="7">
        <v>118081.63700000006</v>
      </c>
      <c r="E459" s="7">
        <v>86375.8979999999</v>
      </c>
      <c r="F459" s="7">
        <f t="shared" si="1"/>
        <v>332245.89</v>
      </c>
      <c r="G459" s="14">
        <f t="shared" si="2"/>
        <v>-0.001178675585</v>
      </c>
      <c r="I459" s="12"/>
      <c r="J459" s="12"/>
      <c r="K459" s="12"/>
      <c r="L459" s="12"/>
      <c r="M459" s="12">
        <v>43763.0</v>
      </c>
      <c r="N459" s="2">
        <v>301.6</v>
      </c>
      <c r="O459" s="3" t="s">
        <v>275</v>
      </c>
      <c r="P459" s="4" t="str">
        <f t="array" ref="P459">XLOOKUP(O459,Agregado!$B$2:$B$1511,Agregado!$G$2:$G$1511)</f>
        <v>#N/A</v>
      </c>
    </row>
    <row r="460" ht="15.75" customHeight="1">
      <c r="B460" s="13" t="s">
        <v>1379</v>
      </c>
      <c r="C460" s="7">
        <v>128299.12200000016</v>
      </c>
      <c r="D460" s="7">
        <v>118081.63700000006</v>
      </c>
      <c r="E460" s="7">
        <v>86613.7339999999</v>
      </c>
      <c r="F460" s="7">
        <f t="shared" si="1"/>
        <v>332994.493</v>
      </c>
      <c r="G460" s="14">
        <f t="shared" si="2"/>
        <v>0.002250624992</v>
      </c>
      <c r="I460" s="12"/>
      <c r="J460" s="12"/>
      <c r="K460" s="12"/>
      <c r="L460" s="12"/>
      <c r="M460" s="12">
        <v>43766.0</v>
      </c>
      <c r="N460" s="2">
        <v>303.3</v>
      </c>
      <c r="O460" s="3" t="s">
        <v>276</v>
      </c>
      <c r="P460" s="4" t="str">
        <f t="array" ref="P460">XLOOKUP(O460,Agregado!$B$2:$B$1511,Agregado!$G$2:$G$1511)</f>
        <v>#N/A</v>
      </c>
    </row>
    <row r="461" ht="15.75" customHeight="1">
      <c r="B461" s="13" t="s">
        <v>1380</v>
      </c>
      <c r="C461" s="7">
        <v>127107.49500000017</v>
      </c>
      <c r="D461" s="7">
        <v>117990.62500000006</v>
      </c>
      <c r="E461" s="7">
        <v>85466.3249999999</v>
      </c>
      <c r="F461" s="7">
        <f t="shared" si="1"/>
        <v>330564.445</v>
      </c>
      <c r="G461" s="14">
        <f t="shared" si="2"/>
        <v>-0.007324319587</v>
      </c>
      <c r="I461" s="12"/>
      <c r="J461" s="12"/>
      <c r="K461" s="12"/>
      <c r="L461" s="12"/>
      <c r="M461" s="12">
        <v>43767.0</v>
      </c>
      <c r="N461" s="2">
        <v>303.21</v>
      </c>
      <c r="O461" s="3" t="s">
        <v>277</v>
      </c>
      <c r="P461" s="4" t="str">
        <f t="array" ref="P461">XLOOKUP(O461,Agregado!$B$2:$B$1511,Agregado!$G$2:$G$1511)</f>
        <v>#N/A</v>
      </c>
    </row>
    <row r="462" ht="15.75" customHeight="1">
      <c r="B462" s="13" t="s">
        <v>1381</v>
      </c>
      <c r="C462" s="7">
        <v>127638.37500000017</v>
      </c>
      <c r="D462" s="7">
        <v>118280.43800000005</v>
      </c>
      <c r="E462" s="7">
        <v>85639.5899999999</v>
      </c>
      <c r="F462" s="7">
        <f t="shared" si="1"/>
        <v>331558.403</v>
      </c>
      <c r="G462" s="14">
        <f t="shared" si="2"/>
        <v>0.003002339368</v>
      </c>
      <c r="I462" s="12"/>
      <c r="J462" s="12"/>
      <c r="K462" s="12"/>
      <c r="L462" s="12"/>
      <c r="M462" s="12">
        <v>43768.0</v>
      </c>
      <c r="N462" s="2">
        <v>304.14</v>
      </c>
      <c r="O462" s="3" t="s">
        <v>278</v>
      </c>
      <c r="P462" s="4" t="str">
        <f t="array" ref="P462">XLOOKUP(O462,Agregado!$B$2:$B$1511,Agregado!$G$2:$G$1511)</f>
        <v>#N/A</v>
      </c>
    </row>
    <row r="463" ht="15.75" customHeight="1">
      <c r="B463" s="13" t="s">
        <v>1382</v>
      </c>
      <c r="C463" s="7">
        <v>125956.11600000017</v>
      </c>
      <c r="D463" s="7">
        <v>118326.16000000005</v>
      </c>
      <c r="E463" s="7">
        <v>85649.6899999999</v>
      </c>
      <c r="F463" s="7">
        <f t="shared" si="1"/>
        <v>329931.966</v>
      </c>
      <c r="G463" s="14">
        <f t="shared" si="2"/>
        <v>-0.004917502518</v>
      </c>
      <c r="I463" s="12"/>
      <c r="J463" s="12"/>
      <c r="K463" s="12"/>
      <c r="L463" s="12"/>
      <c r="M463" s="12">
        <v>43769.0</v>
      </c>
      <c r="N463" s="2">
        <v>303.33</v>
      </c>
      <c r="O463" s="3" t="s">
        <v>279</v>
      </c>
      <c r="P463" s="4" t="str">
        <f t="array" ref="P463">XLOOKUP(O463,Agregado!$B$2:$B$1511,Agregado!$G$2:$G$1511)</f>
        <v>#N/A</v>
      </c>
    </row>
    <row r="464" ht="15.75" customHeight="1">
      <c r="B464" s="13" t="s">
        <v>1383</v>
      </c>
      <c r="C464" s="7">
        <v>125408.70200000016</v>
      </c>
      <c r="D464" s="7">
        <v>118066.20300000005</v>
      </c>
      <c r="E464" s="7">
        <v>85652.2369999999</v>
      </c>
      <c r="F464" s="7">
        <f t="shared" si="1"/>
        <v>329127.142</v>
      </c>
      <c r="G464" s="14">
        <f t="shared" si="2"/>
        <v>-0.002442343609</v>
      </c>
      <c r="I464" s="12"/>
      <c r="J464" s="12"/>
      <c r="K464" s="12"/>
      <c r="L464" s="12"/>
      <c r="M464" s="12">
        <v>43770.0</v>
      </c>
      <c r="N464" s="2">
        <v>306.14</v>
      </c>
      <c r="O464" s="3">
        <v>43476.0</v>
      </c>
      <c r="P464" s="4" t="str">
        <f t="array" ref="P464">XLOOKUP(O464,Agregado!$B$2:$B$1511,Agregado!$G$2:$G$1511)</f>
        <v>#N/A</v>
      </c>
    </row>
    <row r="465" ht="15.75" customHeight="1">
      <c r="B465" s="13" t="s">
        <v>1384</v>
      </c>
      <c r="C465" s="7">
        <v>124696.13600000016</v>
      </c>
      <c r="D465" s="7">
        <v>117837.50800000005</v>
      </c>
      <c r="E465" s="7">
        <v>85670.7819999999</v>
      </c>
      <c r="F465" s="7">
        <f t="shared" si="1"/>
        <v>328204.426</v>
      </c>
      <c r="G465" s="14">
        <f t="shared" si="2"/>
        <v>-0.002807461716</v>
      </c>
      <c r="I465" s="12"/>
      <c r="J465" s="12"/>
      <c r="K465" s="12"/>
      <c r="L465" s="12"/>
      <c r="M465" s="12">
        <v>43773.0</v>
      </c>
      <c r="N465" s="2">
        <v>307.37</v>
      </c>
      <c r="O465" s="3">
        <v>43566.0</v>
      </c>
      <c r="P465" s="4" t="str">
        <f t="array" ref="P465">XLOOKUP(O465,Agregado!$B$2:$B$1511,Agregado!$G$2:$G$1511)</f>
        <v>#N/A</v>
      </c>
    </row>
    <row r="466" ht="15.75" customHeight="1">
      <c r="B466" s="13" t="s">
        <v>1385</v>
      </c>
      <c r="C466" s="7">
        <v>126793.40700000015</v>
      </c>
      <c r="D466" s="7">
        <v>117929.87800000004</v>
      </c>
      <c r="E466" s="7">
        <v>85822.3639999999</v>
      </c>
      <c r="F466" s="7">
        <f t="shared" si="1"/>
        <v>330545.649</v>
      </c>
      <c r="G466" s="14">
        <f t="shared" si="2"/>
        <v>0.007108106538</v>
      </c>
      <c r="I466" s="12"/>
      <c r="J466" s="12"/>
      <c r="K466" s="12"/>
      <c r="L466" s="12"/>
      <c r="M466" s="12">
        <v>43774.0</v>
      </c>
      <c r="N466" s="2">
        <v>307.03</v>
      </c>
      <c r="O466" s="3">
        <v>43596.0</v>
      </c>
      <c r="P466" s="4" t="str">
        <f t="array" ref="P466">XLOOKUP(O466,Agregado!$B$2:$B$1511,Agregado!$G$2:$G$1511)</f>
        <v>#N/A</v>
      </c>
    </row>
    <row r="467" ht="15.75" customHeight="1">
      <c r="B467" s="13" t="s">
        <v>1386</v>
      </c>
      <c r="C467" s="7">
        <v>126470.73400000016</v>
      </c>
      <c r="D467" s="7">
        <v>118146.20600000003</v>
      </c>
      <c r="E467" s="7">
        <v>86144.6829999999</v>
      </c>
      <c r="F467" s="7">
        <f t="shared" si="1"/>
        <v>330761.623</v>
      </c>
      <c r="G467" s="14">
        <f t="shared" si="2"/>
        <v>0.0006531729404</v>
      </c>
      <c r="I467" s="12"/>
      <c r="J467" s="12"/>
      <c r="K467" s="12"/>
      <c r="L467" s="12"/>
      <c r="M467" s="12">
        <v>43775.0</v>
      </c>
      <c r="N467" s="2">
        <v>307.1</v>
      </c>
      <c r="O467" s="3">
        <v>43627.0</v>
      </c>
      <c r="P467" s="4" t="str">
        <f t="array" ref="P467">XLOOKUP(O467,Agregado!$B$2:$B$1511,Agregado!$G$2:$G$1511)</f>
        <v>#N/A</v>
      </c>
    </row>
    <row r="468" ht="15.75" customHeight="1">
      <c r="B468" s="13" t="s">
        <v>1387</v>
      </c>
      <c r="C468" s="7">
        <v>127146.01400000016</v>
      </c>
      <c r="D468" s="7">
        <v>118099.90500000003</v>
      </c>
      <c r="E468" s="7">
        <v>86549.27199999991</v>
      </c>
      <c r="F468" s="7">
        <f t="shared" si="1"/>
        <v>331795.191</v>
      </c>
      <c r="G468" s="14">
        <f t="shared" si="2"/>
        <v>0.003119940257</v>
      </c>
      <c r="I468" s="12"/>
      <c r="J468" s="12"/>
      <c r="K468" s="12"/>
      <c r="L468" s="12"/>
      <c r="M468" s="12">
        <v>43776.0</v>
      </c>
      <c r="N468" s="2">
        <v>308.18</v>
      </c>
      <c r="O468" s="3">
        <v>43657.0</v>
      </c>
      <c r="P468" s="4" t="str">
        <f t="array" ref="P468">XLOOKUP(O468,Agregado!$B$2:$B$1511,Agregado!$G$2:$G$1511)</f>
        <v>#N/A</v>
      </c>
    </row>
    <row r="469" ht="15.75" customHeight="1">
      <c r="B469" s="13" t="s">
        <v>1388</v>
      </c>
      <c r="C469" s="7">
        <v>126577.72700000016</v>
      </c>
      <c r="D469" s="7">
        <v>118038.12200000003</v>
      </c>
      <c r="E469" s="7">
        <v>86623.3919999999</v>
      </c>
      <c r="F469" s="7">
        <f t="shared" si="1"/>
        <v>331239.241</v>
      </c>
      <c r="G469" s="14">
        <f t="shared" si="2"/>
        <v>-0.001676987207</v>
      </c>
      <c r="I469" s="12"/>
      <c r="J469" s="12"/>
      <c r="K469" s="12"/>
      <c r="L469" s="12"/>
      <c r="M469" s="12">
        <v>43777.0</v>
      </c>
      <c r="N469" s="2">
        <v>308.94</v>
      </c>
      <c r="O469" s="3">
        <v>43688.0</v>
      </c>
      <c r="P469" s="4" t="str">
        <f t="array" ref="P469">XLOOKUP(O469,Agregado!$B$2:$B$1511,Agregado!$G$2:$G$1511)</f>
        <v>#N/A</v>
      </c>
    </row>
    <row r="470" ht="15.75" customHeight="1">
      <c r="B470" s="13" t="s">
        <v>1389</v>
      </c>
      <c r="C470" s="7">
        <v>125406.70200000016</v>
      </c>
      <c r="D470" s="7">
        <v>117976.14200000004</v>
      </c>
      <c r="E470" s="7">
        <v>86730.74899999991</v>
      </c>
      <c r="F470" s="7">
        <f t="shared" si="1"/>
        <v>330113.593</v>
      </c>
      <c r="G470" s="14">
        <f t="shared" si="2"/>
        <v>-0.003404080331</v>
      </c>
      <c r="I470" s="12"/>
      <c r="J470" s="12"/>
      <c r="K470" s="12"/>
      <c r="L470" s="12"/>
      <c r="M470" s="12">
        <v>43780.0</v>
      </c>
      <c r="N470" s="2">
        <v>308.35</v>
      </c>
      <c r="O470" s="3">
        <v>43780.0</v>
      </c>
      <c r="P470" s="4" t="str">
        <f t="array" ref="P470">XLOOKUP(O470,Agregado!$B$2:$B$1511,Agregado!$G$2:$G$1511)</f>
        <v>#N/A</v>
      </c>
    </row>
    <row r="471" ht="15.75" customHeight="1">
      <c r="B471" s="13" t="s">
        <v>1390</v>
      </c>
      <c r="C471" s="7">
        <v>126055.61500000017</v>
      </c>
      <c r="D471" s="7">
        <v>117976.14200000004</v>
      </c>
      <c r="E471" s="7">
        <v>86642.75399999991</v>
      </c>
      <c r="F471" s="7">
        <f t="shared" si="1"/>
        <v>330674.511</v>
      </c>
      <c r="G471" s="14">
        <f t="shared" si="2"/>
        <v>0.001697724676</v>
      </c>
      <c r="I471" s="12"/>
      <c r="J471" s="12"/>
      <c r="K471" s="12"/>
      <c r="L471" s="12"/>
      <c r="M471" s="12">
        <v>43781.0</v>
      </c>
      <c r="N471" s="2">
        <v>309.0</v>
      </c>
      <c r="O471" s="3">
        <v>43810.0</v>
      </c>
      <c r="P471" s="4" t="str">
        <f t="array" ref="P471">XLOOKUP(O471,Agregado!$B$2:$B$1511,Agregado!$G$2:$G$1511)</f>
        <v>#N/A</v>
      </c>
    </row>
    <row r="472" ht="15.75" customHeight="1">
      <c r="B472" s="13" t="s">
        <v>1391</v>
      </c>
      <c r="C472" s="7">
        <v>125084.15700000017</v>
      </c>
      <c r="D472" s="7">
        <v>118053.67700000004</v>
      </c>
      <c r="E472" s="7">
        <v>86714.69199999991</v>
      </c>
      <c r="F472" s="7">
        <f t="shared" si="1"/>
        <v>329852.526</v>
      </c>
      <c r="G472" s="14">
        <f t="shared" si="2"/>
        <v>-0.002488877452</v>
      </c>
      <c r="I472" s="12"/>
      <c r="J472" s="12"/>
      <c r="K472" s="12"/>
      <c r="L472" s="12"/>
      <c r="M472" s="12">
        <v>43782.0</v>
      </c>
      <c r="N472" s="2">
        <v>309.1</v>
      </c>
      <c r="O472" s="3" t="s">
        <v>280</v>
      </c>
      <c r="P472" s="4" t="str">
        <f t="array" ref="P472">XLOOKUP(O472,Agregado!$B$2:$B$1511,Agregado!$G$2:$G$1511)</f>
        <v>#N/A</v>
      </c>
    </row>
    <row r="473" ht="15.75" customHeight="1">
      <c r="B473" s="13" t="s">
        <v>1392</v>
      </c>
      <c r="C473" s="7">
        <v>124528.14200000017</v>
      </c>
      <c r="D473" s="7">
        <v>118100.27300000004</v>
      </c>
      <c r="E473" s="7">
        <v>86720.7479999999</v>
      </c>
      <c r="F473" s="7">
        <f t="shared" si="1"/>
        <v>329349.163</v>
      </c>
      <c r="G473" s="14">
        <f t="shared" si="2"/>
        <v>-0.001527189952</v>
      </c>
      <c r="I473" s="12"/>
      <c r="J473" s="12"/>
      <c r="K473" s="12"/>
      <c r="L473" s="12"/>
      <c r="M473" s="12">
        <v>43783.0</v>
      </c>
      <c r="N473" s="2">
        <v>309.55</v>
      </c>
      <c r="O473" s="3" t="s">
        <v>281</v>
      </c>
      <c r="P473" s="4" t="str">
        <f t="array" ref="P473">XLOOKUP(O473,Agregado!$B$2:$B$1511,Agregado!$G$2:$G$1511)</f>
        <v>#N/A</v>
      </c>
    </row>
    <row r="474" ht="15.75" customHeight="1">
      <c r="B474" s="13" t="s">
        <v>1393</v>
      </c>
      <c r="C474" s="7">
        <v>124667.24900000017</v>
      </c>
      <c r="D474" s="7">
        <v>118380.05800000005</v>
      </c>
      <c r="E474" s="7">
        <v>86837.3599999999</v>
      </c>
      <c r="F474" s="7">
        <f t="shared" si="1"/>
        <v>329884.667</v>
      </c>
      <c r="G474" s="14">
        <f t="shared" si="2"/>
        <v>0.00162462572</v>
      </c>
      <c r="I474" s="12"/>
      <c r="J474" s="12"/>
      <c r="K474" s="12"/>
      <c r="L474" s="12"/>
      <c r="M474" s="12">
        <v>43784.0</v>
      </c>
      <c r="N474" s="2">
        <v>311.79</v>
      </c>
      <c r="O474" s="3" t="s">
        <v>282</v>
      </c>
      <c r="P474" s="4" t="str">
        <f t="array" ref="P474">XLOOKUP(O474,Agregado!$B$2:$B$1511,Agregado!$G$2:$G$1511)</f>
        <v>#N/A</v>
      </c>
    </row>
    <row r="475" ht="15.75" customHeight="1">
      <c r="B475" s="13" t="s">
        <v>1394</v>
      </c>
      <c r="C475" s="7">
        <v>122686.69100000017</v>
      </c>
      <c r="D475" s="7">
        <v>118395.61900000005</v>
      </c>
      <c r="E475" s="7">
        <v>86904.9619999999</v>
      </c>
      <c r="F475" s="7">
        <f t="shared" si="1"/>
        <v>327987.272</v>
      </c>
      <c r="G475" s="14">
        <f t="shared" si="2"/>
        <v>-0.005768296681</v>
      </c>
      <c r="I475" s="12"/>
      <c r="J475" s="12"/>
      <c r="K475" s="12"/>
      <c r="L475" s="12"/>
      <c r="M475" s="12">
        <v>43787.0</v>
      </c>
      <c r="N475" s="2">
        <v>312.02</v>
      </c>
      <c r="O475" s="3" t="s">
        <v>283</v>
      </c>
      <c r="P475" s="4" t="str">
        <f t="array" ref="P475">XLOOKUP(O475,Agregado!$B$2:$B$1511,Agregado!$G$2:$G$1511)</f>
        <v>#N/A</v>
      </c>
    </row>
    <row r="476" ht="15.75" customHeight="1">
      <c r="B476" s="13" t="s">
        <v>1395</v>
      </c>
      <c r="C476" s="7">
        <v>121938.15300000017</v>
      </c>
      <c r="D476" s="7">
        <v>117815.34800000006</v>
      </c>
      <c r="E476" s="7">
        <v>87067.2599999999</v>
      </c>
      <c r="F476" s="7">
        <f t="shared" si="1"/>
        <v>326820.761</v>
      </c>
      <c r="G476" s="14">
        <f t="shared" si="2"/>
        <v>-0.003562913633</v>
      </c>
      <c r="I476" s="12"/>
      <c r="J476" s="12"/>
      <c r="K476" s="12"/>
      <c r="L476" s="12"/>
      <c r="M476" s="12">
        <v>43788.0</v>
      </c>
      <c r="N476" s="2">
        <v>311.93</v>
      </c>
      <c r="O476" s="3" t="s">
        <v>284</v>
      </c>
      <c r="P476" s="4" t="str">
        <f t="array" ref="P476">XLOOKUP(O476,Agregado!$B$2:$B$1511,Agregado!$G$2:$G$1511)</f>
        <v>#N/A</v>
      </c>
    </row>
    <row r="477" ht="15.75" customHeight="1">
      <c r="B477" s="13" t="s">
        <v>1396</v>
      </c>
      <c r="C477" s="7">
        <v>121875.74300000016</v>
      </c>
      <c r="D477" s="7">
        <v>117815.34800000006</v>
      </c>
      <c r="E477" s="7">
        <v>87156.29399999989</v>
      </c>
      <c r="F477" s="7">
        <f t="shared" si="1"/>
        <v>326847.385</v>
      </c>
      <c r="G477" s="14">
        <f t="shared" si="2"/>
        <v>0.00008146029504</v>
      </c>
      <c r="I477" s="12"/>
      <c r="J477" s="12"/>
      <c r="K477" s="12"/>
      <c r="L477" s="12"/>
      <c r="M477" s="12">
        <v>43789.0</v>
      </c>
      <c r="N477" s="2">
        <v>310.77</v>
      </c>
      <c r="O477" s="3" t="s">
        <v>285</v>
      </c>
      <c r="P477" s="4" t="str">
        <f t="array" ref="P477">XLOOKUP(O477,Agregado!$B$2:$B$1511,Agregado!$G$2:$G$1511)</f>
        <v>#N/A</v>
      </c>
    </row>
    <row r="478" ht="15.75" customHeight="1">
      <c r="B478" s="13" t="s">
        <v>1397</v>
      </c>
      <c r="C478" s="7">
        <v>122655.45600000017</v>
      </c>
      <c r="D478" s="7">
        <v>117846.71400000005</v>
      </c>
      <c r="E478" s="7">
        <v>87208.0449999999</v>
      </c>
      <c r="F478" s="7">
        <f t="shared" si="1"/>
        <v>327710.215</v>
      </c>
      <c r="G478" s="14">
        <f t="shared" si="2"/>
        <v>0.002636377608</v>
      </c>
      <c r="I478" s="12"/>
      <c r="J478" s="12"/>
      <c r="K478" s="12"/>
      <c r="L478" s="12"/>
      <c r="M478" s="12">
        <v>43790.0</v>
      </c>
      <c r="N478" s="2">
        <v>310.27</v>
      </c>
      <c r="O478" s="3" t="s">
        <v>286</v>
      </c>
      <c r="P478" s="4" t="str">
        <f t="array" ref="P478">XLOOKUP(O478,Agregado!$B$2:$B$1511,Agregado!$G$2:$G$1511)</f>
        <v>#N/A</v>
      </c>
    </row>
    <row r="479" ht="15.75" customHeight="1">
      <c r="B479" s="13" t="s">
        <v>1398</v>
      </c>
      <c r="C479" s="7">
        <v>123758.71200000016</v>
      </c>
      <c r="D479" s="7">
        <v>117784.20600000005</v>
      </c>
      <c r="E479" s="7">
        <v>87347.6619999999</v>
      </c>
      <c r="F479" s="7">
        <f t="shared" si="1"/>
        <v>328890.58</v>
      </c>
      <c r="G479" s="14">
        <f t="shared" si="2"/>
        <v>0.003595384838</v>
      </c>
      <c r="I479" s="12"/>
      <c r="J479" s="12"/>
      <c r="K479" s="12"/>
      <c r="L479" s="12"/>
      <c r="M479" s="12">
        <v>43791.0</v>
      </c>
      <c r="N479" s="2">
        <v>310.96</v>
      </c>
      <c r="O479" s="3" t="s">
        <v>287</v>
      </c>
      <c r="P479" s="4" t="str">
        <f t="array" ref="P479">XLOOKUP(O479,Agregado!$B$2:$B$1511,Agregado!$G$2:$G$1511)</f>
        <v>#N/A</v>
      </c>
    </row>
    <row r="480" ht="15.75" customHeight="1">
      <c r="B480" s="13" t="s">
        <v>1399</v>
      </c>
      <c r="C480" s="7">
        <v>124674.11900000017</v>
      </c>
      <c r="D480" s="7">
        <v>117784.20600000005</v>
      </c>
      <c r="E480" s="7">
        <v>87416.2299999999</v>
      </c>
      <c r="F480" s="7">
        <f t="shared" si="1"/>
        <v>329874.555</v>
      </c>
      <c r="G480" s="14">
        <f t="shared" si="2"/>
        <v>0.002987333966</v>
      </c>
      <c r="I480" s="12"/>
      <c r="J480" s="12"/>
      <c r="K480" s="12"/>
      <c r="L480" s="12"/>
      <c r="M480" s="12">
        <v>43794.0</v>
      </c>
      <c r="N480" s="2">
        <v>313.37</v>
      </c>
      <c r="O480" s="3" t="s">
        <v>288</v>
      </c>
      <c r="P480" s="4" t="str">
        <f t="array" ref="P480">XLOOKUP(O480,Agregado!$B$2:$B$1511,Agregado!$G$2:$G$1511)</f>
        <v>#N/A</v>
      </c>
    </row>
    <row r="481" ht="15.75" customHeight="1">
      <c r="B481" s="13" t="s">
        <v>1400</v>
      </c>
      <c r="C481" s="7">
        <v>125373.82700000016</v>
      </c>
      <c r="D481" s="7">
        <v>117752.93100000006</v>
      </c>
      <c r="E481" s="7">
        <v>87349.92599999989</v>
      </c>
      <c r="F481" s="7">
        <f t="shared" si="1"/>
        <v>330476.684</v>
      </c>
      <c r="G481" s="14">
        <f t="shared" si="2"/>
        <v>0.001823663321</v>
      </c>
      <c r="I481" s="12"/>
      <c r="J481" s="12"/>
      <c r="K481" s="12"/>
      <c r="L481" s="12"/>
      <c r="M481" s="12">
        <v>43795.0</v>
      </c>
      <c r="N481" s="2">
        <v>314.08</v>
      </c>
      <c r="O481" s="3" t="s">
        <v>289</v>
      </c>
      <c r="P481" s="4" t="str">
        <f t="array" ref="P481">XLOOKUP(O481,Agregado!$B$2:$B$1511,Agregado!$G$2:$G$1511)</f>
        <v>#N/A</v>
      </c>
    </row>
    <row r="482" ht="15.75" customHeight="1">
      <c r="B482" s="13" t="s">
        <v>1401</v>
      </c>
      <c r="C482" s="7">
        <v>127081.56000000016</v>
      </c>
      <c r="D482" s="7">
        <v>117485.07100000005</v>
      </c>
      <c r="E482" s="7">
        <v>87499.28499999989</v>
      </c>
      <c r="F482" s="7">
        <f t="shared" si="1"/>
        <v>332065.916</v>
      </c>
      <c r="G482" s="14">
        <f t="shared" si="2"/>
        <v>0.00479738223</v>
      </c>
      <c r="I482" s="12"/>
      <c r="J482" s="12"/>
      <c r="K482" s="12"/>
      <c r="L482" s="12"/>
      <c r="M482" s="12">
        <v>43796.0</v>
      </c>
      <c r="N482" s="2">
        <v>315.48</v>
      </c>
      <c r="O482" s="3" t="s">
        <v>290</v>
      </c>
      <c r="P482" s="4" t="str">
        <f t="array" ref="P482">XLOOKUP(O482,Agregado!$B$2:$B$1511,Agregado!$G$2:$G$1511)</f>
        <v>#N/A</v>
      </c>
    </row>
    <row r="483" ht="15.75" customHeight="1">
      <c r="B483" s="13" t="s">
        <v>1402</v>
      </c>
      <c r="C483" s="7">
        <v>126767.52200000016</v>
      </c>
      <c r="D483" s="7">
        <v>117374.53100000006</v>
      </c>
      <c r="E483" s="7">
        <v>87488.71399999989</v>
      </c>
      <c r="F483" s="7">
        <f t="shared" si="1"/>
        <v>331630.767</v>
      </c>
      <c r="G483" s="14">
        <f t="shared" si="2"/>
        <v>-0.001311288947</v>
      </c>
      <c r="I483" s="12"/>
      <c r="J483" s="12"/>
      <c r="K483" s="12"/>
      <c r="L483" s="12"/>
      <c r="M483" s="12">
        <v>43798.0</v>
      </c>
      <c r="N483" s="2">
        <v>314.31</v>
      </c>
      <c r="O483" s="3" t="s">
        <v>291</v>
      </c>
      <c r="P483" s="4" t="str">
        <f t="array" ref="P483">XLOOKUP(O483,Agregado!$B$2:$B$1511,Agregado!$G$2:$G$1511)</f>
        <v>#N/A</v>
      </c>
    </row>
    <row r="484" ht="15.75" customHeight="1">
      <c r="B484" s="13" t="s">
        <v>1403</v>
      </c>
      <c r="C484" s="7">
        <v>129369.41400000016</v>
      </c>
      <c r="D484" s="7">
        <v>117374.53100000006</v>
      </c>
      <c r="E484" s="7">
        <v>87505.38799999989</v>
      </c>
      <c r="F484" s="7">
        <f t="shared" si="1"/>
        <v>334249.333</v>
      </c>
      <c r="G484" s="14">
        <f t="shared" si="2"/>
        <v>0.007865018037</v>
      </c>
      <c r="I484" s="12"/>
      <c r="J484" s="12"/>
      <c r="K484" s="12"/>
      <c r="L484" s="12"/>
      <c r="M484" s="12">
        <v>43801.0</v>
      </c>
      <c r="N484" s="2">
        <v>311.64</v>
      </c>
      <c r="O484" s="3">
        <v>43508.0</v>
      </c>
      <c r="P484" s="4" t="str">
        <f t="array" ref="P484">XLOOKUP(O484,Agregado!$B$2:$B$1511,Agregado!$G$2:$G$1511)</f>
        <v>#N/A</v>
      </c>
    </row>
    <row r="485" ht="15.75" customHeight="1">
      <c r="B485" s="13" t="s">
        <v>1404</v>
      </c>
      <c r="C485" s="7">
        <v>131333.08400000018</v>
      </c>
      <c r="D485" s="7">
        <v>117374.53100000006</v>
      </c>
      <c r="E485" s="7">
        <v>87552.81899999989</v>
      </c>
      <c r="F485" s="7">
        <f t="shared" si="1"/>
        <v>336260.434</v>
      </c>
      <c r="G485" s="14">
        <f t="shared" si="2"/>
        <v>0.00599874045</v>
      </c>
      <c r="I485" s="12"/>
      <c r="J485" s="12"/>
      <c r="K485" s="12"/>
      <c r="L485" s="12"/>
      <c r="M485" s="12">
        <v>43802.0</v>
      </c>
      <c r="N485" s="2">
        <v>309.55</v>
      </c>
      <c r="O485" s="3">
        <v>43536.0</v>
      </c>
      <c r="P485" s="4" t="str">
        <f t="array" ref="P485">XLOOKUP(O485,Agregado!$B$2:$B$1511,Agregado!$G$2:$G$1511)</f>
        <v>#N/A</v>
      </c>
    </row>
    <row r="486" ht="15.75" customHeight="1">
      <c r="B486" s="13" t="s">
        <v>1405</v>
      </c>
      <c r="C486" s="7">
        <v>134167.68000000017</v>
      </c>
      <c r="D486" s="7">
        <v>117531.16300000006</v>
      </c>
      <c r="E486" s="7">
        <v>87905.91399999989</v>
      </c>
      <c r="F486" s="7">
        <f t="shared" si="1"/>
        <v>339604.757</v>
      </c>
      <c r="G486" s="14">
        <f t="shared" si="2"/>
        <v>0.009896501077</v>
      </c>
      <c r="I486" s="12"/>
      <c r="J486" s="12"/>
      <c r="K486" s="12"/>
      <c r="L486" s="12"/>
      <c r="M486" s="12">
        <v>43803.0</v>
      </c>
      <c r="N486" s="2">
        <v>311.46</v>
      </c>
      <c r="O486" s="3">
        <v>43567.0</v>
      </c>
      <c r="P486" s="4" t="str">
        <f t="array" ref="P486">XLOOKUP(O486,Agregado!$B$2:$B$1511,Agregado!$G$2:$G$1511)</f>
        <v>#N/A</v>
      </c>
    </row>
    <row r="487" ht="15.75" customHeight="1">
      <c r="B487" s="13" t="s">
        <v>1406</v>
      </c>
      <c r="C487" s="7">
        <v>132821.60600000017</v>
      </c>
      <c r="D487" s="7">
        <v>117484.48400000005</v>
      </c>
      <c r="E487" s="7">
        <v>88001.78599999989</v>
      </c>
      <c r="F487" s="7">
        <f t="shared" si="1"/>
        <v>338307.876</v>
      </c>
      <c r="G487" s="14">
        <f t="shared" si="2"/>
        <v>-0.003826105368</v>
      </c>
      <c r="I487" s="12"/>
      <c r="J487" s="12"/>
      <c r="K487" s="12"/>
      <c r="L487" s="12"/>
      <c r="M487" s="12">
        <v>43804.0</v>
      </c>
      <c r="N487" s="2">
        <v>312.02</v>
      </c>
      <c r="O487" s="3">
        <v>43597.0</v>
      </c>
      <c r="P487" s="4" t="str">
        <f t="array" ref="P487">XLOOKUP(O487,Agregado!$B$2:$B$1511,Agregado!$G$2:$G$1511)</f>
        <v>#N/A</v>
      </c>
    </row>
    <row r="488" ht="15.75" customHeight="1">
      <c r="B488" s="13" t="s">
        <v>1407</v>
      </c>
      <c r="C488" s="7">
        <v>131887.33500000017</v>
      </c>
      <c r="D488" s="7">
        <v>117453.16500000005</v>
      </c>
      <c r="E488" s="7">
        <v>88616.39899999989</v>
      </c>
      <c r="F488" s="7">
        <f t="shared" si="1"/>
        <v>337956.899</v>
      </c>
      <c r="G488" s="14">
        <f t="shared" si="2"/>
        <v>-0.001037987027</v>
      </c>
      <c r="I488" s="12"/>
      <c r="J488" s="12"/>
      <c r="K488" s="12"/>
      <c r="L488" s="12"/>
      <c r="M488" s="12">
        <v>43805.0</v>
      </c>
      <c r="N488" s="2">
        <v>314.87</v>
      </c>
      <c r="O488" s="3">
        <v>43628.0</v>
      </c>
      <c r="P488" s="4" t="str">
        <f t="array" ref="P488">XLOOKUP(O488,Agregado!$B$2:$B$1511,Agregado!$G$2:$G$1511)</f>
        <v>#N/A</v>
      </c>
    </row>
    <row r="489" ht="15.75" customHeight="1">
      <c r="B489" s="13" t="s">
        <v>1408</v>
      </c>
      <c r="C489" s="7">
        <v>132199.31000000017</v>
      </c>
      <c r="D489" s="7">
        <v>117484.54000000005</v>
      </c>
      <c r="E489" s="7">
        <v>88695.0219999999</v>
      </c>
      <c r="F489" s="7">
        <f t="shared" si="1"/>
        <v>338378.872</v>
      </c>
      <c r="G489" s="14">
        <f t="shared" si="2"/>
        <v>0.001247821194</v>
      </c>
      <c r="I489" s="12"/>
      <c r="J489" s="12"/>
      <c r="K489" s="12"/>
      <c r="L489" s="12"/>
      <c r="M489" s="12">
        <v>43808.0</v>
      </c>
      <c r="N489" s="2">
        <v>313.88</v>
      </c>
      <c r="O489" s="3">
        <v>43720.0</v>
      </c>
      <c r="P489" s="4" t="str">
        <f t="array" ref="P489">XLOOKUP(O489,Agregado!$B$2:$B$1511,Agregado!$G$2:$G$1511)</f>
        <v>#N/A</v>
      </c>
    </row>
    <row r="490" ht="15.75" customHeight="1">
      <c r="B490" s="13" t="s">
        <v>1409</v>
      </c>
      <c r="C490" s="7">
        <v>132529.87900000016</v>
      </c>
      <c r="D490" s="7">
        <v>117817.00400000006</v>
      </c>
      <c r="E490" s="7">
        <v>87355.62699999989</v>
      </c>
      <c r="F490" s="7">
        <f t="shared" si="1"/>
        <v>337702.51</v>
      </c>
      <c r="G490" s="14">
        <f t="shared" si="2"/>
        <v>-0.002000830798</v>
      </c>
      <c r="I490" s="12"/>
      <c r="J490" s="12"/>
      <c r="K490" s="12"/>
      <c r="L490" s="12"/>
      <c r="M490" s="12">
        <v>43809.0</v>
      </c>
      <c r="N490" s="2">
        <v>313.53</v>
      </c>
      <c r="O490" s="3">
        <v>43750.0</v>
      </c>
      <c r="P490" s="4" t="str">
        <f t="array" ref="P490">XLOOKUP(O490,Agregado!$B$2:$B$1511,Agregado!$G$2:$G$1511)</f>
        <v>#N/A</v>
      </c>
    </row>
    <row r="491" ht="15.75" customHeight="1">
      <c r="B491" s="13" t="s">
        <v>1410</v>
      </c>
      <c r="C491" s="7">
        <v>133753.94100000017</v>
      </c>
      <c r="D491" s="7">
        <v>118164.22600000005</v>
      </c>
      <c r="E491" s="7">
        <v>87426.98199999989</v>
      </c>
      <c r="F491" s="7">
        <f t="shared" si="1"/>
        <v>339345.149</v>
      </c>
      <c r="G491" s="14">
        <f t="shared" si="2"/>
        <v>0.004852368075</v>
      </c>
      <c r="I491" s="12"/>
      <c r="J491" s="12"/>
      <c r="K491" s="12"/>
      <c r="L491" s="12"/>
      <c r="M491" s="12">
        <v>43810.0</v>
      </c>
      <c r="N491" s="2">
        <v>314.42</v>
      </c>
      <c r="O491" s="3">
        <v>43781.0</v>
      </c>
      <c r="P491" s="4" t="str">
        <f t="array" ref="P491">XLOOKUP(O491,Agregado!$B$2:$B$1511,Agregado!$G$2:$G$1511)</f>
        <v>#N/A</v>
      </c>
    </row>
    <row r="492" ht="15.75" customHeight="1">
      <c r="B492" s="13" t="s">
        <v>1411</v>
      </c>
      <c r="C492" s="7">
        <v>132797.67800000016</v>
      </c>
      <c r="D492" s="7">
        <v>118495.31400000006</v>
      </c>
      <c r="E492" s="7">
        <v>87484.18899999988</v>
      </c>
      <c r="F492" s="7">
        <f t="shared" si="1"/>
        <v>338777.181</v>
      </c>
      <c r="G492" s="14">
        <f t="shared" si="2"/>
        <v>-0.001675119983</v>
      </c>
      <c r="I492" s="12"/>
      <c r="J492" s="12"/>
      <c r="K492" s="12"/>
      <c r="L492" s="12"/>
      <c r="M492" s="12">
        <v>43811.0</v>
      </c>
      <c r="N492" s="2">
        <v>317.13</v>
      </c>
      <c r="O492" s="3">
        <v>43811.0</v>
      </c>
      <c r="P492" s="4" t="str">
        <f t="array" ref="P492">XLOOKUP(O492,Agregado!$B$2:$B$1511,Agregado!$G$2:$G$1511)</f>
        <v>#N/A</v>
      </c>
    </row>
    <row r="493" ht="15.75" customHeight="1">
      <c r="B493" s="13" t="s">
        <v>1412</v>
      </c>
      <c r="C493" s="7">
        <v>133678.11000000016</v>
      </c>
      <c r="D493" s="7">
        <v>118400.44200000005</v>
      </c>
      <c r="E493" s="7">
        <v>87473.55599999988</v>
      </c>
      <c r="F493" s="7">
        <f t="shared" si="1"/>
        <v>339552.108</v>
      </c>
      <c r="G493" s="14">
        <f t="shared" si="2"/>
        <v>0.002284811668</v>
      </c>
      <c r="I493" s="12"/>
      <c r="J493" s="12"/>
      <c r="K493" s="12"/>
      <c r="L493" s="12"/>
      <c r="M493" s="12">
        <v>43812.0</v>
      </c>
      <c r="N493" s="2">
        <v>317.32</v>
      </c>
      <c r="O493" s="3" t="s">
        <v>292</v>
      </c>
      <c r="P493" s="4" t="str">
        <f t="array" ref="P493">XLOOKUP(O493,Agregado!$B$2:$B$1511,Agregado!$G$2:$G$1511)</f>
        <v>#N/A</v>
      </c>
    </row>
    <row r="494" ht="15.75" customHeight="1">
      <c r="B494" s="13" t="s">
        <v>1413</v>
      </c>
      <c r="C494" s="7">
        <v>136342.34400000016</v>
      </c>
      <c r="D494" s="7">
        <v>118161.19400000005</v>
      </c>
      <c r="E494" s="7">
        <v>87492.42899999989</v>
      </c>
      <c r="F494" s="7">
        <f t="shared" si="1"/>
        <v>341995.967</v>
      </c>
      <c r="G494" s="14">
        <f t="shared" si="2"/>
        <v>0.007171524838</v>
      </c>
      <c r="I494" s="12"/>
      <c r="J494" s="12"/>
      <c r="K494" s="12"/>
      <c r="L494" s="12"/>
      <c r="M494" s="12">
        <v>43815.0</v>
      </c>
      <c r="N494" s="2">
        <v>319.5</v>
      </c>
      <c r="O494" s="3" t="s">
        <v>293</v>
      </c>
      <c r="P494" s="4" t="str">
        <f t="array" ref="P494">XLOOKUP(O494,Agregado!$B$2:$B$1511,Agregado!$G$2:$G$1511)</f>
        <v>#N/A</v>
      </c>
    </row>
    <row r="495" ht="15.75" customHeight="1">
      <c r="B495" s="13" t="s">
        <v>1414</v>
      </c>
      <c r="C495" s="7">
        <v>137658.91500000015</v>
      </c>
      <c r="D495" s="7">
        <v>117682.58000000005</v>
      </c>
      <c r="E495" s="7">
        <v>87488.43999999989</v>
      </c>
      <c r="F495" s="7">
        <f t="shared" si="1"/>
        <v>342829.935</v>
      </c>
      <c r="G495" s="14">
        <f t="shared" si="2"/>
        <v>0.002435563286</v>
      </c>
      <c r="I495" s="12"/>
      <c r="J495" s="12"/>
      <c r="K495" s="12"/>
      <c r="L495" s="12"/>
      <c r="M495" s="12">
        <v>43816.0</v>
      </c>
      <c r="N495" s="2">
        <v>319.57</v>
      </c>
      <c r="O495" s="3" t="s">
        <v>294</v>
      </c>
      <c r="P495" s="4" t="str">
        <f t="array" ref="P495">XLOOKUP(O495,Agregado!$B$2:$B$1511,Agregado!$G$2:$G$1511)</f>
        <v>#N/A</v>
      </c>
    </row>
    <row r="496" ht="15.75" customHeight="1">
      <c r="B496" s="13" t="s">
        <v>1415</v>
      </c>
      <c r="C496" s="7">
        <v>135981.47300000014</v>
      </c>
      <c r="D496" s="7">
        <v>122185.08300000004</v>
      </c>
      <c r="E496" s="7">
        <v>87845.18499999988</v>
      </c>
      <c r="F496" s="7">
        <f t="shared" si="1"/>
        <v>346011.741</v>
      </c>
      <c r="G496" s="14">
        <f t="shared" si="2"/>
        <v>0.009238200126</v>
      </c>
      <c r="I496" s="12"/>
      <c r="J496" s="12"/>
      <c r="K496" s="12"/>
      <c r="L496" s="12"/>
      <c r="M496" s="12">
        <v>43817.0</v>
      </c>
      <c r="N496" s="2">
        <v>319.59</v>
      </c>
      <c r="O496" s="3" t="s">
        <v>295</v>
      </c>
      <c r="P496" s="4" t="str">
        <f t="array" ref="P496">XLOOKUP(O496,Agregado!$B$2:$B$1511,Agregado!$G$2:$G$1511)</f>
        <v>#N/A</v>
      </c>
    </row>
    <row r="497" ht="15.75" customHeight="1">
      <c r="B497" s="13" t="s">
        <v>1416</v>
      </c>
      <c r="C497" s="7">
        <v>135597.93300000014</v>
      </c>
      <c r="D497" s="7">
        <v>116994.27100000004</v>
      </c>
      <c r="E497" s="7">
        <v>88161.92699999988</v>
      </c>
      <c r="F497" s="7">
        <f t="shared" si="1"/>
        <v>340754.131</v>
      </c>
      <c r="G497" s="14">
        <f t="shared" si="2"/>
        <v>-0.01531151425</v>
      </c>
      <c r="I497" s="12"/>
      <c r="J497" s="12"/>
      <c r="K497" s="12"/>
      <c r="L497" s="12"/>
      <c r="M497" s="12">
        <v>43818.0</v>
      </c>
      <c r="N497" s="2">
        <v>320.9</v>
      </c>
      <c r="O497" s="3" t="s">
        <v>296</v>
      </c>
      <c r="P497" s="4" t="str">
        <f t="array" ref="P497">XLOOKUP(O497,Agregado!$B$2:$B$1511,Agregado!$G$2:$G$1511)</f>
        <v>#N/A</v>
      </c>
    </row>
    <row r="498" ht="15.75" customHeight="1">
      <c r="B498" s="13" t="s">
        <v>1417</v>
      </c>
      <c r="C498" s="7">
        <v>133744.80600000013</v>
      </c>
      <c r="D498" s="7">
        <v>118079.97400000003</v>
      </c>
      <c r="E498" s="7">
        <v>88921.08499999988</v>
      </c>
      <c r="F498" s="7">
        <f t="shared" si="1"/>
        <v>340745.865</v>
      </c>
      <c r="G498" s="14">
        <f t="shared" si="2"/>
        <v>-0.000024258254</v>
      </c>
      <c r="I498" s="12"/>
      <c r="J498" s="12"/>
      <c r="K498" s="12"/>
      <c r="L498" s="12"/>
      <c r="M498" s="12">
        <v>43819.0</v>
      </c>
      <c r="N498" s="2">
        <v>320.73</v>
      </c>
      <c r="O498" s="3" t="s">
        <v>297</v>
      </c>
      <c r="P498" s="4" t="str">
        <f t="array" ref="P498">XLOOKUP(O498,Agregado!$B$2:$B$1511,Agregado!$G$2:$G$1511)</f>
        <v>#N/A</v>
      </c>
    </row>
    <row r="499" ht="15.75" customHeight="1">
      <c r="B499" s="13" t="s">
        <v>1418</v>
      </c>
      <c r="C499" s="7">
        <v>128722.04300000012</v>
      </c>
      <c r="D499" s="7">
        <v>118400.74300000003</v>
      </c>
      <c r="E499" s="7">
        <v>88692.03899999987</v>
      </c>
      <c r="F499" s="7">
        <f t="shared" si="1"/>
        <v>335814.825</v>
      </c>
      <c r="G499" s="14">
        <f t="shared" si="2"/>
        <v>-0.01457704354</v>
      </c>
      <c r="I499" s="12"/>
      <c r="J499" s="12"/>
      <c r="K499" s="12"/>
      <c r="L499" s="12"/>
      <c r="M499" s="12">
        <v>43822.0</v>
      </c>
      <c r="N499" s="2">
        <v>321.22</v>
      </c>
      <c r="O499" s="3" t="s">
        <v>298</v>
      </c>
      <c r="P499" s="4" t="str">
        <f t="array" ref="P499">XLOOKUP(O499,Agregado!$B$2:$B$1511,Agregado!$G$2:$G$1511)</f>
        <v>#N/A</v>
      </c>
    </row>
    <row r="500" ht="15.75" customHeight="1">
      <c r="B500" s="13" t="s">
        <v>1419</v>
      </c>
      <c r="C500" s="7">
        <v>139875.70000000013</v>
      </c>
      <c r="D500" s="7">
        <v>117546.45800000003</v>
      </c>
      <c r="E500" s="7">
        <v>87684.55099999988</v>
      </c>
      <c r="F500" s="7">
        <f t="shared" si="1"/>
        <v>345106.709</v>
      </c>
      <c r="G500" s="14">
        <f t="shared" si="2"/>
        <v>0.02729377869</v>
      </c>
      <c r="I500" s="12"/>
      <c r="J500" s="12"/>
      <c r="K500" s="12"/>
      <c r="L500" s="12"/>
      <c r="M500" s="12">
        <v>43823.0</v>
      </c>
      <c r="N500" s="2">
        <v>321.23</v>
      </c>
      <c r="O500" s="3" t="s">
        <v>299</v>
      </c>
      <c r="P500" s="4" t="str">
        <f t="array" ref="P500">XLOOKUP(O500,Agregado!$B$2:$B$1511,Agregado!$G$2:$G$1511)</f>
        <v>#N/A</v>
      </c>
    </row>
    <row r="501" ht="15.75" customHeight="1">
      <c r="B501" s="13" t="s">
        <v>1420</v>
      </c>
      <c r="C501" s="7">
        <v>137177.24100000013</v>
      </c>
      <c r="D501" s="7">
        <v>117546.45800000003</v>
      </c>
      <c r="E501" s="7">
        <v>87787.85399999988</v>
      </c>
      <c r="F501" s="7">
        <f t="shared" si="1"/>
        <v>342511.553</v>
      </c>
      <c r="G501" s="14">
        <f t="shared" si="2"/>
        <v>-0.007548282137</v>
      </c>
      <c r="I501" s="12"/>
      <c r="J501" s="12"/>
      <c r="K501" s="12"/>
      <c r="L501" s="12"/>
      <c r="M501" s="12">
        <v>43825.0</v>
      </c>
      <c r="N501" s="2">
        <v>322.94</v>
      </c>
      <c r="O501" s="3" t="s">
        <v>300</v>
      </c>
      <c r="P501" s="4" t="str">
        <f t="array" ref="P501">XLOOKUP(O501,Agregado!$B$2:$B$1511,Agregado!$G$2:$G$1511)</f>
        <v>#N/A</v>
      </c>
    </row>
    <row r="502" ht="15.75" customHeight="1">
      <c r="B502" s="13" t="s">
        <v>1421</v>
      </c>
      <c r="C502" s="7">
        <v>137193.30100000012</v>
      </c>
      <c r="D502" s="7">
        <v>117304.50100000003</v>
      </c>
      <c r="E502" s="7">
        <v>87883.76499999987</v>
      </c>
      <c r="F502" s="7">
        <f t="shared" si="1"/>
        <v>342381.567</v>
      </c>
      <c r="G502" s="14">
        <f t="shared" si="2"/>
        <v>-0.0003795803981</v>
      </c>
      <c r="I502" s="12"/>
      <c r="J502" s="12"/>
      <c r="K502" s="12"/>
      <c r="L502" s="12"/>
      <c r="M502" s="12">
        <v>43826.0</v>
      </c>
      <c r="N502" s="2">
        <v>322.86</v>
      </c>
      <c r="O502" s="3" t="s">
        <v>301</v>
      </c>
      <c r="P502" s="4" t="str">
        <f t="array" ref="P502">XLOOKUP(O502,Agregado!$B$2:$B$1511,Agregado!$G$2:$G$1511)</f>
        <v>#N/A</v>
      </c>
    </row>
    <row r="503" ht="15.75" customHeight="1">
      <c r="B503" s="13" t="s">
        <v>1422</v>
      </c>
      <c r="C503" s="7">
        <v>137693.76600000012</v>
      </c>
      <c r="D503" s="7">
        <v>117093.71100000004</v>
      </c>
      <c r="E503" s="7">
        <v>87888.85799999986</v>
      </c>
      <c r="F503" s="7">
        <f t="shared" si="1"/>
        <v>342676.335</v>
      </c>
      <c r="G503" s="14">
        <f t="shared" si="2"/>
        <v>0.0008605638073</v>
      </c>
      <c r="I503" s="12"/>
      <c r="J503" s="12"/>
      <c r="K503" s="12"/>
      <c r="L503" s="12"/>
      <c r="M503" s="12">
        <v>43829.0</v>
      </c>
      <c r="N503" s="2">
        <v>321.08</v>
      </c>
      <c r="O503" s="3" t="s">
        <v>302</v>
      </c>
      <c r="P503" s="4" t="str">
        <f t="array" ref="P503">XLOOKUP(O503,Agregado!$B$2:$B$1511,Agregado!$G$2:$G$1511)</f>
        <v>#N/A</v>
      </c>
    </row>
    <row r="504" ht="15.75" customHeight="1">
      <c r="B504" s="13" t="s">
        <v>1423</v>
      </c>
      <c r="C504" s="7">
        <v>139986.30900000012</v>
      </c>
      <c r="D504" s="7">
        <v>117012.63400000003</v>
      </c>
      <c r="E504" s="7">
        <v>87944.37499999987</v>
      </c>
      <c r="F504" s="7">
        <f t="shared" si="1"/>
        <v>344943.318</v>
      </c>
      <c r="G504" s="14">
        <f t="shared" si="2"/>
        <v>0.006593735952</v>
      </c>
      <c r="I504" s="12"/>
      <c r="J504" s="12"/>
      <c r="K504" s="12"/>
      <c r="L504" s="12"/>
      <c r="M504" s="12">
        <v>43830.0</v>
      </c>
      <c r="N504" s="2">
        <v>321.86</v>
      </c>
      <c r="O504" s="3" t="s">
        <v>303</v>
      </c>
      <c r="P504" s="4" t="str">
        <f t="array" ref="P504">XLOOKUP(O504,Agregado!$B$2:$B$1511,Agregado!$G$2:$G$1511)</f>
        <v>#N/A</v>
      </c>
    </row>
    <row r="505" ht="15.75" customHeight="1">
      <c r="B505" s="13" t="s">
        <v>1424</v>
      </c>
      <c r="C505" s="7">
        <v>140211.05600000013</v>
      </c>
      <c r="D505" s="7">
        <v>116964.26300000004</v>
      </c>
      <c r="E505" s="7">
        <v>87964.52199999987</v>
      </c>
      <c r="F505" s="7">
        <f t="shared" si="1"/>
        <v>345139.841</v>
      </c>
      <c r="G505" s="14">
        <f t="shared" si="2"/>
        <v>0.0005695632555</v>
      </c>
      <c r="I505" s="12"/>
      <c r="J505" s="12"/>
      <c r="K505" s="12"/>
      <c r="L505" s="12"/>
      <c r="M505" s="12">
        <v>43832.0</v>
      </c>
      <c r="N505" s="2">
        <v>324.87</v>
      </c>
      <c r="O505" s="3">
        <v>43862.0</v>
      </c>
      <c r="P505" s="4" t="str">
        <f t="array" ref="P505">XLOOKUP(O505,Agregado!$B$2:$B$1511,Agregado!$G$2:$G$1511)</f>
        <v>#N/A</v>
      </c>
    </row>
    <row r="506" ht="15.75" customHeight="1">
      <c r="B506" s="13" t="s">
        <v>1425</v>
      </c>
      <c r="C506" s="7">
        <v>144783.98000000013</v>
      </c>
      <c r="D506" s="7">
        <v>116867.23000000004</v>
      </c>
      <c r="E506" s="7">
        <v>88104.52099999986</v>
      </c>
      <c r="F506" s="7">
        <f t="shared" si="1"/>
        <v>349755.731</v>
      </c>
      <c r="G506" s="14">
        <f t="shared" si="2"/>
        <v>0.01328532826</v>
      </c>
      <c r="I506" s="12"/>
      <c r="J506" s="12"/>
      <c r="K506" s="12"/>
      <c r="L506" s="12"/>
      <c r="M506" s="12">
        <v>43833.0</v>
      </c>
      <c r="N506" s="2">
        <v>322.41</v>
      </c>
      <c r="O506" s="3">
        <v>43891.0</v>
      </c>
      <c r="P506" s="4" t="str">
        <f t="array" ref="P506">XLOOKUP(O506,Agregado!$B$2:$B$1511,Agregado!$G$2:$G$1511)</f>
        <v>#N/A</v>
      </c>
    </row>
    <row r="507" ht="15.75" customHeight="1">
      <c r="B507" s="13" t="s">
        <v>1426</v>
      </c>
      <c r="C507" s="7">
        <v>145855.73800000013</v>
      </c>
      <c r="D507" s="7">
        <v>116785.68200000004</v>
      </c>
      <c r="E507" s="7">
        <v>88235.63399999986</v>
      </c>
      <c r="F507" s="7">
        <f t="shared" si="1"/>
        <v>350877.054</v>
      </c>
      <c r="G507" s="14">
        <f t="shared" si="2"/>
        <v>0.0032008892</v>
      </c>
      <c r="I507" s="12"/>
      <c r="J507" s="12"/>
      <c r="K507" s="12"/>
      <c r="L507" s="12"/>
      <c r="M507" s="12">
        <v>43836.0</v>
      </c>
      <c r="N507" s="2">
        <v>323.64</v>
      </c>
      <c r="O507" s="3">
        <v>43983.0</v>
      </c>
      <c r="P507" s="4" t="str">
        <f t="array" ref="P507">XLOOKUP(O507,Agregado!$B$2:$B$1511,Agregado!$G$2:$G$1511)</f>
        <v>#N/A</v>
      </c>
    </row>
    <row r="508" ht="15.75" customHeight="1">
      <c r="B508" s="13" t="s">
        <v>1427</v>
      </c>
      <c r="C508" s="7">
        <v>144581.81700000013</v>
      </c>
      <c r="D508" s="7">
        <v>116477.95200000005</v>
      </c>
      <c r="E508" s="7">
        <v>88329.80799999986</v>
      </c>
      <c r="F508" s="7">
        <f t="shared" si="1"/>
        <v>349389.577</v>
      </c>
      <c r="G508" s="14">
        <f t="shared" si="2"/>
        <v>-0.004248322486</v>
      </c>
      <c r="I508" s="12"/>
      <c r="J508" s="12"/>
      <c r="K508" s="12"/>
      <c r="L508" s="12"/>
      <c r="M508" s="12">
        <v>43837.0</v>
      </c>
      <c r="N508" s="2">
        <v>322.73</v>
      </c>
      <c r="O508" s="3">
        <v>44013.0</v>
      </c>
      <c r="P508" s="4" t="str">
        <f t="array" ref="P508">XLOOKUP(O508,Agregado!$B$2:$B$1511,Agregado!$G$2:$G$1511)</f>
        <v>#N/A</v>
      </c>
    </row>
    <row r="509" ht="15.75" customHeight="1">
      <c r="B509" s="13" t="s">
        <v>1428</v>
      </c>
      <c r="C509" s="7">
        <v>142235.34600000014</v>
      </c>
      <c r="D509" s="7">
        <v>116201.64200000005</v>
      </c>
      <c r="E509" s="7">
        <v>88368.99499999986</v>
      </c>
      <c r="F509" s="7">
        <f t="shared" si="1"/>
        <v>346805.983</v>
      </c>
      <c r="G509" s="14">
        <f t="shared" si="2"/>
        <v>-0.00742206934</v>
      </c>
      <c r="I509" s="12"/>
      <c r="J509" s="12"/>
      <c r="K509" s="12"/>
      <c r="L509" s="12"/>
      <c r="M509" s="12">
        <v>43838.0</v>
      </c>
      <c r="N509" s="2">
        <v>324.45</v>
      </c>
      <c r="O509" s="3">
        <v>44044.0</v>
      </c>
      <c r="P509" s="4" t="str">
        <f t="array" ref="P509">XLOOKUP(O509,Agregado!$B$2:$B$1511,Agregado!$G$2:$G$1511)</f>
        <v>#N/A</v>
      </c>
    </row>
    <row r="510" ht="15.75" customHeight="1">
      <c r="B510" s="13" t="s">
        <v>1429</v>
      </c>
      <c r="C510" s="7">
        <v>142251.48500000013</v>
      </c>
      <c r="D510" s="7">
        <v>116120.59400000006</v>
      </c>
      <c r="E510" s="7">
        <v>88479.25599999986</v>
      </c>
      <c r="F510" s="7">
        <f t="shared" si="1"/>
        <v>346851.335</v>
      </c>
      <c r="G510" s="14">
        <f t="shared" si="2"/>
        <v>0.0001307619739</v>
      </c>
      <c r="I510" s="12"/>
      <c r="J510" s="12"/>
      <c r="K510" s="12"/>
      <c r="L510" s="12"/>
      <c r="M510" s="12">
        <v>43839.0</v>
      </c>
      <c r="N510" s="2">
        <v>326.65</v>
      </c>
      <c r="O510" s="3">
        <v>44075.0</v>
      </c>
      <c r="P510" s="4" t="str">
        <f t="array" ref="P510">XLOOKUP(O510,Agregado!$B$2:$B$1511,Agregado!$G$2:$G$1511)</f>
        <v>#N/A</v>
      </c>
    </row>
    <row r="511" ht="15.75" customHeight="1">
      <c r="B511" s="13" t="s">
        <v>1430</v>
      </c>
      <c r="C511" s="7">
        <v>143678.70000000013</v>
      </c>
      <c r="D511" s="7">
        <v>116430.09800000006</v>
      </c>
      <c r="E511" s="7">
        <v>88521.63399999986</v>
      </c>
      <c r="F511" s="7">
        <f t="shared" si="1"/>
        <v>348630.432</v>
      </c>
      <c r="G511" s="14">
        <f t="shared" si="2"/>
        <v>0.005116168288</v>
      </c>
      <c r="I511" s="12"/>
      <c r="J511" s="12"/>
      <c r="K511" s="12"/>
      <c r="L511" s="12"/>
      <c r="M511" s="12">
        <v>43840.0</v>
      </c>
      <c r="N511" s="2">
        <v>325.71</v>
      </c>
      <c r="O511" s="3">
        <v>44105.0</v>
      </c>
      <c r="P511" s="4" t="str">
        <f t="array" ref="P511">XLOOKUP(O511,Agregado!$B$2:$B$1511,Agregado!$G$2:$G$1511)</f>
        <v>#N/A</v>
      </c>
    </row>
    <row r="512" ht="15.75" customHeight="1">
      <c r="B512" s="13" t="s">
        <v>1431</v>
      </c>
      <c r="C512" s="7">
        <v>146340.58200000014</v>
      </c>
      <c r="D512" s="7">
        <v>116430.09800000006</v>
      </c>
      <c r="E512" s="7">
        <v>88205.85499999986</v>
      </c>
      <c r="F512" s="7">
        <f t="shared" si="1"/>
        <v>350976.535</v>
      </c>
      <c r="G512" s="14">
        <f t="shared" si="2"/>
        <v>0.006706942341</v>
      </c>
      <c r="I512" s="12"/>
      <c r="J512" s="12"/>
      <c r="K512" s="12"/>
      <c r="L512" s="12"/>
      <c r="M512" s="12">
        <v>43843.0</v>
      </c>
      <c r="N512" s="2">
        <v>327.95</v>
      </c>
      <c r="O512" s="3" t="s">
        <v>304</v>
      </c>
      <c r="P512" s="4" t="str">
        <f t="array" ref="P512">XLOOKUP(O512,Agregado!$B$2:$B$1511,Agregado!$G$2:$G$1511)</f>
        <v>#N/A</v>
      </c>
    </row>
    <row r="513" ht="15.75" customHeight="1">
      <c r="B513" s="13" t="s">
        <v>1432</v>
      </c>
      <c r="C513" s="7">
        <v>144565.64700000014</v>
      </c>
      <c r="D513" s="7">
        <v>116740.85200000006</v>
      </c>
      <c r="E513" s="7">
        <v>88242.99699999987</v>
      </c>
      <c r="F513" s="7">
        <f t="shared" si="1"/>
        <v>349549.496</v>
      </c>
      <c r="G513" s="14">
        <f t="shared" si="2"/>
        <v>-0.004074198276</v>
      </c>
      <c r="I513" s="12"/>
      <c r="J513" s="12"/>
      <c r="K513" s="12"/>
      <c r="L513" s="12"/>
      <c r="M513" s="12">
        <v>43844.0</v>
      </c>
      <c r="N513" s="2">
        <v>327.45</v>
      </c>
      <c r="O513" s="3" t="s">
        <v>305</v>
      </c>
      <c r="P513" s="4" t="str">
        <f t="array" ref="P513">XLOOKUP(O513,Agregado!$B$2:$B$1511,Agregado!$G$2:$G$1511)</f>
        <v>#N/A</v>
      </c>
    </row>
    <row r="514" ht="15.75" customHeight="1">
      <c r="B514" s="13" t="s">
        <v>1433</v>
      </c>
      <c r="C514" s="7">
        <v>144549.25000000015</v>
      </c>
      <c r="D514" s="7">
        <v>116938.48800000006</v>
      </c>
      <c r="E514" s="7">
        <v>88376.25799999987</v>
      </c>
      <c r="F514" s="7">
        <f t="shared" si="1"/>
        <v>349863.996</v>
      </c>
      <c r="G514" s="14">
        <f t="shared" si="2"/>
        <v>0.0008993250053</v>
      </c>
      <c r="I514" s="12"/>
      <c r="J514" s="12"/>
      <c r="K514" s="12"/>
      <c r="L514" s="12"/>
      <c r="M514" s="12">
        <v>43845.0</v>
      </c>
      <c r="N514" s="2">
        <v>328.19</v>
      </c>
      <c r="O514" s="3" t="s">
        <v>306</v>
      </c>
      <c r="P514" s="4" t="str">
        <f t="array" ref="P514">XLOOKUP(O514,Agregado!$B$2:$B$1511,Agregado!$G$2:$G$1511)</f>
        <v>#N/A</v>
      </c>
    </row>
    <row r="515" ht="15.75" customHeight="1">
      <c r="B515" s="13" t="s">
        <v>1434</v>
      </c>
      <c r="C515" s="7">
        <v>144172.64700000014</v>
      </c>
      <c r="D515" s="7">
        <v>117267.41400000006</v>
      </c>
      <c r="E515" s="7">
        <v>88459.92899999987</v>
      </c>
      <c r="F515" s="7">
        <f t="shared" si="1"/>
        <v>349899.99</v>
      </c>
      <c r="G515" s="14">
        <f t="shared" si="2"/>
        <v>0.0001028746856</v>
      </c>
      <c r="I515" s="12"/>
      <c r="J515" s="12"/>
      <c r="K515" s="12"/>
      <c r="L515" s="12"/>
      <c r="M515" s="12">
        <v>43846.0</v>
      </c>
      <c r="N515" s="2">
        <v>330.92</v>
      </c>
      <c r="O515" s="3" t="s">
        <v>307</v>
      </c>
      <c r="P515" s="4" t="str">
        <f t="array" ref="P515">XLOOKUP(O515,Agregado!$B$2:$B$1511,Agregado!$G$2:$G$1511)</f>
        <v>#N/A</v>
      </c>
    </row>
    <row r="516" ht="15.75" customHeight="1">
      <c r="B516" s="13" t="s">
        <v>1435</v>
      </c>
      <c r="C516" s="7">
        <v>142335.30700000015</v>
      </c>
      <c r="D516" s="7">
        <v>117745.25800000006</v>
      </c>
      <c r="E516" s="7">
        <v>88568.02799999987</v>
      </c>
      <c r="F516" s="7">
        <f t="shared" si="1"/>
        <v>348648.593</v>
      </c>
      <c r="G516" s="14">
        <f t="shared" si="2"/>
        <v>-0.003582852701</v>
      </c>
      <c r="I516" s="12"/>
      <c r="J516" s="12"/>
      <c r="K516" s="12"/>
      <c r="L516" s="12"/>
      <c r="M516" s="12">
        <v>43847.0</v>
      </c>
      <c r="N516" s="2">
        <v>331.95</v>
      </c>
      <c r="O516" s="3" t="s">
        <v>308</v>
      </c>
      <c r="P516" s="4" t="str">
        <f t="array" ref="P516">XLOOKUP(O516,Agregado!$B$2:$B$1511,Agregado!$G$2:$G$1511)</f>
        <v>#N/A</v>
      </c>
    </row>
    <row r="517" ht="15.75" customHeight="1">
      <c r="B517" s="13" t="s">
        <v>1436</v>
      </c>
      <c r="C517" s="7">
        <v>142815.04000000015</v>
      </c>
      <c r="D517" s="7">
        <v>117363.09700000007</v>
      </c>
      <c r="E517" s="7">
        <v>88649.40499999987</v>
      </c>
      <c r="F517" s="7">
        <f t="shared" si="1"/>
        <v>348827.542</v>
      </c>
      <c r="G517" s="14">
        <f t="shared" si="2"/>
        <v>0.0005131329803</v>
      </c>
      <c r="I517" s="12"/>
      <c r="J517" s="12"/>
      <c r="K517" s="12"/>
      <c r="L517" s="12"/>
      <c r="M517" s="12">
        <v>43851.0</v>
      </c>
      <c r="N517" s="2">
        <v>331.3</v>
      </c>
      <c r="O517" s="3" t="s">
        <v>309</v>
      </c>
      <c r="P517" s="4" t="str">
        <f t="array" ref="P517">XLOOKUP(O517,Agregado!$B$2:$B$1511,Agregado!$G$2:$G$1511)</f>
        <v>#N/A</v>
      </c>
    </row>
    <row r="518" ht="15.75" customHeight="1">
      <c r="B518" s="13" t="s">
        <v>1437</v>
      </c>
      <c r="C518" s="7">
        <v>142283.63000000015</v>
      </c>
      <c r="D518" s="7">
        <v>116962.77200000007</v>
      </c>
      <c r="E518" s="7">
        <v>88846.54899999987</v>
      </c>
      <c r="F518" s="7">
        <f t="shared" si="1"/>
        <v>348092.951</v>
      </c>
      <c r="G518" s="14">
        <f t="shared" si="2"/>
        <v>-0.002108106389</v>
      </c>
      <c r="I518" s="12"/>
      <c r="J518" s="12"/>
      <c r="K518" s="12"/>
      <c r="L518" s="12"/>
      <c r="M518" s="12">
        <v>43852.0</v>
      </c>
      <c r="N518" s="2">
        <v>331.34</v>
      </c>
      <c r="O518" s="3" t="s">
        <v>310</v>
      </c>
      <c r="P518" s="4" t="str">
        <f t="array" ref="P518">XLOOKUP(O518,Agregado!$B$2:$B$1511,Agregado!$G$2:$G$1511)</f>
        <v>#N/A</v>
      </c>
    </row>
    <row r="519" ht="15.75" customHeight="1">
      <c r="B519" s="13" t="s">
        <v>1438</v>
      </c>
      <c r="C519" s="7">
        <v>141306.43100000016</v>
      </c>
      <c r="D519" s="7">
        <v>117262.22500000006</v>
      </c>
      <c r="E519" s="7">
        <v>88992.46799999986</v>
      </c>
      <c r="F519" s="7">
        <f t="shared" si="1"/>
        <v>347561.124</v>
      </c>
      <c r="G519" s="14">
        <f t="shared" si="2"/>
        <v>-0.001528998744</v>
      </c>
      <c r="I519" s="12"/>
      <c r="J519" s="12"/>
      <c r="K519" s="12"/>
      <c r="L519" s="12"/>
      <c r="M519" s="12">
        <v>43853.0</v>
      </c>
      <c r="N519" s="2">
        <v>331.72</v>
      </c>
      <c r="O519" s="3" t="s">
        <v>311</v>
      </c>
      <c r="P519" s="4" t="str">
        <f t="array" ref="P519">XLOOKUP(O519,Agregado!$B$2:$B$1511,Agregado!$G$2:$G$1511)</f>
        <v>#N/A</v>
      </c>
    </row>
    <row r="520" ht="15.75" customHeight="1">
      <c r="B520" s="13" t="s">
        <v>1439</v>
      </c>
      <c r="C520" s="7">
        <v>139450.81000000014</v>
      </c>
      <c r="D520" s="7">
        <v>117861.32500000007</v>
      </c>
      <c r="E520" s="7">
        <v>89141.41599999987</v>
      </c>
      <c r="F520" s="7">
        <f t="shared" si="1"/>
        <v>346453.551</v>
      </c>
      <c r="G520" s="14">
        <f t="shared" si="2"/>
        <v>-0.003191788244</v>
      </c>
      <c r="I520" s="12"/>
      <c r="J520" s="12"/>
      <c r="K520" s="12"/>
      <c r="L520" s="12"/>
      <c r="M520" s="12">
        <v>43854.0</v>
      </c>
      <c r="N520" s="2">
        <v>328.77</v>
      </c>
      <c r="O520" s="3" t="s">
        <v>312</v>
      </c>
      <c r="P520" s="4" t="str">
        <f t="array" ref="P520">XLOOKUP(O520,Agregado!$B$2:$B$1511,Agregado!$G$2:$G$1511)</f>
        <v>#N/A</v>
      </c>
    </row>
    <row r="521" ht="15.75" customHeight="1">
      <c r="B521" s="13" t="s">
        <v>1440</v>
      </c>
      <c r="C521" s="7">
        <v>140827.62200000015</v>
      </c>
      <c r="D521" s="7">
        <v>118194.56300000007</v>
      </c>
      <c r="E521" s="7">
        <v>89321.92899999987</v>
      </c>
      <c r="F521" s="7">
        <f t="shared" si="1"/>
        <v>348344.114</v>
      </c>
      <c r="G521" s="14">
        <f t="shared" si="2"/>
        <v>0.005442066838</v>
      </c>
      <c r="I521" s="12"/>
      <c r="J521" s="12"/>
      <c r="K521" s="12"/>
      <c r="L521" s="12"/>
      <c r="M521" s="12">
        <v>43857.0</v>
      </c>
      <c r="N521" s="2">
        <v>323.5</v>
      </c>
      <c r="O521" s="3" t="s">
        <v>313</v>
      </c>
      <c r="P521" s="4" t="str">
        <f t="array" ref="P521">XLOOKUP(O521,Agregado!$B$2:$B$1511,Agregado!$G$2:$G$1511)</f>
        <v>#N/A</v>
      </c>
    </row>
    <row r="522" ht="15.75" customHeight="1">
      <c r="B522" s="13" t="s">
        <v>1441</v>
      </c>
      <c r="C522" s="7">
        <v>140844.06000000014</v>
      </c>
      <c r="D522" s="7">
        <v>118409.21600000007</v>
      </c>
      <c r="E522" s="7">
        <v>89434.26399999988</v>
      </c>
      <c r="F522" s="7">
        <f t="shared" si="1"/>
        <v>348687.54</v>
      </c>
      <c r="G522" s="14">
        <f t="shared" si="2"/>
        <v>0.0009853957875</v>
      </c>
      <c r="I522" s="12"/>
      <c r="J522" s="12"/>
      <c r="K522" s="12"/>
      <c r="L522" s="12"/>
      <c r="M522" s="12">
        <v>43858.0</v>
      </c>
      <c r="N522" s="2">
        <v>326.89</v>
      </c>
      <c r="O522" s="3" t="s">
        <v>314</v>
      </c>
      <c r="P522" s="4" t="str">
        <f t="array" ref="P522">XLOOKUP(O522,Agregado!$B$2:$B$1511,Agregado!$G$2:$G$1511)</f>
        <v>#N/A</v>
      </c>
    </row>
    <row r="523" ht="15.75" customHeight="1">
      <c r="B523" s="13" t="s">
        <v>1442</v>
      </c>
      <c r="C523" s="7">
        <v>140164.50400000013</v>
      </c>
      <c r="D523" s="7">
        <v>118522.98000000007</v>
      </c>
      <c r="E523" s="7">
        <v>89534.56299999988</v>
      </c>
      <c r="F523" s="7">
        <f t="shared" si="1"/>
        <v>348222.047</v>
      </c>
      <c r="G523" s="14">
        <f t="shared" si="2"/>
        <v>-0.001335877933</v>
      </c>
      <c r="I523" s="12"/>
      <c r="J523" s="12"/>
      <c r="K523" s="12"/>
      <c r="L523" s="12"/>
      <c r="M523" s="12">
        <v>43859.0</v>
      </c>
      <c r="N523" s="2">
        <v>326.62</v>
      </c>
      <c r="O523" s="3" t="s">
        <v>315</v>
      </c>
      <c r="P523" s="4" t="str">
        <f t="array" ref="P523">XLOOKUP(O523,Agregado!$B$2:$B$1511,Agregado!$G$2:$G$1511)</f>
        <v>#N/A</v>
      </c>
    </row>
    <row r="524" ht="15.75" customHeight="1">
      <c r="B524" s="13" t="s">
        <v>1443</v>
      </c>
      <c r="C524" s="7">
        <v>139984.73300000012</v>
      </c>
      <c r="D524" s="7">
        <v>118670.72200000007</v>
      </c>
      <c r="E524" s="7">
        <v>89685.97099999987</v>
      </c>
      <c r="F524" s="7">
        <f t="shared" si="1"/>
        <v>348341.426</v>
      </c>
      <c r="G524" s="14">
        <f t="shared" si="2"/>
        <v>0.000342765608</v>
      </c>
      <c r="I524" s="12"/>
      <c r="J524" s="12"/>
      <c r="K524" s="12"/>
      <c r="L524" s="12"/>
      <c r="M524" s="12">
        <v>43860.0</v>
      </c>
      <c r="N524" s="2">
        <v>327.68</v>
      </c>
      <c r="O524" s="3" t="s">
        <v>316</v>
      </c>
      <c r="P524" s="4" t="str">
        <f t="array" ref="P524">XLOOKUP(O524,Agregado!$B$2:$B$1511,Agregado!$G$2:$G$1511)</f>
        <v>#N/A</v>
      </c>
    </row>
    <row r="525" ht="15.75" customHeight="1">
      <c r="B525" s="13" t="s">
        <v>1444</v>
      </c>
      <c r="C525" s="7">
        <v>140245.99600000013</v>
      </c>
      <c r="D525" s="7">
        <v>119047.96400000007</v>
      </c>
      <c r="E525" s="7">
        <v>89968.09599999987</v>
      </c>
      <c r="F525" s="7">
        <f t="shared" si="1"/>
        <v>349262.056</v>
      </c>
      <c r="G525" s="14">
        <f t="shared" si="2"/>
        <v>0.00263940923</v>
      </c>
      <c r="I525" s="12"/>
      <c r="J525" s="12"/>
      <c r="K525" s="12"/>
      <c r="L525" s="12"/>
      <c r="M525" s="12">
        <v>43861.0</v>
      </c>
      <c r="N525" s="2">
        <v>321.73</v>
      </c>
      <c r="O525" s="3" t="s">
        <v>317</v>
      </c>
      <c r="P525" s="4" t="str">
        <f t="array" ref="P525">XLOOKUP(O525,Agregado!$B$2:$B$1511,Agregado!$G$2:$G$1511)</f>
        <v>#N/A</v>
      </c>
    </row>
    <row r="526" ht="15.75" customHeight="1">
      <c r="B526" s="13" t="s">
        <v>1445</v>
      </c>
      <c r="C526" s="7">
        <v>140770.23500000013</v>
      </c>
      <c r="D526" s="7">
        <v>119047.96400000007</v>
      </c>
      <c r="E526" s="7">
        <v>89890.29699999987</v>
      </c>
      <c r="F526" s="7">
        <f t="shared" si="1"/>
        <v>349708.496</v>
      </c>
      <c r="G526" s="14">
        <f t="shared" si="2"/>
        <v>0.001277421658</v>
      </c>
      <c r="I526" s="12"/>
      <c r="J526" s="12"/>
      <c r="K526" s="12"/>
      <c r="L526" s="12"/>
      <c r="M526" s="12">
        <v>43864.0</v>
      </c>
      <c r="N526" s="2">
        <v>324.12</v>
      </c>
      <c r="O526" s="3">
        <v>43892.0</v>
      </c>
      <c r="P526" s="4" t="str">
        <f t="array" ref="P526">XLOOKUP(O526,Agregado!$B$2:$B$1511,Agregado!$G$2:$G$1511)</f>
        <v>#N/A</v>
      </c>
    </row>
    <row r="527" ht="15.75" customHeight="1">
      <c r="B527" s="13" t="s">
        <v>1446</v>
      </c>
      <c r="C527" s="7">
        <v>141768.05700000012</v>
      </c>
      <c r="D527" s="7">
        <v>119080.29500000007</v>
      </c>
      <c r="E527" s="7">
        <v>94828.37199999987</v>
      </c>
      <c r="F527" s="7">
        <f t="shared" si="1"/>
        <v>355676.724</v>
      </c>
      <c r="G527" s="14">
        <f t="shared" si="2"/>
        <v>0.01692230076</v>
      </c>
      <c r="I527" s="12"/>
      <c r="J527" s="12"/>
      <c r="K527" s="12"/>
      <c r="L527" s="12"/>
      <c r="M527" s="12">
        <v>43865.0</v>
      </c>
      <c r="N527" s="2">
        <v>329.06</v>
      </c>
      <c r="O527" s="3">
        <v>43923.0</v>
      </c>
      <c r="P527" s="4" t="str">
        <f t="array" ref="P527">XLOOKUP(O527,Agregado!$B$2:$B$1511,Agregado!$G$2:$G$1511)</f>
        <v>#N/A</v>
      </c>
    </row>
    <row r="528" ht="15.75" customHeight="1">
      <c r="B528" s="13" t="s">
        <v>1447</v>
      </c>
      <c r="C528" s="7">
        <v>138039.6120000001</v>
      </c>
      <c r="D528" s="7">
        <v>119129.14400000007</v>
      </c>
      <c r="E528" s="7">
        <v>95162.45099999987</v>
      </c>
      <c r="F528" s="7">
        <f t="shared" si="1"/>
        <v>352331.207</v>
      </c>
      <c r="G528" s="14">
        <f t="shared" si="2"/>
        <v>-0.009450577468</v>
      </c>
      <c r="I528" s="12"/>
      <c r="J528" s="12"/>
      <c r="K528" s="12"/>
      <c r="L528" s="12"/>
      <c r="M528" s="12">
        <v>43866.0</v>
      </c>
      <c r="N528" s="2">
        <v>332.86</v>
      </c>
      <c r="O528" s="3">
        <v>43953.0</v>
      </c>
      <c r="P528" s="4" t="str">
        <f t="array" ref="P528">XLOOKUP(O528,Agregado!$B$2:$B$1511,Agregado!$G$2:$G$1511)</f>
        <v>#N/A</v>
      </c>
    </row>
    <row r="529" ht="15.75" customHeight="1">
      <c r="B529" s="13" t="s">
        <v>1448</v>
      </c>
      <c r="C529" s="7">
        <v>138204.14400000012</v>
      </c>
      <c r="D529" s="7">
        <v>125938.31500000008</v>
      </c>
      <c r="E529" s="7">
        <v>94908.76899999987</v>
      </c>
      <c r="F529" s="7">
        <f t="shared" si="1"/>
        <v>359051.228</v>
      </c>
      <c r="G529" s="14">
        <f t="shared" si="2"/>
        <v>0.01889341251</v>
      </c>
      <c r="I529" s="12"/>
      <c r="J529" s="12"/>
      <c r="K529" s="12"/>
      <c r="L529" s="12"/>
      <c r="M529" s="12">
        <v>43867.0</v>
      </c>
      <c r="N529" s="2">
        <v>333.98</v>
      </c>
      <c r="O529" s="3">
        <v>43984.0</v>
      </c>
      <c r="P529" s="4" t="str">
        <f t="array" ref="P529">XLOOKUP(O529,Agregado!$B$2:$B$1511,Agregado!$G$2:$G$1511)</f>
        <v>#N/A</v>
      </c>
    </row>
    <row r="530" ht="15.75" customHeight="1">
      <c r="B530" s="13" t="s">
        <v>1449</v>
      </c>
      <c r="C530" s="7">
        <v>139934.5550000001</v>
      </c>
      <c r="D530" s="7">
        <v>126356.14600000008</v>
      </c>
      <c r="E530" s="7">
        <v>95258.92399999987</v>
      </c>
      <c r="F530" s="7">
        <f t="shared" si="1"/>
        <v>361549.625</v>
      </c>
      <c r="G530" s="14">
        <f t="shared" si="2"/>
        <v>0.006934232733</v>
      </c>
      <c r="I530" s="12"/>
      <c r="J530" s="12"/>
      <c r="K530" s="12"/>
      <c r="L530" s="12"/>
      <c r="M530" s="12">
        <v>43868.0</v>
      </c>
      <c r="N530" s="2">
        <v>332.2</v>
      </c>
      <c r="O530" s="3">
        <v>44014.0</v>
      </c>
      <c r="P530" s="4" t="str">
        <f t="array" ref="P530">XLOOKUP(O530,Agregado!$B$2:$B$1511,Agregado!$G$2:$G$1511)</f>
        <v>#N/A</v>
      </c>
    </row>
    <row r="531" ht="15.75" customHeight="1">
      <c r="B531" s="13" t="s">
        <v>1450</v>
      </c>
      <c r="C531" s="7">
        <v>139450.3550000001</v>
      </c>
      <c r="D531" s="7">
        <v>126641.26400000008</v>
      </c>
      <c r="E531" s="7">
        <v>95026.20899999987</v>
      </c>
      <c r="F531" s="7">
        <f t="shared" si="1"/>
        <v>361117.828</v>
      </c>
      <c r="G531" s="14">
        <f t="shared" si="2"/>
        <v>-0.00119500899</v>
      </c>
      <c r="I531" s="12"/>
      <c r="J531" s="12"/>
      <c r="K531" s="12"/>
      <c r="L531" s="12"/>
      <c r="M531" s="12">
        <v>43871.0</v>
      </c>
      <c r="N531" s="2">
        <v>334.68</v>
      </c>
      <c r="O531" s="3">
        <v>44106.0</v>
      </c>
      <c r="P531" s="4" t="str">
        <f t="array" ref="P531">XLOOKUP(O531,Agregado!$B$2:$B$1511,Agregado!$G$2:$G$1511)</f>
        <v>#N/A</v>
      </c>
    </row>
    <row r="532" ht="15.75" customHeight="1">
      <c r="B532" s="13" t="s">
        <v>1451</v>
      </c>
      <c r="C532" s="7">
        <v>138885.6290000001</v>
      </c>
      <c r="D532" s="7">
        <v>127008.31900000008</v>
      </c>
      <c r="E532" s="7">
        <v>95402.43099999987</v>
      </c>
      <c r="F532" s="7">
        <f t="shared" si="1"/>
        <v>361296.379</v>
      </c>
      <c r="G532" s="14">
        <f t="shared" si="2"/>
        <v>0.0004943175311</v>
      </c>
      <c r="I532" s="12"/>
      <c r="J532" s="12"/>
      <c r="K532" s="12"/>
      <c r="L532" s="12"/>
      <c r="M532" s="12">
        <v>43872.0</v>
      </c>
      <c r="N532" s="2">
        <v>335.26</v>
      </c>
      <c r="O532" s="3">
        <v>44137.0</v>
      </c>
      <c r="P532" s="4" t="str">
        <f t="array" ref="P532">XLOOKUP(O532,Agregado!$B$2:$B$1511,Agregado!$G$2:$G$1511)</f>
        <v>#N/A</v>
      </c>
    </row>
    <row r="533" ht="15.75" customHeight="1">
      <c r="B533" s="13" t="s">
        <v>1452</v>
      </c>
      <c r="C533" s="7">
        <v>139538.2380000001</v>
      </c>
      <c r="D533" s="7">
        <v>126672.13700000008</v>
      </c>
      <c r="E533" s="7">
        <v>95429.32099999987</v>
      </c>
      <c r="F533" s="7">
        <f t="shared" si="1"/>
        <v>361639.696</v>
      </c>
      <c r="G533" s="14">
        <f t="shared" si="2"/>
        <v>0.0009497852927</v>
      </c>
      <c r="I533" s="12"/>
      <c r="J533" s="12"/>
      <c r="K533" s="12"/>
      <c r="L533" s="12"/>
      <c r="M533" s="12">
        <v>43873.0</v>
      </c>
      <c r="N533" s="2">
        <v>337.42</v>
      </c>
      <c r="O533" s="3">
        <v>44167.0</v>
      </c>
      <c r="P533" s="4" t="str">
        <f t="array" ref="P533">XLOOKUP(O533,Agregado!$B$2:$B$1511,Agregado!$G$2:$G$1511)</f>
        <v>#N/A</v>
      </c>
    </row>
    <row r="534" ht="15.75" customHeight="1">
      <c r="B534" s="13" t="s">
        <v>1453</v>
      </c>
      <c r="C534" s="7">
        <v>142320.7950000001</v>
      </c>
      <c r="D534" s="7">
        <v>125863.91000000008</v>
      </c>
      <c r="E534" s="7">
        <v>95608.38199999987</v>
      </c>
      <c r="F534" s="7">
        <f t="shared" si="1"/>
        <v>363793.087</v>
      </c>
      <c r="G534" s="14">
        <f t="shared" si="2"/>
        <v>0.005936862451</v>
      </c>
      <c r="I534" s="12"/>
      <c r="J534" s="12"/>
      <c r="K534" s="12"/>
      <c r="L534" s="12"/>
      <c r="M534" s="12">
        <v>43874.0</v>
      </c>
      <c r="N534" s="2">
        <v>337.06</v>
      </c>
      <c r="O534" s="3" t="s">
        <v>318</v>
      </c>
      <c r="P534" s="4" t="str">
        <f t="array" ref="P534">XLOOKUP(O534,Agregado!$B$2:$B$1511,Agregado!$G$2:$G$1511)</f>
        <v>#N/A</v>
      </c>
    </row>
    <row r="535" ht="15.75" customHeight="1">
      <c r="B535" s="13" t="s">
        <v>1454</v>
      </c>
      <c r="C535" s="7">
        <v>141561.5970000001</v>
      </c>
      <c r="D535" s="7">
        <v>126524.85900000007</v>
      </c>
      <c r="E535" s="7">
        <v>95743.87799999987</v>
      </c>
      <c r="F535" s="7">
        <f t="shared" si="1"/>
        <v>363830.334</v>
      </c>
      <c r="G535" s="14">
        <f t="shared" si="2"/>
        <v>0.0001023798821</v>
      </c>
      <c r="I535" s="12"/>
      <c r="J535" s="12"/>
      <c r="K535" s="12"/>
      <c r="L535" s="12"/>
      <c r="M535" s="12">
        <v>43875.0</v>
      </c>
      <c r="N535" s="2">
        <v>337.6</v>
      </c>
      <c r="O535" s="3" t="s">
        <v>319</v>
      </c>
      <c r="P535" s="4" t="str">
        <f t="array" ref="P535">XLOOKUP(O535,Agregado!$B$2:$B$1511,Agregado!$G$2:$G$1511)</f>
        <v>#N/A</v>
      </c>
    </row>
    <row r="536" ht="15.75" customHeight="1">
      <c r="B536" s="13" t="s">
        <v>1455</v>
      </c>
      <c r="C536" s="7">
        <v>140533.8150000001</v>
      </c>
      <c r="D536" s="7">
        <v>126000.17700000007</v>
      </c>
      <c r="E536" s="7">
        <v>95788.40399999986</v>
      </c>
      <c r="F536" s="7">
        <f t="shared" si="1"/>
        <v>362322.396</v>
      </c>
      <c r="G536" s="14">
        <f t="shared" si="2"/>
        <v>-0.004153231422</v>
      </c>
      <c r="I536" s="12"/>
      <c r="J536" s="12"/>
      <c r="K536" s="12"/>
      <c r="L536" s="12"/>
      <c r="M536" s="12">
        <v>43879.0</v>
      </c>
      <c r="N536" s="2">
        <v>336.73</v>
      </c>
      <c r="O536" s="3" t="s">
        <v>320</v>
      </c>
      <c r="P536" s="4" t="str">
        <f t="array" ref="P536">XLOOKUP(O536,Agregado!$B$2:$B$1511,Agregado!$G$2:$G$1511)</f>
        <v>#N/A</v>
      </c>
    </row>
    <row r="537" ht="15.75" customHeight="1">
      <c r="B537" s="13" t="s">
        <v>1456</v>
      </c>
      <c r="C537" s="7">
        <v>141107.81600000008</v>
      </c>
      <c r="D537" s="7">
        <v>125423.56400000007</v>
      </c>
      <c r="E537" s="7">
        <v>95779.27299999987</v>
      </c>
      <c r="F537" s="7">
        <f t="shared" si="1"/>
        <v>362310.653</v>
      </c>
      <c r="G537" s="14">
        <f t="shared" si="2"/>
        <v>-0.00003241088719</v>
      </c>
      <c r="I537" s="12"/>
      <c r="J537" s="12"/>
      <c r="K537" s="12"/>
      <c r="L537" s="12"/>
      <c r="M537" s="12">
        <v>43880.0</v>
      </c>
      <c r="N537" s="2">
        <v>338.34</v>
      </c>
      <c r="O537" s="3" t="s">
        <v>321</v>
      </c>
      <c r="P537" s="4" t="str">
        <f t="array" ref="P537">XLOOKUP(O537,Agregado!$B$2:$B$1511,Agregado!$G$2:$G$1511)</f>
        <v>#N/A</v>
      </c>
    </row>
    <row r="538" ht="15.75" customHeight="1">
      <c r="B538" s="13" t="s">
        <v>1457</v>
      </c>
      <c r="C538" s="7">
        <v>139121.38500000007</v>
      </c>
      <c r="D538" s="7">
        <v>125423.56400000007</v>
      </c>
      <c r="E538" s="7">
        <v>95774.96299999987</v>
      </c>
      <c r="F538" s="7">
        <f t="shared" si="1"/>
        <v>360319.912</v>
      </c>
      <c r="G538" s="14">
        <f t="shared" si="2"/>
        <v>-0.005509719994</v>
      </c>
      <c r="I538" s="12"/>
      <c r="J538" s="12"/>
      <c r="K538" s="12"/>
      <c r="L538" s="12"/>
      <c r="M538" s="12">
        <v>43881.0</v>
      </c>
      <c r="N538" s="2">
        <v>336.95</v>
      </c>
      <c r="O538" s="3" t="s">
        <v>322</v>
      </c>
      <c r="P538" s="4" t="str">
        <f t="array" ref="P538">XLOOKUP(O538,Agregado!$B$2:$B$1511,Agregado!$G$2:$G$1511)</f>
        <v>#N/A</v>
      </c>
    </row>
    <row r="539" ht="15.75" customHeight="1">
      <c r="B539" s="13" t="s">
        <v>1458</v>
      </c>
      <c r="C539" s="7">
        <v>139578.12100000007</v>
      </c>
      <c r="D539" s="7">
        <v>125287.61900000006</v>
      </c>
      <c r="E539" s="7">
        <v>95842.77599999987</v>
      </c>
      <c r="F539" s="7">
        <f t="shared" si="1"/>
        <v>360708.516</v>
      </c>
      <c r="G539" s="14">
        <f t="shared" si="2"/>
        <v>0.001077915995</v>
      </c>
      <c r="I539" s="12"/>
      <c r="J539" s="12"/>
      <c r="K539" s="12"/>
      <c r="L539" s="12"/>
      <c r="M539" s="12">
        <v>43882.0</v>
      </c>
      <c r="N539" s="2">
        <v>333.48</v>
      </c>
      <c r="O539" s="3" t="s">
        <v>323</v>
      </c>
      <c r="P539" s="4" t="str">
        <f t="array" ref="P539">XLOOKUP(O539,Agregado!$B$2:$B$1511,Agregado!$G$2:$G$1511)</f>
        <v>#N/A</v>
      </c>
    </row>
    <row r="540" ht="15.75" customHeight="1">
      <c r="B540" s="13" t="s">
        <v>1459</v>
      </c>
      <c r="C540" s="7">
        <v>139763.49900000007</v>
      </c>
      <c r="D540" s="7">
        <v>125270.69000000006</v>
      </c>
      <c r="E540" s="7">
        <v>95878.40699999986</v>
      </c>
      <c r="F540" s="7">
        <f t="shared" si="1"/>
        <v>360912.596</v>
      </c>
      <c r="G540" s="14">
        <f t="shared" si="2"/>
        <v>0.0005656153958</v>
      </c>
      <c r="I540" s="12"/>
      <c r="J540" s="12"/>
      <c r="K540" s="12"/>
      <c r="L540" s="12"/>
      <c r="M540" s="12">
        <v>43885.0</v>
      </c>
      <c r="N540" s="2">
        <v>322.42</v>
      </c>
      <c r="O540" s="3" t="s">
        <v>324</v>
      </c>
      <c r="P540" s="4" t="str">
        <f t="array" ref="P540">XLOOKUP(O540,Agregado!$B$2:$B$1511,Agregado!$G$2:$G$1511)</f>
        <v>#N/A</v>
      </c>
    </row>
    <row r="541" ht="15.75" customHeight="1">
      <c r="B541" s="13" t="s">
        <v>1460</v>
      </c>
      <c r="C541" s="7">
        <v>133843.49000000008</v>
      </c>
      <c r="D541" s="7">
        <v>126560.56400000006</v>
      </c>
      <c r="E541" s="7">
        <v>95970.35099999986</v>
      </c>
      <c r="F541" s="7">
        <f t="shared" si="1"/>
        <v>356374.405</v>
      </c>
      <c r="G541" s="14">
        <f t="shared" si="2"/>
        <v>-0.01265393503</v>
      </c>
      <c r="I541" s="12"/>
      <c r="J541" s="12"/>
      <c r="K541" s="12"/>
      <c r="L541" s="12"/>
      <c r="M541" s="12">
        <v>43886.0</v>
      </c>
      <c r="N541" s="2">
        <v>312.65</v>
      </c>
      <c r="O541" s="3" t="s">
        <v>325</v>
      </c>
      <c r="P541" s="4" t="str">
        <f t="array" ref="P541">XLOOKUP(O541,Agregado!$B$2:$B$1511,Agregado!$G$2:$G$1511)</f>
        <v>#N/A</v>
      </c>
    </row>
    <row r="542" ht="15.75" customHeight="1">
      <c r="B542" s="13" t="s">
        <v>1461</v>
      </c>
      <c r="C542" s="7">
        <v>130377.58200000008</v>
      </c>
      <c r="D542" s="7">
        <v>126722.48700000005</v>
      </c>
      <c r="E542" s="7">
        <v>96427.07599999987</v>
      </c>
      <c r="F542" s="7">
        <f t="shared" si="1"/>
        <v>353527.145</v>
      </c>
      <c r="G542" s="14">
        <f t="shared" si="2"/>
        <v>-0.008021606003</v>
      </c>
      <c r="I542" s="12"/>
      <c r="J542" s="12"/>
      <c r="K542" s="12"/>
      <c r="L542" s="12"/>
      <c r="M542" s="12">
        <v>43887.0</v>
      </c>
      <c r="N542" s="2">
        <v>311.5</v>
      </c>
      <c r="O542" s="3" t="s">
        <v>326</v>
      </c>
      <c r="P542" s="4" t="str">
        <f t="array" ref="P542">XLOOKUP(O542,Agregado!$B$2:$B$1511,Agregado!$G$2:$G$1511)</f>
        <v>#N/A</v>
      </c>
    </row>
    <row r="543" ht="15.75" customHeight="1">
      <c r="B543" s="13" t="s">
        <v>1462</v>
      </c>
      <c r="C543" s="7">
        <v>124155.27300000009</v>
      </c>
      <c r="D543" s="7">
        <v>126392.73500000006</v>
      </c>
      <c r="E543" s="7">
        <v>97023.33299999987</v>
      </c>
      <c r="F543" s="7">
        <f t="shared" si="1"/>
        <v>347571.341</v>
      </c>
      <c r="G543" s="14">
        <f t="shared" si="2"/>
        <v>-0.01699032986</v>
      </c>
      <c r="I543" s="12"/>
      <c r="J543" s="12"/>
      <c r="K543" s="12"/>
      <c r="L543" s="12"/>
      <c r="M543" s="12">
        <v>43888.0</v>
      </c>
      <c r="N543" s="2">
        <v>297.51</v>
      </c>
      <c r="O543" s="3" t="s">
        <v>327</v>
      </c>
      <c r="P543" s="4" t="str">
        <f t="array" ref="P543">XLOOKUP(O543,Agregado!$B$2:$B$1511,Agregado!$G$2:$G$1511)</f>
        <v>#N/A</v>
      </c>
    </row>
    <row r="544" ht="15.75" customHeight="1">
      <c r="B544" s="13" t="s">
        <v>1463</v>
      </c>
      <c r="C544" s="7">
        <v>121040.24500000008</v>
      </c>
      <c r="D544" s="7">
        <v>125892.15800000005</v>
      </c>
      <c r="E544" s="7">
        <v>97093.87299999986</v>
      </c>
      <c r="F544" s="7">
        <f t="shared" si="1"/>
        <v>344026.276</v>
      </c>
      <c r="G544" s="14">
        <f t="shared" si="2"/>
        <v>-0.0102519036</v>
      </c>
      <c r="I544" s="12"/>
      <c r="J544" s="12"/>
      <c r="K544" s="12"/>
      <c r="L544" s="12"/>
      <c r="M544" s="12">
        <v>43889.0</v>
      </c>
      <c r="N544" s="2">
        <v>296.26</v>
      </c>
      <c r="O544" s="3" t="s">
        <v>328</v>
      </c>
      <c r="P544" s="4" t="str">
        <f t="array" ref="P544">XLOOKUP(O544,Agregado!$B$2:$B$1511,Agregado!$G$2:$G$1511)</f>
        <v>#N/A</v>
      </c>
    </row>
    <row r="545" ht="15.75" customHeight="1">
      <c r="B545" s="13" t="s">
        <v>1464</v>
      </c>
      <c r="C545" s="7">
        <v>118731.93400000008</v>
      </c>
      <c r="D545" s="7">
        <v>125832.33800000005</v>
      </c>
      <c r="E545" s="7">
        <v>98175.69299999987</v>
      </c>
      <c r="F545" s="7">
        <f t="shared" si="1"/>
        <v>342739.965</v>
      </c>
      <c r="G545" s="14">
        <f t="shared" si="2"/>
        <v>-0.003745998063</v>
      </c>
      <c r="I545" s="12"/>
      <c r="J545" s="12"/>
      <c r="K545" s="12"/>
      <c r="L545" s="12"/>
      <c r="M545" s="12">
        <v>43892.0</v>
      </c>
      <c r="N545" s="2">
        <v>309.09</v>
      </c>
      <c r="O545" s="3">
        <v>43864.0</v>
      </c>
      <c r="P545" s="4" t="str">
        <f t="array" ref="P545">XLOOKUP(O545,Agregado!$B$2:$B$1511,Agregado!$G$2:$G$1511)</f>
        <v>#N/A</v>
      </c>
    </row>
    <row r="546" ht="15.75" customHeight="1">
      <c r="B546" s="13" t="s">
        <v>1465</v>
      </c>
      <c r="C546" s="7">
        <v>113783.18400000008</v>
      </c>
      <c r="D546" s="7">
        <v>125891.67600000005</v>
      </c>
      <c r="E546" s="7">
        <v>99374.89799999987</v>
      </c>
      <c r="F546" s="7">
        <f t="shared" si="1"/>
        <v>339049.758</v>
      </c>
      <c r="G546" s="14">
        <f t="shared" si="2"/>
        <v>-0.01082516474</v>
      </c>
      <c r="I546" s="12"/>
      <c r="J546" s="12"/>
      <c r="K546" s="12"/>
      <c r="L546" s="12"/>
      <c r="M546" s="12">
        <v>43893.0</v>
      </c>
      <c r="N546" s="2">
        <v>300.24</v>
      </c>
      <c r="O546" s="3">
        <v>43893.0</v>
      </c>
      <c r="P546" s="4" t="str">
        <f t="array" ref="P546">XLOOKUP(O546,Agregado!$B$2:$B$1511,Agregado!$G$2:$G$1511)</f>
        <v>#N/A</v>
      </c>
    </row>
    <row r="547" ht="15.75" customHeight="1">
      <c r="B547" s="13" t="s">
        <v>1466</v>
      </c>
      <c r="C547" s="7">
        <v>116471.55900000008</v>
      </c>
      <c r="D547" s="7">
        <v>125783.05500000005</v>
      </c>
      <c r="E547" s="7">
        <v>100112.34099999987</v>
      </c>
      <c r="F547" s="7">
        <f t="shared" si="1"/>
        <v>342366.955</v>
      </c>
      <c r="G547" s="14">
        <f t="shared" si="2"/>
        <v>0.00973625431</v>
      </c>
      <c r="I547" s="12"/>
      <c r="J547" s="12"/>
      <c r="K547" s="12"/>
      <c r="L547" s="12"/>
      <c r="M547" s="12">
        <v>43894.0</v>
      </c>
      <c r="N547" s="2">
        <v>312.86</v>
      </c>
      <c r="O547" s="3">
        <v>43924.0</v>
      </c>
      <c r="P547" s="4" t="str">
        <f t="array" ref="P547">XLOOKUP(O547,Agregado!$B$2:$B$1511,Agregado!$G$2:$G$1511)</f>
        <v>#N/A</v>
      </c>
    </row>
    <row r="548" ht="15.75" customHeight="1">
      <c r="B548" s="13" t="s">
        <v>1467</v>
      </c>
      <c r="C548" s="7">
        <v>120601.46600000009</v>
      </c>
      <c r="D548" s="7">
        <v>125903.71200000006</v>
      </c>
      <c r="E548" s="7">
        <v>101040.61899999988</v>
      </c>
      <c r="F548" s="7">
        <f t="shared" si="1"/>
        <v>347545.797</v>
      </c>
      <c r="G548" s="14">
        <f t="shared" si="2"/>
        <v>0.01501331657</v>
      </c>
      <c r="I548" s="12"/>
      <c r="J548" s="12"/>
      <c r="K548" s="12"/>
      <c r="L548" s="12"/>
      <c r="M548" s="12">
        <v>43895.0</v>
      </c>
      <c r="N548" s="2">
        <v>302.46</v>
      </c>
      <c r="O548" s="3">
        <v>43954.0</v>
      </c>
      <c r="P548" s="4" t="str">
        <f t="array" ref="P548">XLOOKUP(O548,Agregado!$B$2:$B$1511,Agregado!$G$2:$G$1511)</f>
        <v>#N/A</v>
      </c>
    </row>
    <row r="549" ht="15.75" customHeight="1">
      <c r="B549" s="13" t="s">
        <v>1468</v>
      </c>
      <c r="C549" s="7">
        <v>120820.5700000001</v>
      </c>
      <c r="D549" s="7">
        <v>125998.02700000006</v>
      </c>
      <c r="E549" s="7">
        <v>101250.26999999987</v>
      </c>
      <c r="F549" s="7">
        <f t="shared" si="1"/>
        <v>348068.867</v>
      </c>
      <c r="G549" s="14">
        <f t="shared" si="2"/>
        <v>0.001503907625</v>
      </c>
      <c r="I549" s="12"/>
      <c r="J549" s="12"/>
      <c r="K549" s="12"/>
      <c r="L549" s="12"/>
      <c r="M549" s="12">
        <v>43896.0</v>
      </c>
      <c r="N549" s="2">
        <v>297.46</v>
      </c>
      <c r="O549" s="3">
        <v>43985.0</v>
      </c>
      <c r="P549" s="4" t="str">
        <f t="array" ref="P549">XLOOKUP(O549,Agregado!$B$2:$B$1511,Agregado!$G$2:$G$1511)</f>
        <v>#N/A</v>
      </c>
    </row>
    <row r="550" ht="15.75" customHeight="1">
      <c r="B550" s="13" t="s">
        <v>1469</v>
      </c>
      <c r="C550" s="7">
        <v>119640.8820000001</v>
      </c>
      <c r="D550" s="7">
        <v>126590.41700000006</v>
      </c>
      <c r="E550" s="7">
        <v>101382.57199999987</v>
      </c>
      <c r="F550" s="7">
        <f t="shared" si="1"/>
        <v>347613.871</v>
      </c>
      <c r="G550" s="14">
        <f t="shared" si="2"/>
        <v>-0.001308056216</v>
      </c>
      <c r="I550" s="12"/>
      <c r="J550" s="12"/>
      <c r="K550" s="12"/>
      <c r="L550" s="12"/>
      <c r="M550" s="12">
        <v>43899.0</v>
      </c>
      <c r="N550" s="2">
        <v>274.23</v>
      </c>
      <c r="O550" s="3">
        <v>44077.0</v>
      </c>
      <c r="P550" s="4" t="str">
        <f t="array" ref="P550">XLOOKUP(O550,Agregado!$B$2:$B$1511,Agregado!$G$2:$G$1511)</f>
        <v>#N/A</v>
      </c>
    </row>
    <row r="551" ht="15.75" customHeight="1">
      <c r="B551" s="13" t="s">
        <v>1470</v>
      </c>
      <c r="C551" s="7">
        <v>116771.4390000001</v>
      </c>
      <c r="D551" s="7">
        <v>126844.24200000006</v>
      </c>
      <c r="E551" s="7">
        <v>101744.28399999987</v>
      </c>
      <c r="F551" s="7">
        <f t="shared" si="1"/>
        <v>345359.965</v>
      </c>
      <c r="G551" s="14">
        <f t="shared" si="2"/>
        <v>-0.006505047755</v>
      </c>
      <c r="I551" s="12"/>
      <c r="J551" s="12"/>
      <c r="K551" s="12"/>
      <c r="L551" s="12"/>
      <c r="M551" s="12">
        <v>43900.0</v>
      </c>
      <c r="N551" s="2">
        <v>288.42</v>
      </c>
      <c r="O551" s="3">
        <v>44107.0</v>
      </c>
      <c r="P551" s="4" t="str">
        <f t="array" ref="P551">XLOOKUP(O551,Agregado!$B$2:$B$1511,Agregado!$G$2:$G$1511)</f>
        <v>#N/A</v>
      </c>
    </row>
    <row r="552" ht="15.75" customHeight="1">
      <c r="B552" s="13" t="s">
        <v>1471</v>
      </c>
      <c r="C552" s="7">
        <v>118475.6550000001</v>
      </c>
      <c r="D552" s="7">
        <v>126940.83000000006</v>
      </c>
      <c r="E552" s="7">
        <v>102299.73299999986</v>
      </c>
      <c r="F552" s="7">
        <f t="shared" si="1"/>
        <v>347716.218</v>
      </c>
      <c r="G552" s="14">
        <f t="shared" si="2"/>
        <v>0.006799431681</v>
      </c>
      <c r="I552" s="12"/>
      <c r="J552" s="12"/>
      <c r="K552" s="12"/>
      <c r="L552" s="12"/>
      <c r="M552" s="12">
        <v>43901.0</v>
      </c>
      <c r="N552" s="2">
        <v>274.36</v>
      </c>
      <c r="O552" s="3">
        <v>44138.0</v>
      </c>
      <c r="P552" s="4" t="str">
        <f t="array" ref="P552">XLOOKUP(O552,Agregado!$B$2:$B$1511,Agregado!$G$2:$G$1511)</f>
        <v>#N/A</v>
      </c>
    </row>
    <row r="553" ht="15.75" customHeight="1">
      <c r="B553" s="13" t="s">
        <v>1472</v>
      </c>
      <c r="C553" s="7">
        <v>120076.2940000001</v>
      </c>
      <c r="D553" s="7">
        <v>127071.14800000006</v>
      </c>
      <c r="E553" s="7">
        <v>102761.16799999986</v>
      </c>
      <c r="F553" s="7">
        <f t="shared" si="1"/>
        <v>349908.61</v>
      </c>
      <c r="G553" s="14">
        <f t="shared" si="2"/>
        <v>0.006285324517</v>
      </c>
      <c r="I553" s="12"/>
      <c r="J553" s="12"/>
      <c r="K553" s="12"/>
      <c r="L553" s="12"/>
      <c r="M553" s="12">
        <v>43902.0</v>
      </c>
      <c r="N553" s="2">
        <v>248.11</v>
      </c>
      <c r="O553" s="3">
        <v>44168.0</v>
      </c>
      <c r="P553" s="4" t="str">
        <f t="array" ref="P553">XLOOKUP(O553,Agregado!$B$2:$B$1511,Agregado!$G$2:$G$1511)</f>
        <v>#N/A</v>
      </c>
    </row>
    <row r="554" ht="15.75" customHeight="1">
      <c r="B554" s="13" t="s">
        <v>1473</v>
      </c>
      <c r="C554" s="7">
        <v>122422.2640000001</v>
      </c>
      <c r="D554" s="7">
        <v>127608.31600000006</v>
      </c>
      <c r="E554" s="7">
        <v>103833.38099999986</v>
      </c>
      <c r="F554" s="7">
        <f t="shared" si="1"/>
        <v>353863.961</v>
      </c>
      <c r="G554" s="14">
        <f t="shared" si="2"/>
        <v>0.01124054221</v>
      </c>
      <c r="I554" s="12"/>
      <c r="J554" s="12"/>
      <c r="K554" s="12"/>
      <c r="L554" s="12"/>
      <c r="M554" s="12">
        <v>43903.0</v>
      </c>
      <c r="N554" s="2">
        <v>269.32</v>
      </c>
      <c r="O554" s="3" t="s">
        <v>329</v>
      </c>
      <c r="P554" s="4" t="str">
        <f t="array" ref="P554">XLOOKUP(O554,Agregado!$B$2:$B$1511,Agregado!$G$2:$G$1511)</f>
        <v>#N/A</v>
      </c>
    </row>
    <row r="555" ht="15.75" customHeight="1">
      <c r="B555" s="13" t="s">
        <v>1474</v>
      </c>
      <c r="C555" s="7">
        <v>125602.3340000001</v>
      </c>
      <c r="D555" s="7">
        <v>128007.23000000007</v>
      </c>
      <c r="E555" s="7">
        <v>105228.19999999987</v>
      </c>
      <c r="F555" s="7">
        <f t="shared" si="1"/>
        <v>358837.764</v>
      </c>
      <c r="G555" s="14">
        <f t="shared" si="2"/>
        <v>0.01395782717</v>
      </c>
      <c r="I555" s="12"/>
      <c r="J555" s="12"/>
      <c r="K555" s="12"/>
      <c r="L555" s="12"/>
      <c r="M555" s="12">
        <v>43906.0</v>
      </c>
      <c r="N555" s="2">
        <v>239.85</v>
      </c>
      <c r="O555" s="3" t="s">
        <v>330</v>
      </c>
      <c r="P555" s="4" t="str">
        <f t="array" ref="P555">XLOOKUP(O555,Agregado!$B$2:$B$1511,Agregado!$G$2:$G$1511)</f>
        <v>#N/A</v>
      </c>
    </row>
    <row r="556" ht="15.75" customHeight="1">
      <c r="B556" s="13" t="s">
        <v>1475</v>
      </c>
      <c r="C556" s="7">
        <v>126009.5640000001</v>
      </c>
      <c r="D556" s="7">
        <v>127284.95500000007</v>
      </c>
      <c r="E556" s="7">
        <v>106090.24699999987</v>
      </c>
      <c r="F556" s="7">
        <f t="shared" si="1"/>
        <v>359384.766</v>
      </c>
      <c r="G556" s="14">
        <f t="shared" si="2"/>
        <v>0.001523210657</v>
      </c>
      <c r="I556" s="12"/>
      <c r="J556" s="12"/>
      <c r="K556" s="12"/>
      <c r="L556" s="12"/>
      <c r="M556" s="12">
        <v>43907.0</v>
      </c>
      <c r="N556" s="2">
        <v>252.8</v>
      </c>
      <c r="O556" s="3" t="s">
        <v>331</v>
      </c>
      <c r="P556" s="4" t="str">
        <f t="array" ref="P556">XLOOKUP(O556,Agregado!$B$2:$B$1511,Agregado!$G$2:$G$1511)</f>
        <v>#N/A</v>
      </c>
    </row>
    <row r="557" ht="15.75" customHeight="1">
      <c r="B557" s="13" t="s">
        <v>1476</v>
      </c>
      <c r="C557" s="7">
        <v>133541.7450000001</v>
      </c>
      <c r="D557" s="7">
        <v>126973.04500000007</v>
      </c>
      <c r="E557" s="7">
        <v>106540.25899999987</v>
      </c>
      <c r="F557" s="7">
        <f t="shared" si="1"/>
        <v>367055.049</v>
      </c>
      <c r="G557" s="14">
        <f t="shared" si="2"/>
        <v>0.02111824794</v>
      </c>
      <c r="I557" s="12"/>
      <c r="J557" s="12"/>
      <c r="K557" s="12"/>
      <c r="L557" s="12"/>
      <c r="M557" s="12">
        <v>43908.0</v>
      </c>
      <c r="N557" s="2">
        <v>240.0</v>
      </c>
      <c r="O557" s="3" t="s">
        <v>332</v>
      </c>
      <c r="P557" s="4" t="str">
        <f t="array" ref="P557">XLOOKUP(O557,Agregado!$B$2:$B$1511,Agregado!$G$2:$G$1511)</f>
        <v>#N/A</v>
      </c>
    </row>
    <row r="558" ht="15.75" customHeight="1">
      <c r="B558" s="13" t="s">
        <v>1477</v>
      </c>
      <c r="C558" s="7">
        <v>126991.8120000001</v>
      </c>
      <c r="D558" s="7">
        <v>126718.75600000007</v>
      </c>
      <c r="E558" s="7">
        <v>102369.30299999987</v>
      </c>
      <c r="F558" s="7">
        <f t="shared" si="1"/>
        <v>356079.871</v>
      </c>
      <c r="G558" s="14">
        <f t="shared" si="2"/>
        <v>-0.03035677165</v>
      </c>
      <c r="I558" s="12"/>
      <c r="J558" s="12"/>
      <c r="K558" s="12"/>
      <c r="L558" s="12"/>
      <c r="M558" s="12">
        <v>43909.0</v>
      </c>
      <c r="N558" s="2">
        <v>240.51</v>
      </c>
      <c r="O558" s="3" t="s">
        <v>333</v>
      </c>
      <c r="P558" s="4" t="str">
        <f t="array" ref="P558">XLOOKUP(O558,Agregado!$B$2:$B$1511,Agregado!$G$2:$G$1511)</f>
        <v>#N/A</v>
      </c>
    </row>
    <row r="559" ht="15.75" customHeight="1">
      <c r="B559" s="13" t="s">
        <v>1478</v>
      </c>
      <c r="C559" s="7">
        <v>130680.6790000001</v>
      </c>
      <c r="D559" s="7">
        <v>123427.28500000006</v>
      </c>
      <c r="E559" s="7">
        <v>102534.38799999988</v>
      </c>
      <c r="F559" s="7">
        <f t="shared" si="1"/>
        <v>356642.352</v>
      </c>
      <c r="G559" s="14">
        <f t="shared" si="2"/>
        <v>0.001578402072</v>
      </c>
      <c r="I559" s="12"/>
      <c r="J559" s="12"/>
      <c r="K559" s="12"/>
      <c r="L559" s="12"/>
      <c r="M559" s="12">
        <v>43910.0</v>
      </c>
      <c r="N559" s="2">
        <v>228.8</v>
      </c>
      <c r="O559" s="3" t="s">
        <v>334</v>
      </c>
      <c r="P559" s="4" t="str">
        <f t="array" ref="P559">XLOOKUP(O559,Agregado!$B$2:$B$1511,Agregado!$G$2:$G$1511)</f>
        <v>#N/A</v>
      </c>
    </row>
    <row r="560" ht="15.75" customHeight="1">
      <c r="B560" s="13" t="s">
        <v>1479</v>
      </c>
      <c r="C560" s="7">
        <v>128966.3040000001</v>
      </c>
      <c r="D560" s="7">
        <v>120725.94500000007</v>
      </c>
      <c r="E560" s="7">
        <v>102692.34199999987</v>
      </c>
      <c r="F560" s="7">
        <f t="shared" si="1"/>
        <v>352384.591</v>
      </c>
      <c r="G560" s="14">
        <f t="shared" si="2"/>
        <v>-0.01201029728</v>
      </c>
      <c r="I560" s="12"/>
      <c r="J560" s="12"/>
      <c r="K560" s="12"/>
      <c r="L560" s="12"/>
      <c r="M560" s="12">
        <v>43913.0</v>
      </c>
      <c r="N560" s="2">
        <v>222.95</v>
      </c>
      <c r="O560" s="3" t="s">
        <v>335</v>
      </c>
      <c r="P560" s="4" t="str">
        <f t="array" ref="P560">XLOOKUP(O560,Agregado!$B$2:$B$1511,Agregado!$G$2:$G$1511)</f>
        <v>#N/A</v>
      </c>
    </row>
    <row r="561" ht="15.75" customHeight="1">
      <c r="B561" s="13" t="s">
        <v>1480</v>
      </c>
      <c r="C561" s="7">
        <v>133548.4850000001</v>
      </c>
      <c r="D561" s="7">
        <v>120644.81300000007</v>
      </c>
      <c r="E561" s="7">
        <v>102787.02499999988</v>
      </c>
      <c r="F561" s="7">
        <f t="shared" si="1"/>
        <v>356980.323</v>
      </c>
      <c r="G561" s="14">
        <f t="shared" si="2"/>
        <v>0.01295749539</v>
      </c>
      <c r="I561" s="12"/>
      <c r="J561" s="12"/>
      <c r="K561" s="12"/>
      <c r="L561" s="12"/>
      <c r="M561" s="12">
        <v>43914.0</v>
      </c>
      <c r="N561" s="2">
        <v>243.15</v>
      </c>
      <c r="O561" s="3" t="s">
        <v>336</v>
      </c>
      <c r="P561" s="4" t="str">
        <f t="array" ref="P561">XLOOKUP(O561,Agregado!$B$2:$B$1511,Agregado!$G$2:$G$1511)</f>
        <v>#N/A</v>
      </c>
    </row>
    <row r="562" ht="15.75" customHeight="1">
      <c r="B562" s="13" t="s">
        <v>1481</v>
      </c>
      <c r="C562" s="7">
        <v>128821.8570000001</v>
      </c>
      <c r="D562" s="7">
        <v>120217.28200000006</v>
      </c>
      <c r="E562" s="7">
        <v>103066.91499999988</v>
      </c>
      <c r="F562" s="7">
        <f t="shared" si="1"/>
        <v>352106.054</v>
      </c>
      <c r="G562" s="14">
        <f t="shared" si="2"/>
        <v>-0.01374824262</v>
      </c>
      <c r="I562" s="12"/>
      <c r="J562" s="12"/>
      <c r="K562" s="12"/>
      <c r="L562" s="12"/>
      <c r="M562" s="12">
        <v>43915.0</v>
      </c>
      <c r="N562" s="2">
        <v>246.79</v>
      </c>
      <c r="O562" s="3" t="s">
        <v>337</v>
      </c>
      <c r="P562" s="4" t="str">
        <f t="array" ref="P562">XLOOKUP(O562,Agregado!$B$2:$B$1511,Agregado!$G$2:$G$1511)</f>
        <v>#N/A</v>
      </c>
    </row>
    <row r="563" ht="15.75" customHeight="1">
      <c r="B563" s="13" t="s">
        <v>1482</v>
      </c>
      <c r="C563" s="7">
        <v>130151.1220000001</v>
      </c>
      <c r="D563" s="7">
        <v>119884.96900000007</v>
      </c>
      <c r="E563" s="7">
        <v>103582.08799999987</v>
      </c>
      <c r="F563" s="7">
        <f t="shared" si="1"/>
        <v>353618.179</v>
      </c>
      <c r="G563" s="14">
        <f t="shared" si="2"/>
        <v>0.004285320649</v>
      </c>
      <c r="I563" s="12"/>
      <c r="J563" s="12"/>
      <c r="K563" s="12"/>
      <c r="L563" s="12"/>
      <c r="M563" s="12">
        <v>43916.0</v>
      </c>
      <c r="N563" s="2">
        <v>261.2</v>
      </c>
      <c r="O563" s="3" t="s">
        <v>338</v>
      </c>
      <c r="P563" s="4" t="str">
        <f t="array" ref="P563">XLOOKUP(O563,Agregado!$B$2:$B$1511,Agregado!$G$2:$G$1511)</f>
        <v>#N/A</v>
      </c>
    </row>
    <row r="564" ht="15.75" customHeight="1">
      <c r="B564" s="13" t="s">
        <v>1483</v>
      </c>
      <c r="C564" s="7">
        <v>129978.4200000001</v>
      </c>
      <c r="D564" s="7">
        <v>119909.71600000007</v>
      </c>
      <c r="E564" s="7">
        <v>103949.67999999988</v>
      </c>
      <c r="F564" s="7">
        <f t="shared" si="1"/>
        <v>353837.816</v>
      </c>
      <c r="G564" s="14">
        <f t="shared" si="2"/>
        <v>0.0006209206187</v>
      </c>
      <c r="I564" s="12"/>
      <c r="J564" s="12"/>
      <c r="K564" s="12"/>
      <c r="L564" s="12"/>
      <c r="M564" s="12">
        <v>43917.0</v>
      </c>
      <c r="N564" s="2">
        <v>253.42</v>
      </c>
      <c r="O564" s="3" t="s">
        <v>339</v>
      </c>
      <c r="P564" s="4" t="str">
        <f t="array" ref="P564">XLOOKUP(O564,Agregado!$B$2:$B$1511,Agregado!$G$2:$G$1511)</f>
        <v>#N/A</v>
      </c>
    </row>
    <row r="565" ht="15.75" customHeight="1">
      <c r="B565" s="13" t="s">
        <v>1484</v>
      </c>
      <c r="C565" s="7">
        <v>128929.9020000001</v>
      </c>
      <c r="D565" s="7">
        <v>120711.61600000007</v>
      </c>
      <c r="E565" s="7">
        <v>104386.85599999988</v>
      </c>
      <c r="F565" s="7">
        <f t="shared" si="1"/>
        <v>354028.374</v>
      </c>
      <c r="G565" s="14">
        <f t="shared" si="2"/>
        <v>0.0005384012043</v>
      </c>
      <c r="I565" s="12"/>
      <c r="J565" s="12"/>
      <c r="K565" s="12"/>
      <c r="L565" s="12"/>
      <c r="M565" s="12">
        <v>43920.0</v>
      </c>
      <c r="N565" s="2">
        <v>261.65</v>
      </c>
      <c r="O565" s="3" t="s">
        <v>340</v>
      </c>
      <c r="P565" s="4" t="str">
        <f t="array" ref="P565">XLOOKUP(O565,Agregado!$B$2:$B$1511,Agregado!$G$2:$G$1511)</f>
        <v>#N/A</v>
      </c>
    </row>
    <row r="566" ht="15.75" customHeight="1">
      <c r="B566" s="13" t="s">
        <v>1485</v>
      </c>
      <c r="C566" s="7">
        <v>125814.3860000001</v>
      </c>
      <c r="D566" s="7">
        <v>121143.52300000007</v>
      </c>
      <c r="E566" s="7">
        <v>106140.19499999989</v>
      </c>
      <c r="F566" s="7">
        <f t="shared" si="1"/>
        <v>353098.104</v>
      </c>
      <c r="G566" s="14">
        <f t="shared" si="2"/>
        <v>-0.002631129128</v>
      </c>
      <c r="I566" s="12"/>
      <c r="J566" s="12"/>
      <c r="K566" s="12"/>
      <c r="L566" s="12"/>
      <c r="M566" s="12">
        <v>43921.0</v>
      </c>
      <c r="N566" s="2">
        <v>257.75</v>
      </c>
      <c r="O566" s="3" t="s">
        <v>341</v>
      </c>
      <c r="P566" s="4" t="str">
        <f t="array" ref="P566">XLOOKUP(O566,Agregado!$B$2:$B$1511,Agregado!$G$2:$G$1511)</f>
        <v>#N/A</v>
      </c>
    </row>
    <row r="567" ht="15.75" customHeight="1">
      <c r="B567" s="13" t="s">
        <v>1486</v>
      </c>
      <c r="C567" s="7">
        <v>126861.6860000001</v>
      </c>
      <c r="D567" s="7">
        <v>120985.95100000007</v>
      </c>
      <c r="E567" s="7">
        <v>106332.84099999988</v>
      </c>
      <c r="F567" s="7">
        <f t="shared" si="1"/>
        <v>354180.478</v>
      </c>
      <c r="G567" s="14">
        <f t="shared" si="2"/>
        <v>0.00306067474</v>
      </c>
      <c r="I567" s="12"/>
      <c r="J567" s="12"/>
      <c r="K567" s="12"/>
      <c r="L567" s="12"/>
      <c r="M567" s="12">
        <v>43922.0</v>
      </c>
      <c r="N567" s="2">
        <v>246.15</v>
      </c>
      <c r="O567" s="3">
        <v>43834.0</v>
      </c>
      <c r="P567" s="4" t="str">
        <f t="array" ref="P567">XLOOKUP(O567,Agregado!$B$2:$B$1511,Agregado!$G$2:$G$1511)</f>
        <v>#N/A</v>
      </c>
    </row>
    <row r="568" ht="15.75" customHeight="1">
      <c r="B568" s="13" t="s">
        <v>1487</v>
      </c>
      <c r="C568" s="7">
        <v>125212.6730000001</v>
      </c>
      <c r="D568" s="7">
        <v>120701.66200000007</v>
      </c>
      <c r="E568" s="7">
        <v>106219.82599999988</v>
      </c>
      <c r="F568" s="7">
        <f t="shared" si="1"/>
        <v>352134.161</v>
      </c>
      <c r="G568" s="14">
        <f t="shared" si="2"/>
        <v>-0.005794365888</v>
      </c>
      <c r="I568" s="12"/>
      <c r="J568" s="12"/>
      <c r="K568" s="12"/>
      <c r="L568" s="12"/>
      <c r="M568" s="12">
        <v>43923.0</v>
      </c>
      <c r="N568" s="2">
        <v>251.83</v>
      </c>
      <c r="O568" s="3">
        <v>43865.0</v>
      </c>
      <c r="P568" s="4" t="str">
        <f t="array" ref="P568">XLOOKUP(O568,Agregado!$B$2:$B$1511,Agregado!$G$2:$G$1511)</f>
        <v>#N/A</v>
      </c>
    </row>
    <row r="569" ht="15.75" customHeight="1">
      <c r="B569" s="13" t="s">
        <v>1488</v>
      </c>
      <c r="C569" s="7">
        <v>121530.6850000001</v>
      </c>
      <c r="D569" s="7">
        <v>121739.20900000008</v>
      </c>
      <c r="E569" s="7">
        <v>104908.82899999988</v>
      </c>
      <c r="F569" s="7">
        <f t="shared" si="1"/>
        <v>348178.723</v>
      </c>
      <c r="G569" s="14">
        <f t="shared" si="2"/>
        <v>-0.01129632241</v>
      </c>
      <c r="I569" s="12"/>
      <c r="J569" s="12"/>
      <c r="K569" s="12"/>
      <c r="L569" s="12"/>
      <c r="M569" s="12">
        <v>43924.0</v>
      </c>
      <c r="N569" s="2">
        <v>248.19</v>
      </c>
      <c r="O569" s="3">
        <v>43894.0</v>
      </c>
      <c r="P569" s="4" t="str">
        <f t="array" ref="P569">XLOOKUP(O569,Agregado!$B$2:$B$1511,Agregado!$G$2:$G$1511)</f>
        <v>#N/A</v>
      </c>
    </row>
    <row r="570" ht="15.75" customHeight="1">
      <c r="B570" s="13" t="s">
        <v>1489</v>
      </c>
      <c r="C570" s="7">
        <v>127199.5290000001</v>
      </c>
      <c r="D570" s="7">
        <v>121739.20900000008</v>
      </c>
      <c r="E570" s="7">
        <v>104910.61499999987</v>
      </c>
      <c r="F570" s="7">
        <f t="shared" si="1"/>
        <v>353849.353</v>
      </c>
      <c r="G570" s="14">
        <f t="shared" si="2"/>
        <v>0.01615534628</v>
      </c>
      <c r="I570" s="12"/>
      <c r="J570" s="12"/>
      <c r="K570" s="12"/>
      <c r="L570" s="12"/>
      <c r="M570" s="12">
        <v>43927.0</v>
      </c>
      <c r="N570" s="2">
        <v>264.86</v>
      </c>
      <c r="O570" s="3">
        <v>43986.0</v>
      </c>
      <c r="P570" s="4" t="str">
        <f t="array" ref="P570">XLOOKUP(O570,Agregado!$B$2:$B$1511,Agregado!$G$2:$G$1511)</f>
        <v>#N/A</v>
      </c>
    </row>
    <row r="571" ht="15.75" customHeight="1">
      <c r="B571" s="13" t="s">
        <v>1490</v>
      </c>
      <c r="C571" s="7">
        <v>127770.31500000009</v>
      </c>
      <c r="D571" s="7">
        <v>121826.33500000008</v>
      </c>
      <c r="E571" s="7">
        <v>104960.26399999988</v>
      </c>
      <c r="F571" s="7">
        <f t="shared" si="1"/>
        <v>354556.914</v>
      </c>
      <c r="G571" s="14">
        <f t="shared" si="2"/>
        <v>0.001997614274</v>
      </c>
      <c r="I571" s="12"/>
      <c r="J571" s="12"/>
      <c r="K571" s="12"/>
      <c r="L571" s="12"/>
      <c r="M571" s="12">
        <v>43928.0</v>
      </c>
      <c r="N571" s="2">
        <v>265.13</v>
      </c>
      <c r="O571" s="3">
        <v>44016.0</v>
      </c>
      <c r="P571" s="4" t="str">
        <f t="array" ref="P571">XLOOKUP(O571,Agregado!$B$2:$B$1511,Agregado!$G$2:$G$1511)</f>
        <v>#N/A</v>
      </c>
    </row>
    <row r="572" ht="15.75" customHeight="1">
      <c r="B572" s="13" t="s">
        <v>1491</v>
      </c>
      <c r="C572" s="7">
        <v>131967.0080000001</v>
      </c>
      <c r="D572" s="7">
        <v>121773.04700000008</v>
      </c>
      <c r="E572" s="7">
        <v>104787.61399999988</v>
      </c>
      <c r="F572" s="7">
        <f t="shared" si="1"/>
        <v>358527.669</v>
      </c>
      <c r="G572" s="14">
        <f t="shared" si="2"/>
        <v>0.01113695664</v>
      </c>
      <c r="I572" s="12"/>
      <c r="J572" s="12"/>
      <c r="K572" s="12"/>
      <c r="L572" s="12"/>
      <c r="M572" s="12">
        <v>43929.0</v>
      </c>
      <c r="N572" s="2">
        <v>274.03</v>
      </c>
      <c r="O572" s="3">
        <v>44047.0</v>
      </c>
      <c r="P572" s="4" t="str">
        <f t="array" ref="P572">XLOOKUP(O572,Agregado!$B$2:$B$1511,Agregado!$G$2:$G$1511)</f>
        <v>#N/A</v>
      </c>
    </row>
    <row r="573" ht="15.75" customHeight="1">
      <c r="B573" s="13" t="s">
        <v>1492</v>
      </c>
      <c r="C573" s="7">
        <v>132073.0840000001</v>
      </c>
      <c r="D573" s="7">
        <v>122371.58200000008</v>
      </c>
      <c r="E573" s="7">
        <v>105541.71199999988</v>
      </c>
      <c r="F573" s="7">
        <f t="shared" si="1"/>
        <v>359986.378</v>
      </c>
      <c r="G573" s="14">
        <f t="shared" si="2"/>
        <v>0.004060354868</v>
      </c>
      <c r="I573" s="12"/>
      <c r="J573" s="12"/>
      <c r="K573" s="12"/>
      <c r="L573" s="12"/>
      <c r="M573" s="12">
        <v>43930.0</v>
      </c>
      <c r="N573" s="2">
        <v>278.2</v>
      </c>
      <c r="O573" s="3">
        <v>44078.0</v>
      </c>
      <c r="P573" s="4" t="str">
        <f t="array" ref="P573">XLOOKUP(O573,Agregado!$B$2:$B$1511,Agregado!$G$2:$G$1511)</f>
        <v>#N/A</v>
      </c>
    </row>
    <row r="574" ht="15.75" customHeight="1">
      <c r="B574" s="13" t="s">
        <v>1493</v>
      </c>
      <c r="C574" s="7">
        <v>130084.55300000009</v>
      </c>
      <c r="D574" s="7">
        <v>122371.58200000008</v>
      </c>
      <c r="E574" s="7">
        <v>105567.93399999988</v>
      </c>
      <c r="F574" s="7">
        <f t="shared" si="1"/>
        <v>358024.069</v>
      </c>
      <c r="G574" s="14">
        <f t="shared" si="2"/>
        <v>-0.005465975861</v>
      </c>
      <c r="I574" s="12"/>
      <c r="J574" s="12"/>
      <c r="K574" s="12"/>
      <c r="L574" s="12"/>
      <c r="M574" s="12">
        <v>43934.0</v>
      </c>
      <c r="N574" s="2">
        <v>275.66</v>
      </c>
      <c r="O574" s="3" t="s">
        <v>342</v>
      </c>
      <c r="P574" s="4" t="str">
        <f t="array" ref="P574">XLOOKUP(O574,Agregado!$B$2:$B$1511,Agregado!$G$2:$G$1511)</f>
        <v>#N/A</v>
      </c>
    </row>
    <row r="575" ht="15.75" customHeight="1">
      <c r="B575" s="13" t="s">
        <v>1494</v>
      </c>
      <c r="C575" s="7">
        <v>125826.85100000008</v>
      </c>
      <c r="D575" s="7">
        <v>122245.95800000009</v>
      </c>
      <c r="E575" s="7">
        <v>105773.04199999987</v>
      </c>
      <c r="F575" s="7">
        <f t="shared" si="1"/>
        <v>353845.851</v>
      </c>
      <c r="G575" s="14">
        <f t="shared" si="2"/>
        <v>-0.01173884684</v>
      </c>
      <c r="I575" s="12"/>
      <c r="J575" s="12"/>
      <c r="K575" s="12"/>
      <c r="L575" s="12"/>
      <c r="M575" s="12">
        <v>43935.0</v>
      </c>
      <c r="N575" s="2">
        <v>283.79</v>
      </c>
      <c r="O575" s="3" t="s">
        <v>343</v>
      </c>
      <c r="P575" s="4" t="str">
        <f t="array" ref="P575">XLOOKUP(O575,Agregado!$B$2:$B$1511,Agregado!$G$2:$G$1511)</f>
        <v>#N/A</v>
      </c>
    </row>
    <row r="576" ht="15.75" customHeight="1">
      <c r="B576" s="13" t="s">
        <v>1495</v>
      </c>
      <c r="C576" s="7">
        <v>123430.19600000008</v>
      </c>
      <c r="D576" s="7">
        <v>122038.69400000009</v>
      </c>
      <c r="E576" s="7">
        <v>105613.78799999987</v>
      </c>
      <c r="F576" s="7">
        <f t="shared" si="1"/>
        <v>351082.678</v>
      </c>
      <c r="G576" s="14">
        <f t="shared" si="2"/>
        <v>-0.00783962356</v>
      </c>
      <c r="I576" s="12"/>
      <c r="J576" s="12"/>
      <c r="K576" s="12"/>
      <c r="L576" s="12"/>
      <c r="M576" s="12">
        <v>43936.0</v>
      </c>
      <c r="N576" s="2">
        <v>277.76</v>
      </c>
      <c r="O576" s="3" t="s">
        <v>344</v>
      </c>
      <c r="P576" s="4" t="str">
        <f t="array" ref="P576">XLOOKUP(O576,Agregado!$B$2:$B$1511,Agregado!$G$2:$G$1511)</f>
        <v>#N/A</v>
      </c>
    </row>
    <row r="577" ht="15.75" customHeight="1">
      <c r="B577" s="13" t="s">
        <v>1496</v>
      </c>
      <c r="C577" s="7">
        <v>128171.72200000008</v>
      </c>
      <c r="D577" s="7">
        <v>122195.35300000009</v>
      </c>
      <c r="E577" s="7">
        <v>105725.16099999988</v>
      </c>
      <c r="F577" s="7">
        <f t="shared" si="1"/>
        <v>356092.236</v>
      </c>
      <c r="G577" s="14">
        <f t="shared" si="2"/>
        <v>0.0141680416</v>
      </c>
      <c r="I577" s="12"/>
      <c r="J577" s="12"/>
      <c r="K577" s="12"/>
      <c r="L577" s="12"/>
      <c r="M577" s="12">
        <v>43937.0</v>
      </c>
      <c r="N577" s="2">
        <v>279.1</v>
      </c>
      <c r="O577" s="3" t="s">
        <v>345</v>
      </c>
      <c r="P577" s="4" t="str">
        <f t="array" ref="P577">XLOOKUP(O577,Agregado!$B$2:$B$1511,Agregado!$G$2:$G$1511)</f>
        <v>#N/A</v>
      </c>
    </row>
    <row r="578" ht="15.75" customHeight="1">
      <c r="B578" s="13" t="s">
        <v>1497</v>
      </c>
      <c r="C578" s="7">
        <v>126408.37500000009</v>
      </c>
      <c r="D578" s="7">
        <v>122292.8540000001</v>
      </c>
      <c r="E578" s="7">
        <v>105648.08599999988</v>
      </c>
      <c r="F578" s="7">
        <f t="shared" si="1"/>
        <v>354349.315</v>
      </c>
      <c r="G578" s="14">
        <f t="shared" si="2"/>
        <v>-0.004906595044</v>
      </c>
      <c r="I578" s="12"/>
      <c r="J578" s="12"/>
      <c r="K578" s="12"/>
      <c r="L578" s="12"/>
      <c r="M578" s="12">
        <v>43938.0</v>
      </c>
      <c r="N578" s="2">
        <v>286.64</v>
      </c>
      <c r="O578" s="3" t="s">
        <v>346</v>
      </c>
      <c r="P578" s="4" t="str">
        <f t="array" ref="P578">XLOOKUP(O578,Agregado!$B$2:$B$1511,Agregado!$G$2:$G$1511)</f>
        <v>#N/A</v>
      </c>
    </row>
    <row r="579" ht="15.75" customHeight="1">
      <c r="B579" s="13" t="s">
        <v>1498</v>
      </c>
      <c r="C579" s="7">
        <v>124955.98000000008</v>
      </c>
      <c r="D579" s="7">
        <v>122208.7950000001</v>
      </c>
      <c r="E579" s="7">
        <v>105423.20499999989</v>
      </c>
      <c r="F579" s="7">
        <f t="shared" si="1"/>
        <v>352587.98</v>
      </c>
      <c r="G579" s="14">
        <f t="shared" si="2"/>
        <v>-0.004983012375</v>
      </c>
      <c r="I579" s="12"/>
      <c r="J579" s="12"/>
      <c r="K579" s="12"/>
      <c r="L579" s="12"/>
      <c r="M579" s="12">
        <v>43941.0</v>
      </c>
      <c r="N579" s="2">
        <v>281.59</v>
      </c>
      <c r="O579" s="3" t="s">
        <v>347</v>
      </c>
      <c r="P579" s="4" t="str">
        <f t="array" ref="P579">XLOOKUP(O579,Agregado!$B$2:$B$1511,Agregado!$G$2:$G$1511)</f>
        <v>#N/A</v>
      </c>
    </row>
    <row r="580" ht="15.75" customHeight="1">
      <c r="B580" s="13" t="s">
        <v>1499</v>
      </c>
      <c r="C580" s="7">
        <v>126963.52100000008</v>
      </c>
      <c r="D580" s="7">
        <v>121964.2350000001</v>
      </c>
      <c r="E580" s="7">
        <v>105497.89899999989</v>
      </c>
      <c r="F580" s="7">
        <f t="shared" si="1"/>
        <v>354425.655</v>
      </c>
      <c r="G580" s="14">
        <f t="shared" si="2"/>
        <v>0.005198426303</v>
      </c>
      <c r="I580" s="12"/>
      <c r="J580" s="12"/>
      <c r="K580" s="12"/>
      <c r="L580" s="12"/>
      <c r="M580" s="12">
        <v>43942.0</v>
      </c>
      <c r="N580" s="2">
        <v>273.04</v>
      </c>
      <c r="O580" s="3" t="s">
        <v>348</v>
      </c>
      <c r="P580" s="4" t="str">
        <f t="array" ref="P580">XLOOKUP(O580,Agregado!$B$2:$B$1511,Agregado!$G$2:$G$1511)</f>
        <v>#N/A</v>
      </c>
    </row>
    <row r="581" ht="15.75" customHeight="1">
      <c r="B581" s="13" t="s">
        <v>1500</v>
      </c>
      <c r="C581" s="7">
        <v>128695.78400000009</v>
      </c>
      <c r="D581" s="7">
        <v>121625.1550000001</v>
      </c>
      <c r="E581" s="7">
        <v>105245.12999999989</v>
      </c>
      <c r="F581" s="7">
        <f t="shared" si="1"/>
        <v>355566.069</v>
      </c>
      <c r="G581" s="14">
        <f t="shared" si="2"/>
        <v>0.003212474011</v>
      </c>
      <c r="I581" s="12"/>
      <c r="J581" s="12"/>
      <c r="K581" s="12"/>
      <c r="L581" s="12"/>
      <c r="M581" s="12">
        <v>43943.0</v>
      </c>
      <c r="N581" s="2">
        <v>279.1</v>
      </c>
      <c r="O581" s="3" t="s">
        <v>349</v>
      </c>
      <c r="P581" s="4" t="str">
        <f t="array" ref="P581">XLOOKUP(O581,Agregado!$B$2:$B$1511,Agregado!$G$2:$G$1511)</f>
        <v>#N/A</v>
      </c>
    </row>
    <row r="582" ht="15.75" customHeight="1">
      <c r="B582" s="13" t="s">
        <v>1501</v>
      </c>
      <c r="C582" s="7">
        <v>127071.16500000008</v>
      </c>
      <c r="D582" s="7">
        <v>121501.8940000001</v>
      </c>
      <c r="E582" s="7">
        <v>105248.48699999989</v>
      </c>
      <c r="F582" s="7">
        <f t="shared" si="1"/>
        <v>353821.546</v>
      </c>
      <c r="G582" s="14">
        <f t="shared" si="2"/>
        <v>-0.004918401393</v>
      </c>
      <c r="I582" s="12"/>
      <c r="J582" s="12"/>
      <c r="K582" s="12"/>
      <c r="L582" s="12"/>
      <c r="M582" s="12">
        <v>43944.0</v>
      </c>
      <c r="N582" s="2">
        <v>279.08</v>
      </c>
      <c r="O582" s="3" t="s">
        <v>350</v>
      </c>
      <c r="P582" s="4" t="str">
        <f t="array" ref="P582">XLOOKUP(O582,Agregado!$B$2:$B$1511,Agregado!$G$2:$G$1511)</f>
        <v>#N/A</v>
      </c>
    </row>
    <row r="583" ht="15.75" customHeight="1">
      <c r="B583" s="13" t="s">
        <v>1502</v>
      </c>
      <c r="C583" s="7">
        <v>124473.62000000008</v>
      </c>
      <c r="D583" s="7">
        <v>121193.6740000001</v>
      </c>
      <c r="E583" s="7">
        <v>105205.1429999999</v>
      </c>
      <c r="F583" s="7">
        <f t="shared" si="1"/>
        <v>350872.437</v>
      </c>
      <c r="G583" s="14">
        <f t="shared" si="2"/>
        <v>-0.008369948625</v>
      </c>
      <c r="I583" s="12"/>
      <c r="J583" s="12"/>
      <c r="K583" s="12"/>
      <c r="L583" s="12"/>
      <c r="M583" s="12">
        <v>43945.0</v>
      </c>
      <c r="N583" s="2">
        <v>282.97</v>
      </c>
      <c r="O583" s="3" t="s">
        <v>351</v>
      </c>
      <c r="P583" s="4" t="str">
        <f t="array" ref="P583">XLOOKUP(O583,Agregado!$B$2:$B$1511,Agregado!$G$2:$G$1511)</f>
        <v>#N/A</v>
      </c>
    </row>
    <row r="584" ht="15.75" customHeight="1">
      <c r="B584" s="13" t="s">
        <v>1503</v>
      </c>
      <c r="C584" s="7">
        <v>123873.38700000009</v>
      </c>
      <c r="D584" s="7">
        <v>120955.6160000001</v>
      </c>
      <c r="E584" s="7">
        <v>104986.80899999989</v>
      </c>
      <c r="F584" s="7">
        <f t="shared" si="1"/>
        <v>349815.812</v>
      </c>
      <c r="G584" s="14">
        <f t="shared" si="2"/>
        <v>-0.003015965524</v>
      </c>
      <c r="I584" s="12"/>
      <c r="J584" s="12"/>
      <c r="K584" s="12"/>
      <c r="L584" s="12"/>
      <c r="M584" s="12">
        <v>43948.0</v>
      </c>
      <c r="N584" s="2">
        <v>287.05</v>
      </c>
      <c r="O584" s="3" t="s">
        <v>352</v>
      </c>
      <c r="P584" s="4" t="str">
        <f t="array" ref="P584">XLOOKUP(O584,Agregado!$B$2:$B$1511,Agregado!$G$2:$G$1511)</f>
        <v>#N/A</v>
      </c>
    </row>
    <row r="585" ht="15.75" customHeight="1">
      <c r="B585" s="13" t="s">
        <v>1504</v>
      </c>
      <c r="C585" s="7">
        <v>122330.68900000009</v>
      </c>
      <c r="D585" s="7">
        <v>120728.4340000001</v>
      </c>
      <c r="E585" s="7">
        <v>104937.30799999989</v>
      </c>
      <c r="F585" s="7">
        <f t="shared" si="1"/>
        <v>347996.431</v>
      </c>
      <c r="G585" s="14">
        <f t="shared" si="2"/>
        <v>-0.005214540561</v>
      </c>
      <c r="I585" s="12"/>
      <c r="J585" s="12"/>
      <c r="K585" s="12"/>
      <c r="L585" s="12"/>
      <c r="M585" s="12">
        <v>43949.0</v>
      </c>
      <c r="N585" s="2">
        <v>285.73</v>
      </c>
      <c r="O585" s="3" t="s">
        <v>353</v>
      </c>
      <c r="P585" s="4" t="str">
        <f t="array" ref="P585">XLOOKUP(O585,Agregado!$B$2:$B$1511,Agregado!$G$2:$G$1511)</f>
        <v>#N/A</v>
      </c>
    </row>
    <row r="586" ht="15.75" customHeight="1">
      <c r="B586" s="13" t="s">
        <v>1505</v>
      </c>
      <c r="C586" s="7">
        <v>124484.89000000009</v>
      </c>
      <c r="D586" s="7">
        <v>120670.8020000001</v>
      </c>
      <c r="E586" s="7">
        <v>104900.84899999989</v>
      </c>
      <c r="F586" s="7">
        <f t="shared" si="1"/>
        <v>350056.541</v>
      </c>
      <c r="G586" s="14">
        <f t="shared" si="2"/>
        <v>0.005902463176</v>
      </c>
      <c r="I586" s="12"/>
      <c r="J586" s="12"/>
      <c r="K586" s="12"/>
      <c r="L586" s="12"/>
      <c r="M586" s="12">
        <v>43950.0</v>
      </c>
      <c r="N586" s="2">
        <v>293.21</v>
      </c>
      <c r="O586" s="3" t="s">
        <v>354</v>
      </c>
      <c r="P586" s="4" t="str">
        <f t="array" ref="P586">XLOOKUP(O586,Agregado!$B$2:$B$1511,Agregado!$G$2:$G$1511)</f>
        <v>#N/A</v>
      </c>
    </row>
    <row r="587" ht="15.75" customHeight="1">
      <c r="B587" s="13" t="s">
        <v>1506</v>
      </c>
      <c r="C587" s="7">
        <v>122456.26500000009</v>
      </c>
      <c r="D587" s="7">
        <v>120785.4640000001</v>
      </c>
      <c r="E587" s="7">
        <v>103414.83099999989</v>
      </c>
      <c r="F587" s="7">
        <f t="shared" si="1"/>
        <v>346656.56</v>
      </c>
      <c r="G587" s="14">
        <f t="shared" si="2"/>
        <v>-0.009760137954</v>
      </c>
      <c r="I587" s="12"/>
      <c r="J587" s="12"/>
      <c r="K587" s="12"/>
      <c r="L587" s="12"/>
      <c r="M587" s="12">
        <v>43951.0</v>
      </c>
      <c r="N587" s="2">
        <v>290.48</v>
      </c>
      <c r="O587" s="3" t="s">
        <v>355</v>
      </c>
      <c r="P587" s="4" t="str">
        <f t="array" ref="P587">XLOOKUP(O587,Agregado!$B$2:$B$1511,Agregado!$G$2:$G$1511)</f>
        <v>#N/A</v>
      </c>
    </row>
    <row r="588" ht="15.75" customHeight="1">
      <c r="B588" s="13" t="s">
        <v>1507</v>
      </c>
      <c r="C588" s="7">
        <v>121502.99200000009</v>
      </c>
      <c r="D588" s="7">
        <v>120829.60700000009</v>
      </c>
      <c r="E588" s="7">
        <v>103383.35399999989</v>
      </c>
      <c r="F588" s="7">
        <f t="shared" si="1"/>
        <v>345715.953</v>
      </c>
      <c r="G588" s="14">
        <f t="shared" si="2"/>
        <v>-0.002717056385</v>
      </c>
      <c r="I588" s="12"/>
      <c r="J588" s="12"/>
      <c r="K588" s="12"/>
      <c r="L588" s="12"/>
      <c r="M588" s="12">
        <v>43952.0</v>
      </c>
      <c r="N588" s="2">
        <v>282.79</v>
      </c>
      <c r="O588" s="3">
        <v>43835.0</v>
      </c>
      <c r="P588" s="4" t="str">
        <f t="array" ref="P588">XLOOKUP(O588,Agregado!$B$2:$B$1511,Agregado!$G$2:$G$1511)</f>
        <v>#N/A</v>
      </c>
    </row>
    <row r="589" ht="15.75" customHeight="1">
      <c r="B589" s="13" t="s">
        <v>1508</v>
      </c>
      <c r="C589" s="7">
        <v>119919.07300000009</v>
      </c>
      <c r="D589" s="7">
        <v>120567.18600000009</v>
      </c>
      <c r="E589" s="7">
        <v>103229.42599999989</v>
      </c>
      <c r="F589" s="7">
        <f t="shared" si="1"/>
        <v>343715.685</v>
      </c>
      <c r="G589" s="14">
        <f t="shared" si="2"/>
        <v>-0.005802674268</v>
      </c>
      <c r="I589" s="12"/>
      <c r="J589" s="12"/>
      <c r="K589" s="12"/>
      <c r="L589" s="12"/>
      <c r="M589" s="12">
        <v>43955.0</v>
      </c>
      <c r="N589" s="2">
        <v>283.57</v>
      </c>
      <c r="O589" s="3">
        <v>43926.0</v>
      </c>
      <c r="P589" s="4" t="str">
        <f t="array" ref="P589">XLOOKUP(O589,Agregado!$B$2:$B$1511,Agregado!$G$2:$G$1511)</f>
        <v>#N/A</v>
      </c>
    </row>
    <row r="590" ht="15.75" customHeight="1">
      <c r="B590" s="13" t="s">
        <v>1509</v>
      </c>
      <c r="C590" s="7">
        <v>119170.4110000001</v>
      </c>
      <c r="D590" s="7">
        <v>120000.32700000009</v>
      </c>
      <c r="E590" s="7">
        <v>103425.67599999989</v>
      </c>
      <c r="F590" s="7">
        <f t="shared" si="1"/>
        <v>342596.414</v>
      </c>
      <c r="G590" s="14">
        <f t="shared" si="2"/>
        <v>-0.003261699725</v>
      </c>
      <c r="I590" s="12"/>
      <c r="J590" s="12"/>
      <c r="K590" s="12"/>
      <c r="L590" s="12"/>
      <c r="M590" s="12">
        <v>43956.0</v>
      </c>
      <c r="N590" s="2">
        <v>286.19</v>
      </c>
      <c r="O590" s="3">
        <v>43956.0</v>
      </c>
      <c r="P590" s="4" t="str">
        <f t="array" ref="P590">XLOOKUP(O590,Agregado!$B$2:$B$1511,Agregado!$G$2:$G$1511)</f>
        <v>#N/A</v>
      </c>
    </row>
    <row r="591" ht="15.75" customHeight="1">
      <c r="B591" s="13" t="s">
        <v>1510</v>
      </c>
      <c r="C591" s="7">
        <v>116588.6120000001</v>
      </c>
      <c r="D591" s="7">
        <v>119886.47400000009</v>
      </c>
      <c r="E591" s="7">
        <v>103395.48899999988</v>
      </c>
      <c r="F591" s="7">
        <f t="shared" si="1"/>
        <v>339870.575</v>
      </c>
      <c r="G591" s="14">
        <f t="shared" si="2"/>
        <v>-0.007988235443</v>
      </c>
      <c r="I591" s="12"/>
      <c r="J591" s="12"/>
      <c r="K591" s="12"/>
      <c r="L591" s="12"/>
      <c r="M591" s="12">
        <v>43957.0</v>
      </c>
      <c r="N591" s="2">
        <v>284.25</v>
      </c>
      <c r="O591" s="3">
        <v>43987.0</v>
      </c>
      <c r="P591" s="4" t="str">
        <f t="array" ref="P591">XLOOKUP(O591,Agregado!$B$2:$B$1511,Agregado!$G$2:$G$1511)</f>
        <v>#N/A</v>
      </c>
    </row>
    <row r="592" ht="15.75" customHeight="1">
      <c r="B592" s="13" t="s">
        <v>1511</v>
      </c>
      <c r="C592" s="7">
        <v>118077.2480000001</v>
      </c>
      <c r="D592" s="7">
        <v>119728.5090000001</v>
      </c>
      <c r="E592" s="7">
        <v>103413.43999999989</v>
      </c>
      <c r="F592" s="7">
        <f t="shared" si="1"/>
        <v>341219.197</v>
      </c>
      <c r="G592" s="14">
        <f t="shared" si="2"/>
        <v>0.003960193848</v>
      </c>
      <c r="I592" s="12"/>
      <c r="J592" s="12"/>
      <c r="K592" s="12"/>
      <c r="L592" s="12"/>
      <c r="M592" s="12">
        <v>43958.0</v>
      </c>
      <c r="N592" s="2">
        <v>287.68</v>
      </c>
      <c r="O592" s="3">
        <v>44017.0</v>
      </c>
      <c r="P592" s="4" t="str">
        <f t="array" ref="P592">XLOOKUP(O592,Agregado!$B$2:$B$1511,Agregado!$G$2:$G$1511)</f>
        <v>#N/A</v>
      </c>
    </row>
    <row r="593" ht="15.75" customHeight="1">
      <c r="B593" s="13" t="s">
        <v>1512</v>
      </c>
      <c r="C593" s="7">
        <v>118375.7680000001</v>
      </c>
      <c r="D593" s="7">
        <v>119628.6800000001</v>
      </c>
      <c r="E593" s="7">
        <v>103382.50299999988</v>
      </c>
      <c r="F593" s="7">
        <f t="shared" si="1"/>
        <v>341386.951</v>
      </c>
      <c r="G593" s="14">
        <f t="shared" si="2"/>
        <v>0.0004915103794</v>
      </c>
      <c r="I593" s="12"/>
      <c r="J593" s="12"/>
      <c r="K593" s="12"/>
      <c r="L593" s="12"/>
      <c r="M593" s="12">
        <v>43959.0</v>
      </c>
      <c r="N593" s="2">
        <v>292.44</v>
      </c>
      <c r="O593" s="3">
        <v>44048.0</v>
      </c>
      <c r="P593" s="4" t="str">
        <f t="array" ref="P593">XLOOKUP(O593,Agregado!$B$2:$B$1511,Agregado!$G$2:$G$1511)</f>
        <v>#N/A</v>
      </c>
    </row>
    <row r="594" ht="15.75" customHeight="1">
      <c r="B594" s="13" t="s">
        <v>1513</v>
      </c>
      <c r="C594" s="7">
        <v>118533.98600000009</v>
      </c>
      <c r="D594" s="7">
        <v>119643.11100000009</v>
      </c>
      <c r="E594" s="7">
        <v>103286.25899999987</v>
      </c>
      <c r="F594" s="7">
        <f t="shared" si="1"/>
        <v>341463.356</v>
      </c>
      <c r="G594" s="14">
        <f t="shared" si="2"/>
        <v>0.0002237825759</v>
      </c>
      <c r="I594" s="12"/>
      <c r="J594" s="12"/>
      <c r="K594" s="12"/>
      <c r="L594" s="12"/>
      <c r="M594" s="12">
        <v>43962.0</v>
      </c>
      <c r="N594" s="2">
        <v>292.5</v>
      </c>
      <c r="O594" s="3">
        <v>44140.0</v>
      </c>
      <c r="P594" s="4" t="str">
        <f t="array" ref="P594">XLOOKUP(O594,Agregado!$B$2:$B$1511,Agregado!$G$2:$G$1511)</f>
        <v>#N/A</v>
      </c>
    </row>
    <row r="595" ht="15.75" customHeight="1">
      <c r="B595" s="13" t="s">
        <v>1514</v>
      </c>
      <c r="C595" s="7">
        <v>120655.0890000001</v>
      </c>
      <c r="D595" s="7">
        <v>119364.25000000009</v>
      </c>
      <c r="E595" s="7">
        <v>103250.73399999988</v>
      </c>
      <c r="F595" s="7">
        <f t="shared" si="1"/>
        <v>343270.073</v>
      </c>
      <c r="G595" s="14">
        <f t="shared" si="2"/>
        <v>0.005277152002</v>
      </c>
      <c r="I595" s="12"/>
      <c r="J595" s="12"/>
      <c r="K595" s="12"/>
      <c r="L595" s="12"/>
      <c r="M595" s="12">
        <v>43963.0</v>
      </c>
      <c r="N595" s="2">
        <v>286.67</v>
      </c>
      <c r="O595" s="3">
        <v>44170.0</v>
      </c>
      <c r="P595" s="4" t="str">
        <f t="array" ref="P595">XLOOKUP(O595,Agregado!$B$2:$B$1511,Agregado!$G$2:$G$1511)</f>
        <v>#N/A</v>
      </c>
    </row>
    <row r="596" ht="15.75" customHeight="1">
      <c r="B596" s="13" t="s">
        <v>1515</v>
      </c>
      <c r="C596" s="7">
        <v>119835.7520000001</v>
      </c>
      <c r="D596" s="7">
        <v>119290.85300000009</v>
      </c>
      <c r="E596" s="7">
        <v>103220.93499999988</v>
      </c>
      <c r="F596" s="7">
        <f t="shared" si="1"/>
        <v>342347.54</v>
      </c>
      <c r="G596" s="14">
        <f t="shared" si="2"/>
        <v>-0.002691102268</v>
      </c>
      <c r="I596" s="12"/>
      <c r="J596" s="12"/>
      <c r="K596" s="12"/>
      <c r="L596" s="12"/>
      <c r="M596" s="12">
        <v>43964.0</v>
      </c>
      <c r="N596" s="2">
        <v>281.6</v>
      </c>
      <c r="O596" s="3" t="s">
        <v>356</v>
      </c>
      <c r="P596" s="4" t="str">
        <f t="array" ref="P596">XLOOKUP(O596,Agregado!$B$2:$B$1511,Agregado!$G$2:$G$1511)</f>
        <v>#N/A</v>
      </c>
    </row>
    <row r="597" ht="15.75" customHeight="1">
      <c r="B597" s="13" t="s">
        <v>1516</v>
      </c>
      <c r="C597" s="7">
        <v>121699.0970000001</v>
      </c>
      <c r="D597" s="7">
        <v>119003.25000000009</v>
      </c>
      <c r="E597" s="7">
        <v>103157.24799999988</v>
      </c>
      <c r="F597" s="7">
        <f t="shared" si="1"/>
        <v>343859.595</v>
      </c>
      <c r="G597" s="14">
        <f t="shared" si="2"/>
        <v>0.004407000074</v>
      </c>
      <c r="I597" s="12"/>
      <c r="J597" s="12"/>
      <c r="K597" s="12"/>
      <c r="L597" s="12"/>
      <c r="M597" s="12">
        <v>43965.0</v>
      </c>
      <c r="N597" s="2">
        <v>284.97</v>
      </c>
      <c r="O597" s="3" t="s">
        <v>357</v>
      </c>
      <c r="P597" s="4" t="str">
        <f t="array" ref="P597">XLOOKUP(O597,Agregado!$B$2:$B$1511,Agregado!$G$2:$G$1511)</f>
        <v>#N/A</v>
      </c>
    </row>
    <row r="598" ht="15.75" customHeight="1">
      <c r="B598" s="13" t="s">
        <v>1517</v>
      </c>
      <c r="C598" s="7">
        <v>120234.28900000009</v>
      </c>
      <c r="D598" s="7">
        <v>118607.6040000001</v>
      </c>
      <c r="E598" s="7">
        <v>102906.77799999987</v>
      </c>
      <c r="F598" s="7">
        <f t="shared" si="1"/>
        <v>341748.671</v>
      </c>
      <c r="G598" s="14">
        <f t="shared" si="2"/>
        <v>-0.006157833197</v>
      </c>
      <c r="I598" s="12"/>
      <c r="J598" s="12"/>
      <c r="K598" s="12"/>
      <c r="L598" s="12"/>
      <c r="M598" s="12">
        <v>43966.0</v>
      </c>
      <c r="N598" s="2">
        <v>286.28</v>
      </c>
      <c r="O598" s="3" t="s">
        <v>358</v>
      </c>
      <c r="P598" s="4" t="str">
        <f t="array" ref="P598">XLOOKUP(O598,Agregado!$B$2:$B$1511,Agregado!$G$2:$G$1511)</f>
        <v>#N/A</v>
      </c>
    </row>
    <row r="599" ht="15.75" customHeight="1">
      <c r="B599" s="13" t="s">
        <v>1518</v>
      </c>
      <c r="C599" s="7">
        <v>118652.57900000009</v>
      </c>
      <c r="D599" s="7">
        <v>119050.7820000001</v>
      </c>
      <c r="E599" s="7">
        <v>102445.74399999988</v>
      </c>
      <c r="F599" s="7">
        <f t="shared" si="1"/>
        <v>340149.105</v>
      </c>
      <c r="G599" s="14">
        <f t="shared" si="2"/>
        <v>-0.004691521193</v>
      </c>
      <c r="I599" s="12"/>
      <c r="J599" s="12"/>
      <c r="K599" s="12"/>
      <c r="L599" s="12"/>
      <c r="M599" s="12">
        <v>43969.0</v>
      </c>
      <c r="N599" s="2">
        <v>295.0</v>
      </c>
      <c r="O599" s="3" t="s">
        <v>359</v>
      </c>
      <c r="P599" s="4" t="str">
        <f t="array" ref="P599">XLOOKUP(O599,Agregado!$B$2:$B$1511,Agregado!$G$2:$G$1511)</f>
        <v>#N/A</v>
      </c>
    </row>
    <row r="600" ht="15.75" customHeight="1">
      <c r="B600" s="13" t="s">
        <v>1519</v>
      </c>
      <c r="C600" s="7">
        <v>119096.09100000009</v>
      </c>
      <c r="D600" s="7">
        <v>119280.4380000001</v>
      </c>
      <c r="E600" s="7">
        <v>102292.16599999988</v>
      </c>
      <c r="F600" s="7">
        <f t="shared" si="1"/>
        <v>340668.695</v>
      </c>
      <c r="G600" s="14">
        <f t="shared" si="2"/>
        <v>0.001526370494</v>
      </c>
      <c r="I600" s="12"/>
      <c r="J600" s="12"/>
      <c r="K600" s="12"/>
      <c r="L600" s="12"/>
      <c r="M600" s="12">
        <v>43970.0</v>
      </c>
      <c r="N600" s="2">
        <v>291.97</v>
      </c>
      <c r="O600" s="3" t="s">
        <v>360</v>
      </c>
      <c r="P600" s="4" t="str">
        <f t="array" ref="P600">XLOOKUP(O600,Agregado!$B$2:$B$1511,Agregado!$G$2:$G$1511)</f>
        <v>#N/A</v>
      </c>
    </row>
    <row r="601" ht="15.75" customHeight="1">
      <c r="B601" s="13" t="s">
        <v>1520</v>
      </c>
      <c r="C601" s="7">
        <v>119406.01000000008</v>
      </c>
      <c r="D601" s="7">
        <v>118747.3700000001</v>
      </c>
      <c r="E601" s="7">
        <v>102769.19499999988</v>
      </c>
      <c r="F601" s="7">
        <f t="shared" si="1"/>
        <v>340922.575</v>
      </c>
      <c r="G601" s="14">
        <f t="shared" si="2"/>
        <v>0.0007449626277</v>
      </c>
      <c r="I601" s="12"/>
      <c r="J601" s="12"/>
      <c r="K601" s="12"/>
      <c r="L601" s="12"/>
      <c r="M601" s="12">
        <v>43971.0</v>
      </c>
      <c r="N601" s="2">
        <v>296.93</v>
      </c>
      <c r="O601" s="3" t="s">
        <v>361</v>
      </c>
      <c r="P601" s="4" t="str">
        <f t="array" ref="P601">XLOOKUP(O601,Agregado!$B$2:$B$1511,Agregado!$G$2:$G$1511)</f>
        <v>#N/A</v>
      </c>
    </row>
    <row r="602" ht="15.75" customHeight="1">
      <c r="B602" s="13" t="s">
        <v>1521</v>
      </c>
      <c r="C602" s="7">
        <v>118033.14000000009</v>
      </c>
      <c r="D602" s="7">
        <v>118219.8410000001</v>
      </c>
      <c r="E602" s="7">
        <v>103004.55699999987</v>
      </c>
      <c r="F602" s="7">
        <f t="shared" si="1"/>
        <v>339257.538</v>
      </c>
      <c r="G602" s="14">
        <f t="shared" si="2"/>
        <v>-0.004895880647</v>
      </c>
      <c r="I602" s="12"/>
      <c r="J602" s="12"/>
      <c r="K602" s="12"/>
      <c r="L602" s="12"/>
      <c r="M602" s="12">
        <v>43972.0</v>
      </c>
      <c r="N602" s="2">
        <v>294.88</v>
      </c>
      <c r="O602" s="3" t="s">
        <v>362</v>
      </c>
      <c r="P602" s="4" t="str">
        <f t="array" ref="P602">XLOOKUP(O602,Agregado!$B$2:$B$1511,Agregado!$G$2:$G$1511)</f>
        <v>#N/A</v>
      </c>
    </row>
    <row r="603" ht="15.75" customHeight="1">
      <c r="B603" s="13" t="s">
        <v>1522</v>
      </c>
      <c r="C603" s="7">
        <v>118047.99000000009</v>
      </c>
      <c r="D603" s="7">
        <v>118249.64200000011</v>
      </c>
      <c r="E603" s="7">
        <v>103061.52499999986</v>
      </c>
      <c r="F603" s="7">
        <f t="shared" si="1"/>
        <v>339359.157</v>
      </c>
      <c r="G603" s="14">
        <f t="shared" si="2"/>
        <v>0.0002994886554</v>
      </c>
      <c r="I603" s="12"/>
      <c r="J603" s="12"/>
      <c r="K603" s="12"/>
      <c r="L603" s="12"/>
      <c r="M603" s="12">
        <v>43973.0</v>
      </c>
      <c r="N603" s="2">
        <v>295.44</v>
      </c>
      <c r="O603" s="3" t="s">
        <v>363</v>
      </c>
      <c r="P603" s="4" t="str">
        <f t="array" ref="P603">XLOOKUP(O603,Agregado!$B$2:$B$1511,Agregado!$G$2:$G$1511)</f>
        <v>#N/A</v>
      </c>
    </row>
    <row r="604" ht="15.75" customHeight="1">
      <c r="B604" s="13" t="s">
        <v>1523</v>
      </c>
      <c r="C604" s="7">
        <v>118106.9340000001</v>
      </c>
      <c r="D604" s="7">
        <v>118589.70300000011</v>
      </c>
      <c r="E604" s="7">
        <v>103057.81799999987</v>
      </c>
      <c r="F604" s="7">
        <f t="shared" si="1"/>
        <v>339754.455</v>
      </c>
      <c r="G604" s="14">
        <f t="shared" si="2"/>
        <v>0.001164158802</v>
      </c>
      <c r="I604" s="12"/>
      <c r="J604" s="12"/>
      <c r="K604" s="12"/>
      <c r="L604" s="12"/>
      <c r="M604" s="12">
        <v>43977.0</v>
      </c>
      <c r="N604" s="2">
        <v>299.08</v>
      </c>
      <c r="O604" s="3" t="s">
        <v>364</v>
      </c>
      <c r="P604" s="4" t="str">
        <f t="array" ref="P604">XLOOKUP(O604,Agregado!$B$2:$B$1511,Agregado!$G$2:$G$1511)</f>
        <v>#N/A</v>
      </c>
    </row>
    <row r="605" ht="15.75" customHeight="1">
      <c r="B605" s="13" t="s">
        <v>1524</v>
      </c>
      <c r="C605" s="7">
        <v>118269.43700000009</v>
      </c>
      <c r="D605" s="7">
        <v>118708.2850000001</v>
      </c>
      <c r="E605" s="7">
        <v>103110.12399999987</v>
      </c>
      <c r="F605" s="7">
        <f t="shared" si="1"/>
        <v>340087.846</v>
      </c>
      <c r="G605" s="14">
        <f t="shared" si="2"/>
        <v>0.0009807892984</v>
      </c>
      <c r="I605" s="12"/>
      <c r="J605" s="12"/>
      <c r="K605" s="12"/>
      <c r="L605" s="12"/>
      <c r="M605" s="12">
        <v>43978.0</v>
      </c>
      <c r="N605" s="2">
        <v>303.53</v>
      </c>
      <c r="O605" s="3" t="s">
        <v>365</v>
      </c>
      <c r="P605" s="4" t="str">
        <f t="array" ref="P605">XLOOKUP(O605,Agregado!$B$2:$B$1511,Agregado!$G$2:$G$1511)</f>
        <v>#N/A</v>
      </c>
    </row>
    <row r="606" ht="15.75" customHeight="1">
      <c r="B606" s="13" t="s">
        <v>1525</v>
      </c>
      <c r="C606" s="7">
        <v>117760.99700000009</v>
      </c>
      <c r="D606" s="7">
        <v>118663.2700000001</v>
      </c>
      <c r="E606" s="7">
        <v>103341.46099999986</v>
      </c>
      <c r="F606" s="7">
        <f t="shared" si="1"/>
        <v>339765.728</v>
      </c>
      <c r="G606" s="14">
        <f t="shared" si="2"/>
        <v>-0.0009476100043</v>
      </c>
      <c r="I606" s="12"/>
      <c r="J606" s="12"/>
      <c r="K606" s="12"/>
      <c r="L606" s="12"/>
      <c r="M606" s="12">
        <v>43979.0</v>
      </c>
      <c r="N606" s="2">
        <v>302.97</v>
      </c>
      <c r="O606" s="3" t="s">
        <v>366</v>
      </c>
      <c r="P606" s="4" t="str">
        <f t="array" ref="P606">XLOOKUP(O606,Agregado!$B$2:$B$1511,Agregado!$G$2:$G$1511)</f>
        <v>#N/A</v>
      </c>
    </row>
    <row r="607" ht="15.75" customHeight="1">
      <c r="B607" s="13" t="s">
        <v>1526</v>
      </c>
      <c r="C607" s="7">
        <v>115363.27300000009</v>
      </c>
      <c r="D607" s="7">
        <v>119318.06700000011</v>
      </c>
      <c r="E607" s="7">
        <v>103614.16799999986</v>
      </c>
      <c r="F607" s="7">
        <f t="shared" si="1"/>
        <v>338295.508</v>
      </c>
      <c r="G607" s="14">
        <f t="shared" si="2"/>
        <v>-0.004336547279</v>
      </c>
      <c r="I607" s="12"/>
      <c r="J607" s="12"/>
      <c r="K607" s="12"/>
      <c r="L607" s="12"/>
      <c r="M607" s="12">
        <v>43980.0</v>
      </c>
      <c r="N607" s="2">
        <v>304.32</v>
      </c>
      <c r="O607" s="3" t="s">
        <v>367</v>
      </c>
      <c r="P607" s="4" t="str">
        <f t="array" ref="P607">XLOOKUP(O607,Agregado!$B$2:$B$1511,Agregado!$G$2:$G$1511)</f>
        <v>#N/A</v>
      </c>
    </row>
    <row r="608" ht="15.75" customHeight="1">
      <c r="B608" s="13" t="s">
        <v>1527</v>
      </c>
      <c r="C608" s="7">
        <v>118240.89000000009</v>
      </c>
      <c r="D608" s="7">
        <v>119652.41500000011</v>
      </c>
      <c r="E608" s="7">
        <v>103583.31499999986</v>
      </c>
      <c r="F608" s="7">
        <f t="shared" si="1"/>
        <v>341476.62</v>
      </c>
      <c r="G608" s="14">
        <f t="shared" si="2"/>
        <v>0.009359416459</v>
      </c>
      <c r="I608" s="12"/>
      <c r="J608" s="12"/>
      <c r="K608" s="12"/>
      <c r="L608" s="12"/>
      <c r="M608" s="12">
        <v>43983.0</v>
      </c>
      <c r="N608" s="2">
        <v>305.55</v>
      </c>
      <c r="O608" s="3">
        <v>43836.0</v>
      </c>
      <c r="P608" s="4" t="str">
        <f t="array" ref="P608">XLOOKUP(O608,Agregado!$B$2:$B$1511,Agregado!$G$2:$G$1511)</f>
        <v>#N/A</v>
      </c>
    </row>
    <row r="609" ht="15.75" customHeight="1">
      <c r="B609" s="13" t="s">
        <v>1528</v>
      </c>
      <c r="C609" s="7">
        <v>118423.53300000008</v>
      </c>
      <c r="D609" s="7">
        <v>119591.3230000001</v>
      </c>
      <c r="E609" s="7">
        <v>103770.44299999985</v>
      </c>
      <c r="F609" s="7">
        <f t="shared" si="1"/>
        <v>341785.299</v>
      </c>
      <c r="G609" s="14">
        <f t="shared" si="2"/>
        <v>0.0009035452216</v>
      </c>
      <c r="I609" s="12"/>
      <c r="J609" s="12"/>
      <c r="K609" s="12"/>
      <c r="L609" s="12"/>
      <c r="M609" s="12">
        <v>43984.0</v>
      </c>
      <c r="N609" s="2">
        <v>308.08</v>
      </c>
      <c r="O609" s="3">
        <v>43867.0</v>
      </c>
      <c r="P609" s="4" t="str">
        <f t="array" ref="P609">XLOOKUP(O609,Agregado!$B$2:$B$1511,Agregado!$G$2:$G$1511)</f>
        <v>#N/A</v>
      </c>
    </row>
    <row r="610" ht="15.75" customHeight="1">
      <c r="B610" s="13" t="s">
        <v>1529</v>
      </c>
      <c r="C610" s="7">
        <v>117751.30900000008</v>
      </c>
      <c r="D610" s="7">
        <v>119499.3370000001</v>
      </c>
      <c r="E610" s="7">
        <v>103941.50199999985</v>
      </c>
      <c r="F610" s="7">
        <f t="shared" si="1"/>
        <v>341192.148</v>
      </c>
      <c r="G610" s="14">
        <f t="shared" si="2"/>
        <v>-0.001736956767</v>
      </c>
      <c r="I610" s="12"/>
      <c r="J610" s="12"/>
      <c r="K610" s="12"/>
      <c r="L610" s="12"/>
      <c r="M610" s="12">
        <v>43985.0</v>
      </c>
      <c r="N610" s="2">
        <v>312.18</v>
      </c>
      <c r="O610" s="3">
        <v>43896.0</v>
      </c>
      <c r="P610" s="4" t="str">
        <f t="array" ref="P610">XLOOKUP(O610,Agregado!$B$2:$B$1511,Agregado!$G$2:$G$1511)</f>
        <v>#N/A</v>
      </c>
    </row>
    <row r="611" ht="15.75" customHeight="1">
      <c r="B611" s="13" t="s">
        <v>1530</v>
      </c>
      <c r="C611" s="7">
        <v>113962.10100000008</v>
      </c>
      <c r="D611" s="7">
        <v>119638.4530000001</v>
      </c>
      <c r="E611" s="7">
        <v>103905.51699999985</v>
      </c>
      <c r="F611" s="7">
        <f t="shared" si="1"/>
        <v>337506.071</v>
      </c>
      <c r="G611" s="14">
        <f t="shared" si="2"/>
        <v>-0.01086230416</v>
      </c>
      <c r="I611" s="12"/>
      <c r="J611" s="12"/>
      <c r="K611" s="12"/>
      <c r="L611" s="12"/>
      <c r="M611" s="12">
        <v>43986.0</v>
      </c>
      <c r="N611" s="2">
        <v>311.36</v>
      </c>
      <c r="O611" s="3">
        <v>43927.0</v>
      </c>
      <c r="P611" s="4" t="str">
        <f t="array" ref="P611">XLOOKUP(O611,Agregado!$B$2:$B$1511,Agregado!$G$2:$G$1511)</f>
        <v>#N/A</v>
      </c>
    </row>
    <row r="612" ht="15.75" customHeight="1">
      <c r="B612" s="13" t="s">
        <v>1531</v>
      </c>
      <c r="C612" s="7">
        <v>117038.11800000007</v>
      </c>
      <c r="D612" s="7">
        <v>119669.79300000009</v>
      </c>
      <c r="E612" s="7">
        <v>104145.52399999984</v>
      </c>
      <c r="F612" s="7">
        <f t="shared" si="1"/>
        <v>340853.435</v>
      </c>
      <c r="G612" s="14">
        <f t="shared" si="2"/>
        <v>0.009869077206</v>
      </c>
      <c r="I612" s="12"/>
      <c r="J612" s="12"/>
      <c r="K612" s="12"/>
      <c r="L612" s="12"/>
      <c r="M612" s="12">
        <v>43987.0</v>
      </c>
      <c r="N612" s="2">
        <v>319.34</v>
      </c>
      <c r="O612" s="3">
        <v>43957.0</v>
      </c>
      <c r="P612" s="4" t="str">
        <f t="array" ref="P612">XLOOKUP(O612,Agregado!$B$2:$B$1511,Agregado!$G$2:$G$1511)</f>
        <v>#N/A</v>
      </c>
    </row>
    <row r="613" ht="15.75" customHeight="1">
      <c r="B613" s="13" t="s">
        <v>1532</v>
      </c>
      <c r="C613" s="7">
        <v>118127.67500000008</v>
      </c>
      <c r="D613" s="7">
        <v>118857.53100000009</v>
      </c>
      <c r="E613" s="7">
        <v>104173.78499999984</v>
      </c>
      <c r="F613" s="7">
        <f t="shared" si="1"/>
        <v>341158.991</v>
      </c>
      <c r="G613" s="14">
        <f t="shared" si="2"/>
        <v>0.0008960423851</v>
      </c>
      <c r="I613" s="12"/>
      <c r="J613" s="12"/>
      <c r="K613" s="12"/>
      <c r="L613" s="12"/>
      <c r="M613" s="12">
        <v>43990.0</v>
      </c>
      <c r="N613" s="2">
        <v>323.2</v>
      </c>
      <c r="O613" s="3">
        <v>44049.0</v>
      </c>
      <c r="P613" s="4" t="str">
        <f t="array" ref="P613">XLOOKUP(O613,Agregado!$B$2:$B$1511,Agregado!$G$2:$G$1511)</f>
        <v>#N/A</v>
      </c>
    </row>
    <row r="614" ht="15.75" customHeight="1">
      <c r="B614" s="13" t="s">
        <v>1533</v>
      </c>
      <c r="C614" s="7">
        <v>123494.13400000008</v>
      </c>
      <c r="D614" s="7">
        <v>118232.3620000001</v>
      </c>
      <c r="E614" s="7">
        <v>103988.27899999985</v>
      </c>
      <c r="F614" s="7">
        <f t="shared" si="1"/>
        <v>345714.775</v>
      </c>
      <c r="G614" s="14">
        <f t="shared" si="2"/>
        <v>0.01326546749</v>
      </c>
      <c r="I614" s="12"/>
      <c r="J614" s="12"/>
      <c r="K614" s="12"/>
      <c r="L614" s="12"/>
      <c r="M614" s="12">
        <v>43991.0</v>
      </c>
      <c r="N614" s="2">
        <v>320.79</v>
      </c>
      <c r="O614" s="3">
        <v>44080.0</v>
      </c>
      <c r="P614" s="4" t="str">
        <f t="array" ref="P614">XLOOKUP(O614,Agregado!$B$2:$B$1511,Agregado!$G$2:$G$1511)</f>
        <v>#N/A</v>
      </c>
    </row>
    <row r="615" ht="15.75" customHeight="1">
      <c r="B615" s="13" t="s">
        <v>1534</v>
      </c>
      <c r="C615" s="7">
        <v>119760.44000000008</v>
      </c>
      <c r="D615" s="7">
        <v>118037.6840000001</v>
      </c>
      <c r="E615" s="7">
        <v>104008.38699999984</v>
      </c>
      <c r="F615" s="7">
        <f t="shared" si="1"/>
        <v>341806.511</v>
      </c>
      <c r="G615" s="14">
        <f t="shared" si="2"/>
        <v>-0.01136926573</v>
      </c>
      <c r="I615" s="12"/>
      <c r="J615" s="12"/>
      <c r="K615" s="12"/>
      <c r="L615" s="12"/>
      <c r="M615" s="12">
        <v>43992.0</v>
      </c>
      <c r="N615" s="2">
        <v>319.0</v>
      </c>
      <c r="O615" s="3">
        <v>44110.0</v>
      </c>
      <c r="P615" s="4" t="str">
        <f t="array" ref="P615">XLOOKUP(O615,Agregado!$B$2:$B$1511,Agregado!$G$2:$G$1511)</f>
        <v>#N/A</v>
      </c>
    </row>
    <row r="616" ht="15.75" customHeight="1">
      <c r="B616" s="13" t="s">
        <v>1535</v>
      </c>
      <c r="C616" s="7">
        <v>124058.84200000008</v>
      </c>
      <c r="D616" s="7">
        <v>117908.9010000001</v>
      </c>
      <c r="E616" s="7">
        <v>103971.27499999985</v>
      </c>
      <c r="F616" s="7">
        <f t="shared" si="1"/>
        <v>345939.018</v>
      </c>
      <c r="G616" s="14">
        <f t="shared" si="2"/>
        <v>0.01201769132</v>
      </c>
      <c r="I616" s="12"/>
      <c r="J616" s="12"/>
      <c r="K616" s="12"/>
      <c r="L616" s="12"/>
      <c r="M616" s="12">
        <v>43993.0</v>
      </c>
      <c r="N616" s="2">
        <v>300.61</v>
      </c>
      <c r="O616" s="3">
        <v>44141.0</v>
      </c>
      <c r="P616" s="4" t="str">
        <f t="array" ref="P616">XLOOKUP(O616,Agregado!$B$2:$B$1511,Agregado!$G$2:$G$1511)</f>
        <v>#N/A</v>
      </c>
    </row>
    <row r="617" ht="15.75" customHeight="1">
      <c r="B617" s="13" t="s">
        <v>1536</v>
      </c>
      <c r="C617" s="7">
        <v>120532.98000000008</v>
      </c>
      <c r="D617" s="7">
        <v>117444.5410000001</v>
      </c>
      <c r="E617" s="7">
        <v>103946.87699999985</v>
      </c>
      <c r="F617" s="7">
        <f t="shared" si="1"/>
        <v>341924.398</v>
      </c>
      <c r="G617" s="14">
        <f t="shared" si="2"/>
        <v>-0.01167285682</v>
      </c>
      <c r="I617" s="12"/>
      <c r="J617" s="12"/>
      <c r="K617" s="12"/>
      <c r="L617" s="12"/>
      <c r="M617" s="12">
        <v>43994.0</v>
      </c>
      <c r="N617" s="2">
        <v>304.21</v>
      </c>
      <c r="O617" s="3">
        <v>44171.0</v>
      </c>
      <c r="P617" s="4" t="str">
        <f t="array" ref="P617">XLOOKUP(O617,Agregado!$B$2:$B$1511,Agregado!$G$2:$G$1511)</f>
        <v>#N/A</v>
      </c>
    </row>
    <row r="618" ht="15.75" customHeight="1">
      <c r="B618" s="13" t="s">
        <v>1537</v>
      </c>
      <c r="C618" s="7">
        <v>121704.46100000008</v>
      </c>
      <c r="D618" s="7">
        <v>117369.1880000001</v>
      </c>
      <c r="E618" s="7">
        <v>103882.02299999984</v>
      </c>
      <c r="F618" s="7">
        <f t="shared" si="1"/>
        <v>342955.672</v>
      </c>
      <c r="G618" s="14">
        <f t="shared" si="2"/>
        <v>0.003011548517</v>
      </c>
      <c r="I618" s="12"/>
      <c r="J618" s="12"/>
      <c r="K618" s="12"/>
      <c r="L618" s="12"/>
      <c r="M618" s="12">
        <v>43997.0</v>
      </c>
      <c r="N618" s="2">
        <v>307.05</v>
      </c>
      <c r="O618" s="3" t="s">
        <v>368</v>
      </c>
      <c r="P618" s="4" t="str">
        <f t="array" ref="P618">XLOOKUP(O618,Agregado!$B$2:$B$1511,Agregado!$G$2:$G$1511)</f>
        <v>#N/A</v>
      </c>
    </row>
    <row r="619" ht="15.75" customHeight="1">
      <c r="B619" s="13" t="s">
        <v>1538</v>
      </c>
      <c r="C619" s="7">
        <v>117443.26400000008</v>
      </c>
      <c r="D619" s="7">
        <v>120240.2670000001</v>
      </c>
      <c r="E619" s="7">
        <v>103912.64799999984</v>
      </c>
      <c r="F619" s="7">
        <f t="shared" si="1"/>
        <v>341596.179</v>
      </c>
      <c r="G619" s="14">
        <f t="shared" si="2"/>
        <v>-0.003971926408</v>
      </c>
      <c r="I619" s="12"/>
      <c r="J619" s="12"/>
      <c r="K619" s="12"/>
      <c r="L619" s="12"/>
      <c r="M619" s="12">
        <v>43998.0</v>
      </c>
      <c r="N619" s="2">
        <v>312.96</v>
      </c>
      <c r="O619" s="3" t="s">
        <v>369</v>
      </c>
      <c r="P619" s="4" t="str">
        <f t="array" ref="P619">XLOOKUP(O619,Agregado!$B$2:$B$1511,Agregado!$G$2:$G$1511)</f>
        <v>#N/A</v>
      </c>
    </row>
    <row r="620" ht="15.75" customHeight="1">
      <c r="B620" s="13" t="s">
        <v>1539</v>
      </c>
      <c r="C620" s="7">
        <v>115709.27100000008</v>
      </c>
      <c r="D620" s="7">
        <v>120209.5940000001</v>
      </c>
      <c r="E620" s="7">
        <v>103951.49899999984</v>
      </c>
      <c r="F620" s="7">
        <f t="shared" si="1"/>
        <v>339870.364</v>
      </c>
      <c r="G620" s="14">
        <f t="shared" si="2"/>
        <v>-0.005065013704</v>
      </c>
      <c r="I620" s="12"/>
      <c r="J620" s="12"/>
      <c r="K620" s="12"/>
      <c r="L620" s="12"/>
      <c r="M620" s="12">
        <v>43999.0</v>
      </c>
      <c r="N620" s="2">
        <v>311.66</v>
      </c>
      <c r="O620" s="3" t="s">
        <v>370</v>
      </c>
      <c r="P620" s="4" t="str">
        <f t="array" ref="P620">XLOOKUP(O620,Agregado!$B$2:$B$1511,Agregado!$G$2:$G$1511)</f>
        <v>#N/A</v>
      </c>
    </row>
    <row r="621" ht="15.75" customHeight="1">
      <c r="B621" s="13" t="s">
        <v>1540</v>
      </c>
      <c r="C621" s="7">
        <v>118633.02600000009</v>
      </c>
      <c r="D621" s="7">
        <v>120240.8480000001</v>
      </c>
      <c r="E621" s="7">
        <v>104044.80499999983</v>
      </c>
      <c r="F621" s="7">
        <f t="shared" si="1"/>
        <v>342918.679</v>
      </c>
      <c r="G621" s="14">
        <f t="shared" si="2"/>
        <v>0.008929069042</v>
      </c>
      <c r="I621" s="12"/>
      <c r="J621" s="12"/>
      <c r="K621" s="12"/>
      <c r="L621" s="12"/>
      <c r="M621" s="12">
        <v>44000.0</v>
      </c>
      <c r="N621" s="2">
        <v>311.78</v>
      </c>
      <c r="O621" s="3" t="s">
        <v>371</v>
      </c>
      <c r="P621" s="4" t="str">
        <f t="array" ref="P621">XLOOKUP(O621,Agregado!$B$2:$B$1511,Agregado!$G$2:$G$1511)</f>
        <v>#N/A</v>
      </c>
    </row>
    <row r="622" ht="15.75" customHeight="1">
      <c r="B622" s="13" t="s">
        <v>1541</v>
      </c>
      <c r="C622" s="7">
        <v>116249.43300000009</v>
      </c>
      <c r="D622" s="7">
        <v>120240.8480000001</v>
      </c>
      <c r="E622" s="7">
        <v>106689.91099999983</v>
      </c>
      <c r="F622" s="7">
        <f t="shared" si="1"/>
        <v>343180.192</v>
      </c>
      <c r="G622" s="14">
        <f t="shared" si="2"/>
        <v>0.0007623187378</v>
      </c>
      <c r="I622" s="12"/>
      <c r="J622" s="12"/>
      <c r="K622" s="12"/>
      <c r="L622" s="12"/>
      <c r="M622" s="12">
        <v>44001.0</v>
      </c>
      <c r="N622" s="2">
        <v>308.64</v>
      </c>
      <c r="O622" s="3" t="s">
        <v>372</v>
      </c>
      <c r="P622" s="4" t="str">
        <f t="array" ref="P622">XLOOKUP(O622,Agregado!$B$2:$B$1511,Agregado!$G$2:$G$1511)</f>
        <v>#N/A</v>
      </c>
    </row>
    <row r="623" ht="15.75" customHeight="1">
      <c r="B623" s="13" t="s">
        <v>1542</v>
      </c>
      <c r="C623" s="7">
        <v>116982.1050000001</v>
      </c>
      <c r="D623" s="7">
        <v>120365.4940000001</v>
      </c>
      <c r="E623" s="7">
        <v>110367.55999999984</v>
      </c>
      <c r="F623" s="7">
        <f t="shared" si="1"/>
        <v>347715.159</v>
      </c>
      <c r="G623" s="14">
        <f t="shared" si="2"/>
        <v>0.01312798566</v>
      </c>
      <c r="I623" s="12"/>
      <c r="J623" s="12"/>
      <c r="K623" s="12"/>
      <c r="L623" s="12"/>
      <c r="M623" s="12">
        <v>44004.0</v>
      </c>
      <c r="N623" s="2">
        <v>310.62</v>
      </c>
      <c r="O623" s="3" t="s">
        <v>373</v>
      </c>
      <c r="P623" s="4" t="str">
        <f t="array" ref="P623">XLOOKUP(O623,Agregado!$B$2:$B$1511,Agregado!$G$2:$G$1511)</f>
        <v>#N/A</v>
      </c>
    </row>
    <row r="624" ht="15.75" customHeight="1">
      <c r="B624" s="13" t="s">
        <v>1543</v>
      </c>
      <c r="C624" s="7">
        <v>115623.77000000009</v>
      </c>
      <c r="D624" s="7">
        <v>120365.4940000001</v>
      </c>
      <c r="E624" s="7">
        <v>109635.00399999984</v>
      </c>
      <c r="F624" s="7">
        <f t="shared" si="1"/>
        <v>345624.268</v>
      </c>
      <c r="G624" s="14">
        <f t="shared" si="2"/>
        <v>-0.006031381621</v>
      </c>
      <c r="I624" s="12"/>
      <c r="J624" s="12"/>
      <c r="K624" s="12"/>
      <c r="L624" s="12"/>
      <c r="M624" s="12">
        <v>44005.0</v>
      </c>
      <c r="N624" s="2">
        <v>312.05</v>
      </c>
      <c r="O624" s="3" t="s">
        <v>374</v>
      </c>
      <c r="P624" s="4" t="str">
        <f t="array" ref="P624">XLOOKUP(O624,Agregado!$B$2:$B$1511,Agregado!$G$2:$G$1511)</f>
        <v>#N/A</v>
      </c>
    </row>
    <row r="625" ht="15.75" customHeight="1">
      <c r="B625" s="13" t="s">
        <v>1544</v>
      </c>
      <c r="C625" s="7">
        <v>117472.51600000009</v>
      </c>
      <c r="D625" s="7">
        <v>120209.53100000009</v>
      </c>
      <c r="E625" s="7">
        <v>109739.98999999985</v>
      </c>
      <c r="F625" s="7">
        <f t="shared" si="1"/>
        <v>347422.037</v>
      </c>
      <c r="G625" s="14">
        <f t="shared" si="2"/>
        <v>0.005188031505</v>
      </c>
      <c r="I625" s="12"/>
      <c r="J625" s="12"/>
      <c r="K625" s="12"/>
      <c r="L625" s="12"/>
      <c r="M625" s="12">
        <v>44006.0</v>
      </c>
      <c r="N625" s="2">
        <v>304.09</v>
      </c>
      <c r="O625" s="3" t="s">
        <v>375</v>
      </c>
      <c r="P625" s="4" t="str">
        <f t="array" ref="P625">XLOOKUP(O625,Agregado!$B$2:$B$1511,Agregado!$G$2:$G$1511)</f>
        <v>#N/A</v>
      </c>
    </row>
    <row r="626" ht="15.75" customHeight="1">
      <c r="B626" s="13" t="s">
        <v>1545</v>
      </c>
      <c r="C626" s="7">
        <v>119500.86300000008</v>
      </c>
      <c r="D626" s="7">
        <v>120225.19400000009</v>
      </c>
      <c r="E626" s="7">
        <v>109737.35499999985</v>
      </c>
      <c r="F626" s="7">
        <f t="shared" si="1"/>
        <v>349463.412</v>
      </c>
      <c r="G626" s="14">
        <f t="shared" si="2"/>
        <v>0.005858583622</v>
      </c>
      <c r="I626" s="12"/>
      <c r="J626" s="12"/>
      <c r="K626" s="12"/>
      <c r="L626" s="12"/>
      <c r="M626" s="12">
        <v>44007.0</v>
      </c>
      <c r="N626" s="2">
        <v>307.35</v>
      </c>
      <c r="O626" s="3" t="s">
        <v>376</v>
      </c>
      <c r="P626" s="4" t="str">
        <f t="array" ref="P626">XLOOKUP(O626,Agregado!$B$2:$B$1511,Agregado!$G$2:$G$1511)</f>
        <v>#N/A</v>
      </c>
    </row>
    <row r="627" ht="15.75" customHeight="1">
      <c r="B627" s="13" t="s">
        <v>1546</v>
      </c>
      <c r="C627" s="7">
        <v>118300.11100000009</v>
      </c>
      <c r="D627" s="7">
        <v>120454.07500000008</v>
      </c>
      <c r="E627" s="7">
        <v>110004.31599999985</v>
      </c>
      <c r="F627" s="7">
        <f t="shared" si="1"/>
        <v>348758.502</v>
      </c>
      <c r="G627" s="14">
        <f t="shared" si="2"/>
        <v>-0.002019158166</v>
      </c>
      <c r="I627" s="12"/>
      <c r="J627" s="12"/>
      <c r="K627" s="12"/>
      <c r="L627" s="12"/>
      <c r="M627" s="12">
        <v>44008.0</v>
      </c>
      <c r="N627" s="2">
        <v>300.05</v>
      </c>
      <c r="O627" s="3" t="s">
        <v>377</v>
      </c>
      <c r="P627" s="4" t="str">
        <f t="array" ref="P627">XLOOKUP(O627,Agregado!$B$2:$B$1511,Agregado!$G$2:$G$1511)</f>
        <v>#N/A</v>
      </c>
    </row>
    <row r="628" ht="15.75" customHeight="1">
      <c r="B628" s="13" t="s">
        <v>1547</v>
      </c>
      <c r="C628" s="7">
        <v>119022.34400000008</v>
      </c>
      <c r="D628" s="7">
        <v>120778.03300000008</v>
      </c>
      <c r="E628" s="7">
        <v>111103.37099999984</v>
      </c>
      <c r="F628" s="7">
        <f t="shared" si="1"/>
        <v>350903.748</v>
      </c>
      <c r="G628" s="14">
        <f t="shared" si="2"/>
        <v>0.006132252305</v>
      </c>
      <c r="I628" s="12"/>
      <c r="J628" s="12"/>
      <c r="K628" s="12"/>
      <c r="L628" s="12"/>
      <c r="M628" s="12">
        <v>44011.0</v>
      </c>
      <c r="N628" s="2">
        <v>304.46</v>
      </c>
      <c r="O628" s="3" t="s">
        <v>378</v>
      </c>
      <c r="P628" s="4" t="str">
        <f t="array" ref="P628">XLOOKUP(O628,Agregado!$B$2:$B$1511,Agregado!$G$2:$G$1511)</f>
        <v>#N/A</v>
      </c>
    </row>
    <row r="629" ht="15.75" customHeight="1">
      <c r="B629" s="13" t="s">
        <v>1548</v>
      </c>
      <c r="C629" s="7">
        <v>117822.79800000008</v>
      </c>
      <c r="D629" s="7">
        <v>120778.03300000008</v>
      </c>
      <c r="E629" s="7">
        <v>110417.96899999984</v>
      </c>
      <c r="F629" s="7">
        <f t="shared" si="1"/>
        <v>349018.8</v>
      </c>
      <c r="G629" s="14">
        <f t="shared" si="2"/>
        <v>-0.005386174691</v>
      </c>
      <c r="I629" s="12"/>
      <c r="J629" s="12"/>
      <c r="K629" s="12"/>
      <c r="L629" s="12"/>
      <c r="M629" s="12">
        <v>44012.0</v>
      </c>
      <c r="N629" s="2">
        <v>308.36</v>
      </c>
      <c r="O629" s="3" t="s">
        <v>379</v>
      </c>
      <c r="P629" s="4" t="str">
        <f t="array" ref="P629">XLOOKUP(O629,Agregado!$B$2:$B$1511,Agregado!$G$2:$G$1511)</f>
        <v>#N/A</v>
      </c>
    </row>
    <row r="630" ht="15.75" customHeight="1">
      <c r="B630" s="13" t="s">
        <v>1549</v>
      </c>
      <c r="C630" s="7">
        <v>118203.20600000008</v>
      </c>
      <c r="D630" s="7">
        <v>120793.30900000008</v>
      </c>
      <c r="E630" s="7">
        <v>110515.82199999984</v>
      </c>
      <c r="F630" s="7">
        <f t="shared" si="1"/>
        <v>349512.337</v>
      </c>
      <c r="G630" s="14">
        <f t="shared" si="2"/>
        <v>0.001413071103</v>
      </c>
      <c r="I630" s="12"/>
      <c r="J630" s="12"/>
      <c r="K630" s="12"/>
      <c r="L630" s="12"/>
      <c r="M630" s="12">
        <v>44013.0</v>
      </c>
      <c r="N630" s="2">
        <v>310.52</v>
      </c>
      <c r="O630" s="3">
        <v>43837.0</v>
      </c>
      <c r="P630" s="4" t="str">
        <f t="array" ref="P630">XLOOKUP(O630,Agregado!$B$2:$B$1511,Agregado!$G$2:$G$1511)</f>
        <v>#N/A</v>
      </c>
    </row>
    <row r="631" ht="15.75" customHeight="1">
      <c r="B631" s="13" t="s">
        <v>1550</v>
      </c>
      <c r="C631" s="7">
        <v>117894.16700000007</v>
      </c>
      <c r="D631" s="7">
        <v>120793.30900000008</v>
      </c>
      <c r="E631" s="7">
        <v>110331.30799999984</v>
      </c>
      <c r="F631" s="7">
        <f t="shared" si="1"/>
        <v>349018.784</v>
      </c>
      <c r="G631" s="14">
        <f t="shared" si="2"/>
        <v>-0.001413116946</v>
      </c>
      <c r="I631" s="12"/>
      <c r="J631" s="12"/>
      <c r="K631" s="12"/>
      <c r="L631" s="12"/>
      <c r="M631" s="12">
        <v>44014.0</v>
      </c>
      <c r="N631" s="2">
        <v>312.23</v>
      </c>
      <c r="O631" s="3">
        <v>43868.0</v>
      </c>
      <c r="P631" s="4" t="str">
        <f t="array" ref="P631">XLOOKUP(O631,Agregado!$B$2:$B$1511,Agregado!$G$2:$G$1511)</f>
        <v>#N/A</v>
      </c>
    </row>
    <row r="632" ht="15.75" customHeight="1">
      <c r="B632" s="13" t="s">
        <v>1551</v>
      </c>
      <c r="C632" s="7">
        <v>118189.23600000008</v>
      </c>
      <c r="D632" s="7">
        <v>120652.99100000008</v>
      </c>
      <c r="E632" s="7">
        <v>110442.39999999985</v>
      </c>
      <c r="F632" s="7">
        <f t="shared" si="1"/>
        <v>349284.627</v>
      </c>
      <c r="G632" s="14">
        <f t="shared" si="2"/>
        <v>0.0007613968618</v>
      </c>
      <c r="I632" s="12"/>
      <c r="J632" s="12"/>
      <c r="K632" s="12"/>
      <c r="L632" s="12"/>
      <c r="M632" s="12">
        <v>44018.0</v>
      </c>
      <c r="N632" s="2">
        <v>317.05</v>
      </c>
      <c r="O632" s="3">
        <v>43989.0</v>
      </c>
      <c r="P632" s="4" t="str">
        <f t="array" ref="P632">XLOOKUP(O632,Agregado!$B$2:$B$1511,Agregado!$G$2:$G$1511)</f>
        <v>#N/A</v>
      </c>
    </row>
    <row r="633" ht="15.75" customHeight="1">
      <c r="B633" s="13" t="s">
        <v>1552</v>
      </c>
      <c r="C633" s="7">
        <v>118329.66900000008</v>
      </c>
      <c r="D633" s="7">
        <v>120433.67800000009</v>
      </c>
      <c r="E633" s="7">
        <v>110453.66699999986</v>
      </c>
      <c r="F633" s="7">
        <f t="shared" si="1"/>
        <v>349217.014</v>
      </c>
      <c r="G633" s="14">
        <f t="shared" si="2"/>
        <v>-0.0001935943919</v>
      </c>
      <c r="I633" s="12"/>
      <c r="J633" s="12"/>
      <c r="K633" s="12"/>
      <c r="L633" s="12"/>
      <c r="M633" s="12">
        <v>44019.0</v>
      </c>
      <c r="N633" s="2">
        <v>313.78</v>
      </c>
      <c r="O633" s="3">
        <v>44019.0</v>
      </c>
      <c r="P633" s="4" t="str">
        <f t="array" ref="P633">XLOOKUP(O633,Agregado!$B$2:$B$1511,Agregado!$G$2:$G$1511)</f>
        <v>#N/A</v>
      </c>
    </row>
    <row r="634" ht="15.75" customHeight="1">
      <c r="B634" s="13" t="s">
        <v>1553</v>
      </c>
      <c r="C634" s="7">
        <v>117917.52600000009</v>
      </c>
      <c r="D634" s="7">
        <v>120258.62400000008</v>
      </c>
      <c r="E634" s="7">
        <v>110332.02899999985</v>
      </c>
      <c r="F634" s="7">
        <f t="shared" si="1"/>
        <v>348508.179</v>
      </c>
      <c r="G634" s="14">
        <f t="shared" si="2"/>
        <v>-0.002031846495</v>
      </c>
      <c r="I634" s="12"/>
      <c r="J634" s="12"/>
      <c r="K634" s="12"/>
      <c r="L634" s="12"/>
      <c r="M634" s="12">
        <v>44020.0</v>
      </c>
      <c r="N634" s="2">
        <v>316.18</v>
      </c>
      <c r="O634" s="3">
        <v>44050.0</v>
      </c>
      <c r="P634" s="4" t="str">
        <f t="array" ref="P634">XLOOKUP(O634,Agregado!$B$2:$B$1511,Agregado!$G$2:$G$1511)</f>
        <v>#N/A</v>
      </c>
    </row>
    <row r="635" ht="15.75" customHeight="1">
      <c r="B635" s="13" t="s">
        <v>1554</v>
      </c>
      <c r="C635" s="7">
        <v>118638.81800000009</v>
      </c>
      <c r="D635" s="7">
        <v>120416.04300000008</v>
      </c>
      <c r="E635" s="7">
        <v>110422.30699999986</v>
      </c>
      <c r="F635" s="7">
        <f t="shared" si="1"/>
        <v>349477.168</v>
      </c>
      <c r="G635" s="14">
        <f t="shared" si="2"/>
        <v>0.00277653285</v>
      </c>
      <c r="I635" s="12"/>
      <c r="J635" s="12"/>
      <c r="K635" s="12"/>
      <c r="L635" s="12"/>
      <c r="M635" s="12">
        <v>44021.0</v>
      </c>
      <c r="N635" s="2">
        <v>314.38</v>
      </c>
      <c r="O635" s="3">
        <v>44081.0</v>
      </c>
      <c r="P635" s="4" t="str">
        <f t="array" ref="P635">XLOOKUP(O635,Agregado!$B$2:$B$1511,Agregado!$G$2:$G$1511)</f>
        <v>#N/A</v>
      </c>
    </row>
    <row r="636" ht="15.75" customHeight="1">
      <c r="B636" s="13" t="s">
        <v>1555</v>
      </c>
      <c r="C636" s="7">
        <v>116710.82500000008</v>
      </c>
      <c r="D636" s="7">
        <v>120320.85100000008</v>
      </c>
      <c r="E636" s="7">
        <v>110465.87499999985</v>
      </c>
      <c r="F636" s="7">
        <f t="shared" si="1"/>
        <v>347497.551</v>
      </c>
      <c r="G636" s="14">
        <f t="shared" si="2"/>
        <v>-0.005680614431</v>
      </c>
      <c r="I636" s="12"/>
      <c r="J636" s="12"/>
      <c r="K636" s="12"/>
      <c r="L636" s="12"/>
      <c r="M636" s="12">
        <v>44022.0</v>
      </c>
      <c r="N636" s="2">
        <v>317.59</v>
      </c>
      <c r="O636" s="3">
        <v>44111.0</v>
      </c>
      <c r="P636" s="4" t="str">
        <f t="array" ref="P636">XLOOKUP(O636,Agregado!$B$2:$B$1511,Agregado!$G$2:$G$1511)</f>
        <v>#N/A</v>
      </c>
    </row>
    <row r="637" ht="15.75" customHeight="1">
      <c r="B637" s="13" t="s">
        <v>1556</v>
      </c>
      <c r="C637" s="7">
        <v>114966.07400000008</v>
      </c>
      <c r="D637" s="7">
        <v>120289.29100000008</v>
      </c>
      <c r="E637" s="7">
        <v>110546.75899999986</v>
      </c>
      <c r="F637" s="7">
        <f t="shared" si="1"/>
        <v>345802.124</v>
      </c>
      <c r="G637" s="14">
        <f t="shared" si="2"/>
        <v>-0.004890901989</v>
      </c>
      <c r="I637" s="12"/>
      <c r="J637" s="12"/>
      <c r="K637" s="12"/>
      <c r="L637" s="12"/>
      <c r="M637" s="12">
        <v>44025.0</v>
      </c>
      <c r="N637" s="2">
        <v>314.84</v>
      </c>
      <c r="O637" s="3" t="s">
        <v>380</v>
      </c>
      <c r="P637" s="4" t="str">
        <f t="array" ref="P637">XLOOKUP(O637,Agregado!$B$2:$B$1511,Agregado!$G$2:$G$1511)</f>
        <v>#N/A</v>
      </c>
    </row>
    <row r="638" ht="15.75" customHeight="1">
      <c r="B638" s="13" t="s">
        <v>1557</v>
      </c>
      <c r="C638" s="7">
        <v>115061.37200000008</v>
      </c>
      <c r="D638" s="7">
        <v>120289.29100000008</v>
      </c>
      <c r="E638" s="7">
        <v>110532.41199999987</v>
      </c>
      <c r="F638" s="7">
        <f t="shared" si="1"/>
        <v>345883.075</v>
      </c>
      <c r="G638" s="14">
        <f t="shared" si="2"/>
        <v>0.0002340689102</v>
      </c>
      <c r="I638" s="12"/>
      <c r="J638" s="12"/>
      <c r="K638" s="12"/>
      <c r="L638" s="12"/>
      <c r="M638" s="12">
        <v>44026.0</v>
      </c>
      <c r="N638" s="2">
        <v>318.92</v>
      </c>
      <c r="O638" s="3" t="s">
        <v>381</v>
      </c>
      <c r="P638" s="4" t="str">
        <f t="array" ref="P638">XLOOKUP(O638,Agregado!$B$2:$B$1511,Agregado!$G$2:$G$1511)</f>
        <v>#N/A</v>
      </c>
    </row>
    <row r="639" ht="15.75" customHeight="1">
      <c r="B639" s="13" t="s">
        <v>1558</v>
      </c>
      <c r="C639" s="7">
        <v>116965.22200000008</v>
      </c>
      <c r="D639" s="7">
        <v>120131.33000000009</v>
      </c>
      <c r="E639" s="7">
        <v>110479.70399999987</v>
      </c>
      <c r="F639" s="7">
        <f t="shared" si="1"/>
        <v>347576.256</v>
      </c>
      <c r="G639" s="14">
        <f t="shared" si="2"/>
        <v>0.004883298238</v>
      </c>
      <c r="I639" s="12"/>
      <c r="J639" s="12"/>
      <c r="K639" s="12"/>
      <c r="L639" s="12"/>
      <c r="M639" s="12">
        <v>44027.0</v>
      </c>
      <c r="N639" s="2">
        <v>321.85</v>
      </c>
      <c r="O639" s="3" t="s">
        <v>382</v>
      </c>
      <c r="P639" s="4" t="str">
        <f t="array" ref="P639">XLOOKUP(O639,Agregado!$B$2:$B$1511,Agregado!$G$2:$G$1511)</f>
        <v>#N/A</v>
      </c>
    </row>
    <row r="640" ht="15.75" customHeight="1">
      <c r="B640" s="13" t="s">
        <v>1559</v>
      </c>
      <c r="C640" s="7">
        <v>115817.03500000008</v>
      </c>
      <c r="D640" s="7">
        <v>120579.60600000009</v>
      </c>
      <c r="E640" s="7">
        <v>110377.57599999987</v>
      </c>
      <c r="F640" s="7">
        <f t="shared" si="1"/>
        <v>346774.217</v>
      </c>
      <c r="G640" s="14">
        <f t="shared" si="2"/>
        <v>-0.002310185959</v>
      </c>
      <c r="I640" s="12"/>
      <c r="J640" s="12"/>
      <c r="K640" s="12"/>
      <c r="L640" s="12"/>
      <c r="M640" s="12">
        <v>44028.0</v>
      </c>
      <c r="N640" s="2">
        <v>320.79</v>
      </c>
      <c r="O640" s="3" t="s">
        <v>383</v>
      </c>
      <c r="P640" s="4" t="str">
        <f t="array" ref="P640">XLOOKUP(O640,Agregado!$B$2:$B$1511,Agregado!$G$2:$G$1511)</f>
        <v>#N/A</v>
      </c>
    </row>
    <row r="641" ht="15.75" customHeight="1">
      <c r="B641" s="13" t="s">
        <v>1560</v>
      </c>
      <c r="C641" s="7">
        <v>120000.97200000008</v>
      </c>
      <c r="D641" s="7">
        <v>120595.76200000009</v>
      </c>
      <c r="E641" s="7">
        <v>110163.88699999987</v>
      </c>
      <c r="F641" s="7">
        <f t="shared" si="1"/>
        <v>350760.621</v>
      </c>
      <c r="G641" s="14">
        <f t="shared" si="2"/>
        <v>0.01143010265</v>
      </c>
      <c r="I641" s="12"/>
      <c r="J641" s="12"/>
      <c r="K641" s="12"/>
      <c r="L641" s="12"/>
      <c r="M641" s="12">
        <v>44029.0</v>
      </c>
      <c r="N641" s="2">
        <v>321.72</v>
      </c>
      <c r="O641" s="3" t="s">
        <v>384</v>
      </c>
      <c r="P641" s="4" t="str">
        <f t="array" ref="P641">XLOOKUP(O641,Agregado!$B$2:$B$1511,Agregado!$G$2:$G$1511)</f>
        <v>#N/A</v>
      </c>
    </row>
    <row r="642" ht="15.75" customHeight="1">
      <c r="B642" s="13" t="s">
        <v>1561</v>
      </c>
      <c r="C642" s="7">
        <v>119086.81900000008</v>
      </c>
      <c r="D642" s="7">
        <v>120676.26600000009</v>
      </c>
      <c r="E642" s="7">
        <v>109678.87499999987</v>
      </c>
      <c r="F642" s="7">
        <f t="shared" si="1"/>
        <v>349441.96</v>
      </c>
      <c r="G642" s="14">
        <f t="shared" si="2"/>
        <v>-0.003766517276</v>
      </c>
      <c r="I642" s="12"/>
      <c r="J642" s="12"/>
      <c r="K642" s="12"/>
      <c r="L642" s="12"/>
      <c r="M642" s="12">
        <v>44032.0</v>
      </c>
      <c r="N642" s="2">
        <v>324.32</v>
      </c>
      <c r="O642" s="3" t="s">
        <v>385</v>
      </c>
      <c r="P642" s="4" t="str">
        <f t="array" ref="P642">XLOOKUP(O642,Agregado!$B$2:$B$1511,Agregado!$G$2:$G$1511)</f>
        <v>#N/A</v>
      </c>
    </row>
    <row r="643" ht="15.75" customHeight="1">
      <c r="B643" s="13" t="s">
        <v>1562</v>
      </c>
      <c r="C643" s="7">
        <v>121097.31800000007</v>
      </c>
      <c r="D643" s="7">
        <v>120724.70900000009</v>
      </c>
      <c r="E643" s="7">
        <v>109398.77299999987</v>
      </c>
      <c r="F643" s="7">
        <f t="shared" si="1"/>
        <v>351220.8</v>
      </c>
      <c r="G643" s="14">
        <f t="shared" si="2"/>
        <v>0.005077603445</v>
      </c>
      <c r="I643" s="12"/>
      <c r="J643" s="12"/>
      <c r="K643" s="12"/>
      <c r="L643" s="12"/>
      <c r="M643" s="12">
        <v>44033.0</v>
      </c>
      <c r="N643" s="2">
        <v>325.01</v>
      </c>
      <c r="O643" s="3" t="s">
        <v>386</v>
      </c>
      <c r="P643" s="4" t="str">
        <f t="array" ref="P643">XLOOKUP(O643,Agregado!$B$2:$B$1511,Agregado!$G$2:$G$1511)</f>
        <v>#N/A</v>
      </c>
    </row>
    <row r="644" ht="15.75" customHeight="1">
      <c r="B644" s="13" t="s">
        <v>1563</v>
      </c>
      <c r="C644" s="7">
        <v>119491.62000000007</v>
      </c>
      <c r="D644" s="7">
        <v>120838.69300000009</v>
      </c>
      <c r="E644" s="7">
        <v>109458.04299999987</v>
      </c>
      <c r="F644" s="7">
        <f t="shared" si="1"/>
        <v>349788.356</v>
      </c>
      <c r="G644" s="14">
        <f t="shared" si="2"/>
        <v>-0.004086811082</v>
      </c>
      <c r="I644" s="12"/>
      <c r="J644" s="12"/>
      <c r="K644" s="12"/>
      <c r="L644" s="12"/>
      <c r="M644" s="12">
        <v>44034.0</v>
      </c>
      <c r="N644" s="2">
        <v>326.86</v>
      </c>
      <c r="O644" s="3" t="s">
        <v>387</v>
      </c>
      <c r="P644" s="4" t="str">
        <f t="array" ref="P644">XLOOKUP(O644,Agregado!$B$2:$B$1511,Agregado!$G$2:$G$1511)</f>
        <v>#N/A</v>
      </c>
    </row>
    <row r="645" ht="15.75" customHeight="1">
      <c r="B645" s="13" t="s">
        <v>1564</v>
      </c>
      <c r="C645" s="7">
        <v>119914.03100000006</v>
      </c>
      <c r="D645" s="7">
        <v>120969.18100000008</v>
      </c>
      <c r="E645" s="7">
        <v>109658.27799999987</v>
      </c>
      <c r="F645" s="7">
        <f t="shared" si="1"/>
        <v>350541.49</v>
      </c>
      <c r="G645" s="14">
        <f t="shared" si="2"/>
        <v>0.002150798783</v>
      </c>
      <c r="I645" s="12"/>
      <c r="J645" s="12"/>
      <c r="K645" s="12"/>
      <c r="L645" s="12"/>
      <c r="M645" s="12">
        <v>44035.0</v>
      </c>
      <c r="N645" s="2">
        <v>322.96</v>
      </c>
      <c r="O645" s="3" t="s">
        <v>388</v>
      </c>
      <c r="P645" s="4" t="str">
        <f t="array" ref="P645">XLOOKUP(O645,Agregado!$B$2:$B$1511,Agregado!$G$2:$G$1511)</f>
        <v>#N/A</v>
      </c>
    </row>
    <row r="646" ht="15.75" customHeight="1">
      <c r="B646" s="13" t="s">
        <v>1565</v>
      </c>
      <c r="C646" s="7">
        <v>119195.06300000007</v>
      </c>
      <c r="D646" s="7">
        <v>121018.39600000008</v>
      </c>
      <c r="E646" s="7">
        <v>109345.88499999988</v>
      </c>
      <c r="F646" s="7">
        <f t="shared" si="1"/>
        <v>349559.344</v>
      </c>
      <c r="G646" s="14">
        <f t="shared" si="2"/>
        <v>-0.002805729108</v>
      </c>
      <c r="I646" s="12"/>
      <c r="J646" s="12"/>
      <c r="K646" s="12"/>
      <c r="L646" s="12"/>
      <c r="M646" s="12">
        <v>44036.0</v>
      </c>
      <c r="N646" s="2">
        <v>320.88</v>
      </c>
      <c r="O646" s="3" t="s">
        <v>389</v>
      </c>
      <c r="P646" s="4" t="str">
        <f t="array" ref="P646">XLOOKUP(O646,Agregado!$B$2:$B$1511,Agregado!$G$2:$G$1511)</f>
        <v>#N/A</v>
      </c>
    </row>
    <row r="647" ht="15.75" customHeight="1">
      <c r="B647" s="13" t="s">
        <v>1566</v>
      </c>
      <c r="C647" s="7">
        <v>120131.19600000007</v>
      </c>
      <c r="D647" s="7">
        <v>121083.21300000008</v>
      </c>
      <c r="E647" s="7">
        <v>109212.21499999988</v>
      </c>
      <c r="F647" s="7">
        <f t="shared" si="1"/>
        <v>350426.624</v>
      </c>
      <c r="G647" s="14">
        <f t="shared" si="2"/>
        <v>0.002477993798</v>
      </c>
      <c r="I647" s="12"/>
      <c r="J647" s="12"/>
      <c r="K647" s="12"/>
      <c r="L647" s="12"/>
      <c r="M647" s="12">
        <v>44039.0</v>
      </c>
      <c r="N647" s="2">
        <v>323.22</v>
      </c>
      <c r="O647" s="3" t="s">
        <v>390</v>
      </c>
      <c r="P647" s="4" t="str">
        <f t="array" ref="P647">XLOOKUP(O647,Agregado!$B$2:$B$1511,Agregado!$G$2:$G$1511)</f>
        <v>#N/A</v>
      </c>
    </row>
    <row r="648" ht="15.75" customHeight="1">
      <c r="B648" s="13" t="s">
        <v>1567</v>
      </c>
      <c r="C648" s="7">
        <v>120885.10200000007</v>
      </c>
      <c r="D648" s="7">
        <v>121034.90100000007</v>
      </c>
      <c r="E648" s="7">
        <v>108924.72999999988</v>
      </c>
      <c r="F648" s="7">
        <f t="shared" si="1"/>
        <v>350844.733</v>
      </c>
      <c r="G648" s="14">
        <f t="shared" si="2"/>
        <v>0.001192431561</v>
      </c>
      <c r="I648" s="12"/>
      <c r="J648" s="12"/>
      <c r="K648" s="12"/>
      <c r="L648" s="12"/>
      <c r="M648" s="12">
        <v>44040.0</v>
      </c>
      <c r="N648" s="2">
        <v>321.17</v>
      </c>
      <c r="O648" s="3" t="s">
        <v>391</v>
      </c>
      <c r="P648" s="4" t="str">
        <f t="array" ref="P648">XLOOKUP(O648,Agregado!$B$2:$B$1511,Agregado!$G$2:$G$1511)</f>
        <v>#N/A</v>
      </c>
    </row>
    <row r="649" ht="15.75" customHeight="1">
      <c r="B649" s="13" t="s">
        <v>1568</v>
      </c>
      <c r="C649" s="7">
        <v>118800.57500000007</v>
      </c>
      <c r="D649" s="7">
        <v>121180.91000000008</v>
      </c>
      <c r="E649" s="7">
        <v>108910.43099999988</v>
      </c>
      <c r="F649" s="7">
        <f t="shared" si="1"/>
        <v>348891.916</v>
      </c>
      <c r="G649" s="14">
        <f t="shared" si="2"/>
        <v>-0.005581591511</v>
      </c>
      <c r="I649" s="12"/>
      <c r="J649" s="12"/>
      <c r="K649" s="12"/>
      <c r="L649" s="12"/>
      <c r="M649" s="12">
        <v>44041.0</v>
      </c>
      <c r="N649" s="2">
        <v>325.12</v>
      </c>
      <c r="O649" s="3" t="s">
        <v>392</v>
      </c>
      <c r="P649" s="4" t="str">
        <f t="array" ref="P649">XLOOKUP(O649,Agregado!$B$2:$B$1511,Agregado!$G$2:$G$1511)</f>
        <v>#N/A</v>
      </c>
    </row>
    <row r="650" ht="15.75" customHeight="1">
      <c r="B650" s="13" t="s">
        <v>1569</v>
      </c>
      <c r="C650" s="7">
        <v>119314.32600000007</v>
      </c>
      <c r="D650" s="7">
        <v>121180.91000000008</v>
      </c>
      <c r="E650" s="7">
        <v>109056.06499999989</v>
      </c>
      <c r="F650" s="7">
        <f t="shared" si="1"/>
        <v>349551.301</v>
      </c>
      <c r="G650" s="14">
        <f t="shared" si="2"/>
        <v>0.001888156918</v>
      </c>
      <c r="I650" s="12"/>
      <c r="J650" s="12"/>
      <c r="K650" s="12"/>
      <c r="L650" s="12"/>
      <c r="M650" s="12">
        <v>44042.0</v>
      </c>
      <c r="N650" s="2">
        <v>323.96</v>
      </c>
      <c r="O650" s="3" t="s">
        <v>393</v>
      </c>
      <c r="P650" s="4" t="str">
        <f t="array" ref="P650">XLOOKUP(O650,Agregado!$B$2:$B$1511,Agregado!$G$2:$G$1511)</f>
        <v>#N/A</v>
      </c>
    </row>
    <row r="651" ht="15.75" customHeight="1">
      <c r="B651" s="13" t="s">
        <v>1570</v>
      </c>
      <c r="C651" s="7">
        <v>117136.28800000007</v>
      </c>
      <c r="D651" s="7">
        <v>121197.22900000008</v>
      </c>
      <c r="E651" s="7">
        <v>109118.21499999988</v>
      </c>
      <c r="F651" s="7">
        <f t="shared" si="1"/>
        <v>347451.732</v>
      </c>
      <c r="G651" s="14">
        <f t="shared" si="2"/>
        <v>-0.006024580241</v>
      </c>
      <c r="I651" s="12"/>
      <c r="J651" s="12"/>
      <c r="K651" s="12"/>
      <c r="L651" s="12"/>
      <c r="M651" s="12">
        <v>44043.0</v>
      </c>
      <c r="N651" s="2">
        <v>326.52</v>
      </c>
      <c r="O651" s="3" t="s">
        <v>394</v>
      </c>
      <c r="P651" s="4" t="str">
        <f t="array" ref="P651">XLOOKUP(O651,Agregado!$B$2:$B$1511,Agregado!$G$2:$G$1511)</f>
        <v>#N/A</v>
      </c>
    </row>
    <row r="652" ht="15.75" customHeight="1">
      <c r="B652" s="13" t="s">
        <v>1571</v>
      </c>
      <c r="C652" s="7">
        <v>117330.64200000008</v>
      </c>
      <c r="D652" s="7">
        <v>121197.22900000008</v>
      </c>
      <c r="E652" s="7">
        <v>109126.36299999988</v>
      </c>
      <c r="F652" s="7">
        <f t="shared" si="1"/>
        <v>347654.234</v>
      </c>
      <c r="G652" s="14">
        <f t="shared" si="2"/>
        <v>0.0005826507486</v>
      </c>
      <c r="I652" s="12"/>
      <c r="J652" s="12"/>
      <c r="K652" s="12"/>
      <c r="L652" s="12"/>
      <c r="M652" s="12">
        <v>44046.0</v>
      </c>
      <c r="N652" s="2">
        <v>328.79</v>
      </c>
      <c r="O652" s="3">
        <v>43898.0</v>
      </c>
      <c r="P652" s="4" t="str">
        <f t="array" ref="P652">XLOOKUP(O652,Agregado!$B$2:$B$1511,Agregado!$G$2:$G$1511)</f>
        <v>#N/A</v>
      </c>
    </row>
    <row r="653" ht="15.75" customHeight="1">
      <c r="B653" s="13" t="s">
        <v>1572</v>
      </c>
      <c r="C653" s="7">
        <v>115045.58100000008</v>
      </c>
      <c r="D653" s="7">
        <v>121311.93800000008</v>
      </c>
      <c r="E653" s="7">
        <v>109000.72499999987</v>
      </c>
      <c r="F653" s="7">
        <f t="shared" si="1"/>
        <v>345358.244</v>
      </c>
      <c r="G653" s="14">
        <f t="shared" si="2"/>
        <v>-0.006626138702</v>
      </c>
      <c r="I653" s="12"/>
      <c r="J653" s="12"/>
      <c r="K653" s="12"/>
      <c r="L653" s="12"/>
      <c r="M653" s="12">
        <v>44047.0</v>
      </c>
      <c r="N653" s="2">
        <v>330.06</v>
      </c>
      <c r="O653" s="3">
        <v>43929.0</v>
      </c>
      <c r="P653" s="4" t="str">
        <f t="array" ref="P653">XLOOKUP(O653,Agregado!$B$2:$B$1511,Agregado!$G$2:$G$1511)</f>
        <v>#N/A</v>
      </c>
    </row>
    <row r="654" ht="15.75" customHeight="1">
      <c r="B654" s="13" t="s">
        <v>1573</v>
      </c>
      <c r="C654" s="7">
        <v>117659.43400000008</v>
      </c>
      <c r="D654" s="7">
        <v>121130.38200000009</v>
      </c>
      <c r="E654" s="7">
        <v>108855.78099999987</v>
      </c>
      <c r="F654" s="7">
        <f t="shared" si="1"/>
        <v>347645.597</v>
      </c>
      <c r="G654" s="14">
        <f t="shared" si="2"/>
        <v>0.006601294743</v>
      </c>
      <c r="I654" s="12"/>
      <c r="J654" s="12"/>
      <c r="K654" s="12"/>
      <c r="L654" s="12"/>
      <c r="M654" s="12">
        <v>44048.0</v>
      </c>
      <c r="N654" s="2">
        <v>332.11</v>
      </c>
      <c r="O654" s="3">
        <v>43959.0</v>
      </c>
      <c r="P654" s="4" t="str">
        <f t="array" ref="P654">XLOOKUP(O654,Agregado!$B$2:$B$1511,Agregado!$G$2:$G$1511)</f>
        <v>#N/A</v>
      </c>
    </row>
    <row r="655" ht="15.75" customHeight="1">
      <c r="B655" s="13" t="s">
        <v>1574</v>
      </c>
      <c r="C655" s="7">
        <v>118005.90000000008</v>
      </c>
      <c r="D655" s="7">
        <v>121130.38200000009</v>
      </c>
      <c r="E655" s="7">
        <v>108624.29399999988</v>
      </c>
      <c r="F655" s="7">
        <f t="shared" si="1"/>
        <v>347760.576</v>
      </c>
      <c r="G655" s="14">
        <f t="shared" si="2"/>
        <v>0.0003306815657</v>
      </c>
      <c r="I655" s="12"/>
      <c r="J655" s="12"/>
      <c r="K655" s="12"/>
      <c r="L655" s="12"/>
      <c r="M655" s="12">
        <v>44049.0</v>
      </c>
      <c r="N655" s="2">
        <v>334.33</v>
      </c>
      <c r="O655" s="3">
        <v>43990.0</v>
      </c>
      <c r="P655" s="4" t="str">
        <f t="array" ref="P655">XLOOKUP(O655,Agregado!$B$2:$B$1511,Agregado!$G$2:$G$1511)</f>
        <v>#N/A</v>
      </c>
    </row>
    <row r="656" ht="15.75" customHeight="1">
      <c r="B656" s="13" t="s">
        <v>1575</v>
      </c>
      <c r="C656" s="7">
        <v>118603.65700000008</v>
      </c>
      <c r="D656" s="7">
        <v>121230.40900000009</v>
      </c>
      <c r="E656" s="7">
        <v>108590.62699999988</v>
      </c>
      <c r="F656" s="7">
        <f t="shared" si="1"/>
        <v>348424.693</v>
      </c>
      <c r="G656" s="14">
        <f t="shared" si="2"/>
        <v>0.001907874903</v>
      </c>
      <c r="I656" s="12"/>
      <c r="J656" s="12"/>
      <c r="K656" s="12"/>
      <c r="L656" s="12"/>
      <c r="M656" s="12">
        <v>44050.0</v>
      </c>
      <c r="N656" s="2">
        <v>334.57</v>
      </c>
      <c r="O656" s="3">
        <v>44020.0</v>
      </c>
      <c r="P656" s="4" t="str">
        <f t="array" ref="P656">XLOOKUP(O656,Agregado!$B$2:$B$1511,Agregado!$G$2:$G$1511)</f>
        <v>#N/A</v>
      </c>
    </row>
    <row r="657" ht="15.75" customHeight="1">
      <c r="B657" s="13" t="s">
        <v>1576</v>
      </c>
      <c r="C657" s="7">
        <v>118336.25200000008</v>
      </c>
      <c r="D657" s="7">
        <v>121230.40900000009</v>
      </c>
      <c r="E657" s="7">
        <v>108447.08799999987</v>
      </c>
      <c r="F657" s="7">
        <f t="shared" si="1"/>
        <v>348013.749</v>
      </c>
      <c r="G657" s="14">
        <f t="shared" si="2"/>
        <v>-0.001180130283</v>
      </c>
      <c r="I657" s="12"/>
      <c r="J657" s="12"/>
      <c r="K657" s="12"/>
      <c r="L657" s="12"/>
      <c r="M657" s="12">
        <v>44053.0</v>
      </c>
      <c r="N657" s="2">
        <v>335.57</v>
      </c>
      <c r="O657" s="3">
        <v>44112.0</v>
      </c>
      <c r="P657" s="4" t="str">
        <f t="array" ref="P657">XLOOKUP(O657,Agregado!$B$2:$B$1511,Agregado!$G$2:$G$1511)</f>
        <v>#N/A</v>
      </c>
    </row>
    <row r="658" ht="15.75" customHeight="1">
      <c r="B658" s="13" t="s">
        <v>1577</v>
      </c>
      <c r="C658" s="7">
        <v>117750.81400000009</v>
      </c>
      <c r="D658" s="7">
        <v>121297.58600000008</v>
      </c>
      <c r="E658" s="7">
        <v>108515.57899999987</v>
      </c>
      <c r="F658" s="7">
        <f t="shared" si="1"/>
        <v>347563.979</v>
      </c>
      <c r="G658" s="14">
        <f t="shared" si="2"/>
        <v>-0.001293227326</v>
      </c>
      <c r="I658" s="12"/>
      <c r="J658" s="12"/>
      <c r="K658" s="12"/>
      <c r="L658" s="12"/>
      <c r="M658" s="12">
        <v>44054.0</v>
      </c>
      <c r="N658" s="2">
        <v>332.8</v>
      </c>
      <c r="O658" s="3">
        <v>44143.0</v>
      </c>
      <c r="P658" s="4" t="str">
        <f t="array" ref="P658">XLOOKUP(O658,Agregado!$B$2:$B$1511,Agregado!$G$2:$G$1511)</f>
        <v>#N/A</v>
      </c>
    </row>
    <row r="659" ht="15.75" customHeight="1">
      <c r="B659" s="13" t="s">
        <v>1578</v>
      </c>
      <c r="C659" s="7">
        <v>119260.36500000009</v>
      </c>
      <c r="D659" s="7">
        <v>121567.03500000008</v>
      </c>
      <c r="E659" s="7">
        <v>108581.29999999987</v>
      </c>
      <c r="F659" s="7">
        <f t="shared" si="1"/>
        <v>349408.7</v>
      </c>
      <c r="G659" s="14">
        <f t="shared" si="2"/>
        <v>0.00529353693</v>
      </c>
      <c r="I659" s="12"/>
      <c r="J659" s="12"/>
      <c r="K659" s="12"/>
      <c r="L659" s="12"/>
      <c r="M659" s="12">
        <v>44055.0</v>
      </c>
      <c r="N659" s="2">
        <v>337.44</v>
      </c>
      <c r="O659" s="3">
        <v>44173.0</v>
      </c>
      <c r="P659" s="4" t="str">
        <f t="array" ref="P659">XLOOKUP(O659,Agregado!$B$2:$B$1511,Agregado!$G$2:$G$1511)</f>
        <v>#N/A</v>
      </c>
    </row>
    <row r="660" ht="15.75" customHeight="1">
      <c r="B660" s="13" t="s">
        <v>1579</v>
      </c>
      <c r="C660" s="7">
        <v>119277.00400000009</v>
      </c>
      <c r="D660" s="7">
        <v>121567.03500000008</v>
      </c>
      <c r="E660" s="7">
        <v>108897.68299999987</v>
      </c>
      <c r="F660" s="7">
        <f t="shared" si="1"/>
        <v>349741.722</v>
      </c>
      <c r="G660" s="14">
        <f t="shared" si="2"/>
        <v>0.0009526477127</v>
      </c>
      <c r="I660" s="12"/>
      <c r="J660" s="12"/>
      <c r="K660" s="12"/>
      <c r="L660" s="12"/>
      <c r="M660" s="12">
        <v>44056.0</v>
      </c>
      <c r="N660" s="2">
        <v>336.83</v>
      </c>
      <c r="O660" s="3" t="s">
        <v>395</v>
      </c>
      <c r="P660" s="4" t="str">
        <f t="array" ref="P660">XLOOKUP(O660,Agregado!$B$2:$B$1511,Agregado!$G$2:$G$1511)</f>
        <v>#N/A</v>
      </c>
    </row>
    <row r="661" ht="15.75" customHeight="1">
      <c r="B661" s="13" t="s">
        <v>1580</v>
      </c>
      <c r="C661" s="7">
        <v>118770.77300000009</v>
      </c>
      <c r="D661" s="7">
        <v>121380.66500000008</v>
      </c>
      <c r="E661" s="7">
        <v>109021.89599999988</v>
      </c>
      <c r="F661" s="7">
        <f t="shared" si="1"/>
        <v>349173.334</v>
      </c>
      <c r="G661" s="14">
        <f t="shared" si="2"/>
        <v>-0.001626486997</v>
      </c>
      <c r="I661" s="12"/>
      <c r="J661" s="12"/>
      <c r="K661" s="12"/>
      <c r="L661" s="12"/>
      <c r="M661" s="12">
        <v>44057.0</v>
      </c>
      <c r="N661" s="2">
        <v>336.84</v>
      </c>
      <c r="O661" s="3" t="s">
        <v>396</v>
      </c>
      <c r="P661" s="4" t="str">
        <f t="array" ref="P661">XLOOKUP(O661,Agregado!$B$2:$B$1511,Agregado!$G$2:$G$1511)</f>
        <v>#N/A</v>
      </c>
    </row>
    <row r="662" ht="15.75" customHeight="1">
      <c r="B662" s="13" t="s">
        <v>1581</v>
      </c>
      <c r="C662" s="7">
        <v>118450.7370000001</v>
      </c>
      <c r="D662" s="7">
        <v>121346.84100000009</v>
      </c>
      <c r="E662" s="7">
        <v>108410.47899999988</v>
      </c>
      <c r="F662" s="7">
        <f t="shared" si="1"/>
        <v>348208.057</v>
      </c>
      <c r="G662" s="14">
        <f t="shared" si="2"/>
        <v>-0.002768291867</v>
      </c>
      <c r="I662" s="12"/>
      <c r="J662" s="12"/>
      <c r="K662" s="12"/>
      <c r="L662" s="12"/>
      <c r="M662" s="12">
        <v>44060.0</v>
      </c>
      <c r="N662" s="2">
        <v>337.91</v>
      </c>
      <c r="O662" s="3" t="s">
        <v>397</v>
      </c>
      <c r="P662" s="4" t="str">
        <f t="array" ref="P662">XLOOKUP(O662,Agregado!$B$2:$B$1511,Agregado!$G$2:$G$1511)</f>
        <v>#N/A</v>
      </c>
    </row>
    <row r="663" ht="15.75" customHeight="1">
      <c r="B663" s="13" t="s">
        <v>1582</v>
      </c>
      <c r="C663" s="7">
        <v>117035.98900000009</v>
      </c>
      <c r="D663" s="7">
        <v>121059.36300000008</v>
      </c>
      <c r="E663" s="7">
        <v>108343.34399999988</v>
      </c>
      <c r="F663" s="7">
        <f t="shared" si="1"/>
        <v>346438.696</v>
      </c>
      <c r="G663" s="14">
        <f t="shared" si="2"/>
        <v>-0.005094286611</v>
      </c>
      <c r="I663" s="12"/>
      <c r="J663" s="12"/>
      <c r="K663" s="12"/>
      <c r="L663" s="12"/>
      <c r="M663" s="12">
        <v>44061.0</v>
      </c>
      <c r="N663" s="2">
        <v>338.64</v>
      </c>
      <c r="O663" s="3" t="s">
        <v>398</v>
      </c>
      <c r="P663" s="4" t="str">
        <f t="array" ref="P663">XLOOKUP(O663,Agregado!$B$2:$B$1511,Agregado!$G$2:$G$1511)</f>
        <v>#N/A</v>
      </c>
    </row>
    <row r="664" ht="15.75" customHeight="1">
      <c r="B664" s="13" t="s">
        <v>1583</v>
      </c>
      <c r="C664" s="7">
        <v>116377.35200000009</v>
      </c>
      <c r="D664" s="7">
        <v>121059.36300000008</v>
      </c>
      <c r="E664" s="7">
        <v>108286.12099999988</v>
      </c>
      <c r="F664" s="7">
        <f t="shared" si="1"/>
        <v>345722.836</v>
      </c>
      <c r="G664" s="14">
        <f t="shared" si="2"/>
        <v>-0.002068477435</v>
      </c>
      <c r="I664" s="12"/>
      <c r="J664" s="12"/>
      <c r="K664" s="12"/>
      <c r="L664" s="12"/>
      <c r="M664" s="12">
        <v>44062.0</v>
      </c>
      <c r="N664" s="2">
        <v>337.23</v>
      </c>
      <c r="O664" s="3" t="s">
        <v>399</v>
      </c>
      <c r="P664" s="4" t="str">
        <f t="array" ref="P664">XLOOKUP(O664,Agregado!$B$2:$B$1511,Agregado!$G$2:$G$1511)</f>
        <v>#N/A</v>
      </c>
    </row>
    <row r="665" ht="15.75" customHeight="1">
      <c r="B665" s="13" t="s">
        <v>1584</v>
      </c>
      <c r="C665" s="7">
        <v>116919.09700000008</v>
      </c>
      <c r="D665" s="7">
        <v>121008.36800000009</v>
      </c>
      <c r="E665" s="7">
        <v>108448.20799999988</v>
      </c>
      <c r="F665" s="7">
        <f t="shared" si="1"/>
        <v>346375.673</v>
      </c>
      <c r="G665" s="14">
        <f t="shared" si="2"/>
        <v>0.001886544141</v>
      </c>
      <c r="I665" s="12"/>
      <c r="J665" s="12"/>
      <c r="K665" s="12"/>
      <c r="L665" s="12"/>
      <c r="M665" s="12">
        <v>44063.0</v>
      </c>
      <c r="N665" s="2">
        <v>338.28</v>
      </c>
      <c r="O665" s="3" t="s">
        <v>400</v>
      </c>
      <c r="P665" s="4" t="str">
        <f t="array" ref="P665">XLOOKUP(O665,Agregado!$B$2:$B$1511,Agregado!$G$2:$G$1511)</f>
        <v>#N/A</v>
      </c>
    </row>
    <row r="666" ht="15.75" customHeight="1">
      <c r="B666" s="13" t="s">
        <v>1585</v>
      </c>
      <c r="C666" s="7">
        <v>117643.98900000009</v>
      </c>
      <c r="D666" s="7">
        <v>120856.03000000009</v>
      </c>
      <c r="E666" s="7">
        <v>108445.15399999988</v>
      </c>
      <c r="F666" s="7">
        <f t="shared" si="1"/>
        <v>346945.173</v>
      </c>
      <c r="G666" s="14">
        <f t="shared" si="2"/>
        <v>0.001642818419</v>
      </c>
      <c r="I666" s="12"/>
      <c r="J666" s="12"/>
      <c r="K666" s="12"/>
      <c r="L666" s="12"/>
      <c r="M666" s="12">
        <v>44064.0</v>
      </c>
      <c r="N666" s="2">
        <v>339.48</v>
      </c>
      <c r="O666" s="3" t="s">
        <v>401</v>
      </c>
      <c r="P666" s="4" t="str">
        <f t="array" ref="P666">XLOOKUP(O666,Agregado!$B$2:$B$1511,Agregado!$G$2:$G$1511)</f>
        <v>#N/A</v>
      </c>
    </row>
    <row r="667" ht="15.75" customHeight="1">
      <c r="B667" s="13" t="s">
        <v>1586</v>
      </c>
      <c r="C667" s="7">
        <v>117339.5810000001</v>
      </c>
      <c r="D667" s="7">
        <v>120856.03000000009</v>
      </c>
      <c r="E667" s="7">
        <v>108364.27899999988</v>
      </c>
      <c r="F667" s="7">
        <f t="shared" si="1"/>
        <v>346559.89</v>
      </c>
      <c r="G667" s="14">
        <f t="shared" si="2"/>
        <v>-0.001111118174</v>
      </c>
      <c r="I667" s="12"/>
      <c r="J667" s="12"/>
      <c r="K667" s="12"/>
      <c r="L667" s="12"/>
      <c r="M667" s="12">
        <v>44067.0</v>
      </c>
      <c r="N667" s="2">
        <v>342.92</v>
      </c>
      <c r="O667" s="3" t="s">
        <v>402</v>
      </c>
      <c r="P667" s="4" t="str">
        <f t="array" ref="P667">XLOOKUP(O667,Agregado!$B$2:$B$1511,Agregado!$G$2:$G$1511)</f>
        <v>#N/A</v>
      </c>
    </row>
    <row r="668" ht="15.75" customHeight="1">
      <c r="B668" s="13" t="s">
        <v>1587</v>
      </c>
      <c r="C668" s="7">
        <v>114590.34600000009</v>
      </c>
      <c r="D668" s="7">
        <v>120821.95000000008</v>
      </c>
      <c r="E668" s="7">
        <v>108340.18499999988</v>
      </c>
      <c r="F668" s="7">
        <f t="shared" si="1"/>
        <v>343752.481</v>
      </c>
      <c r="G668" s="14">
        <f t="shared" si="2"/>
        <v>-0.008133779998</v>
      </c>
      <c r="I668" s="12"/>
      <c r="J668" s="12"/>
      <c r="K668" s="12"/>
      <c r="L668" s="12"/>
      <c r="M668" s="12">
        <v>44068.0</v>
      </c>
      <c r="N668" s="2">
        <v>344.12</v>
      </c>
      <c r="O668" s="3" t="s">
        <v>403</v>
      </c>
      <c r="P668" s="4" t="str">
        <f t="array" ref="P668">XLOOKUP(O668,Agregado!$B$2:$B$1511,Agregado!$G$2:$G$1511)</f>
        <v>#N/A</v>
      </c>
    </row>
    <row r="669" ht="15.75" customHeight="1">
      <c r="B669" s="13" t="s">
        <v>1588</v>
      </c>
      <c r="C669" s="7">
        <v>113613.2140000001</v>
      </c>
      <c r="D669" s="7">
        <v>120787.52400000008</v>
      </c>
      <c r="E669" s="7">
        <v>108406.65199999989</v>
      </c>
      <c r="F669" s="7">
        <f t="shared" si="1"/>
        <v>342807.39</v>
      </c>
      <c r="G669" s="14">
        <f t="shared" si="2"/>
        <v>-0.002753122158</v>
      </c>
      <c r="I669" s="12"/>
      <c r="J669" s="12"/>
      <c r="K669" s="12"/>
      <c r="L669" s="12"/>
      <c r="M669" s="12">
        <v>44069.0</v>
      </c>
      <c r="N669" s="2">
        <v>347.57</v>
      </c>
      <c r="O669" s="3" t="s">
        <v>404</v>
      </c>
      <c r="P669" s="4" t="str">
        <f t="array" ref="P669">XLOOKUP(O669,Agregado!$B$2:$B$1511,Agregado!$G$2:$G$1511)</f>
        <v>#N/A</v>
      </c>
    </row>
    <row r="670" ht="15.75" customHeight="1">
      <c r="B670" s="13" t="s">
        <v>1589</v>
      </c>
      <c r="C670" s="7">
        <v>115488.48500000009</v>
      </c>
      <c r="D670" s="7">
        <v>120718.42300000008</v>
      </c>
      <c r="E670" s="7">
        <v>108419.29299999989</v>
      </c>
      <c r="F670" s="7">
        <f t="shared" si="1"/>
        <v>344626.201</v>
      </c>
      <c r="G670" s="14">
        <f t="shared" si="2"/>
        <v>0.005291610034</v>
      </c>
      <c r="I670" s="12"/>
      <c r="J670" s="12"/>
      <c r="K670" s="12"/>
      <c r="L670" s="12"/>
      <c r="M670" s="12">
        <v>44070.0</v>
      </c>
      <c r="N670" s="2">
        <v>348.33</v>
      </c>
      <c r="O670" s="3" t="s">
        <v>405</v>
      </c>
      <c r="P670" s="4" t="str">
        <f t="array" ref="P670">XLOOKUP(O670,Agregado!$B$2:$B$1511,Agregado!$G$2:$G$1511)</f>
        <v>#N/A</v>
      </c>
    </row>
    <row r="671" ht="15.75" customHeight="1">
      <c r="B671" s="13" t="s">
        <v>1590</v>
      </c>
      <c r="C671" s="7">
        <v>115071.37800000008</v>
      </c>
      <c r="D671" s="7">
        <v>120770.77700000009</v>
      </c>
      <c r="E671" s="7">
        <v>108582.01099999988</v>
      </c>
      <c r="F671" s="7">
        <f t="shared" si="1"/>
        <v>344424.166</v>
      </c>
      <c r="G671" s="14">
        <f t="shared" si="2"/>
        <v>-0.0005864157846</v>
      </c>
      <c r="I671" s="12"/>
      <c r="J671" s="12"/>
      <c r="K671" s="12"/>
      <c r="L671" s="12"/>
      <c r="M671" s="12">
        <v>44071.0</v>
      </c>
      <c r="N671" s="2">
        <v>350.58</v>
      </c>
      <c r="O671" s="3" t="s">
        <v>406</v>
      </c>
      <c r="P671" s="4" t="str">
        <f t="array" ref="P671">XLOOKUP(O671,Agregado!$B$2:$B$1511,Agregado!$G$2:$G$1511)</f>
        <v>#N/A</v>
      </c>
    </row>
    <row r="672" ht="15.75" customHeight="1">
      <c r="B672" s="13" t="s">
        <v>1591</v>
      </c>
      <c r="C672" s="7">
        <v>115332.52200000008</v>
      </c>
      <c r="D672" s="7">
        <v>120753.29500000009</v>
      </c>
      <c r="E672" s="7">
        <v>108655.50599999988</v>
      </c>
      <c r="F672" s="7">
        <f t="shared" si="1"/>
        <v>344741.323</v>
      </c>
      <c r="G672" s="14">
        <f t="shared" si="2"/>
        <v>0.0009204088929</v>
      </c>
      <c r="I672" s="12"/>
      <c r="J672" s="12"/>
      <c r="K672" s="12"/>
      <c r="L672" s="12"/>
      <c r="M672" s="12">
        <v>44074.0</v>
      </c>
      <c r="N672" s="2">
        <v>349.31</v>
      </c>
      <c r="O672" s="3" t="s">
        <v>407</v>
      </c>
      <c r="P672" s="4" t="str">
        <f t="array" ref="P672">XLOOKUP(O672,Agregado!$B$2:$B$1511,Agregado!$G$2:$G$1511)</f>
        <v>#N/A</v>
      </c>
    </row>
    <row r="673" ht="15.75" customHeight="1">
      <c r="B673" s="13" t="s">
        <v>1592</v>
      </c>
      <c r="C673" s="7">
        <v>114859.26400000008</v>
      </c>
      <c r="D673" s="7">
        <v>120700.49200000009</v>
      </c>
      <c r="E673" s="7">
        <v>108954.17999999988</v>
      </c>
      <c r="F673" s="7">
        <f t="shared" si="1"/>
        <v>344513.936</v>
      </c>
      <c r="G673" s="14">
        <f t="shared" si="2"/>
        <v>-0.0006598049279</v>
      </c>
      <c r="I673" s="12"/>
      <c r="J673" s="12"/>
      <c r="K673" s="12"/>
      <c r="L673" s="12"/>
      <c r="M673" s="12">
        <v>44075.0</v>
      </c>
      <c r="N673" s="2">
        <v>352.6</v>
      </c>
      <c r="O673" s="3">
        <v>43839.0</v>
      </c>
      <c r="P673" s="4" t="str">
        <f t="array" ref="P673">XLOOKUP(O673,Agregado!$B$2:$B$1511,Agregado!$G$2:$G$1511)</f>
        <v>#N/A</v>
      </c>
    </row>
    <row r="674" ht="15.75" customHeight="1">
      <c r="B674" s="13" t="s">
        <v>1593</v>
      </c>
      <c r="C674" s="7">
        <v>113494.91600000008</v>
      </c>
      <c r="D674" s="7">
        <v>120138.42900000009</v>
      </c>
      <c r="E674" s="7">
        <v>109092.89799999987</v>
      </c>
      <c r="F674" s="7">
        <f t="shared" si="1"/>
        <v>342726.243</v>
      </c>
      <c r="G674" s="14">
        <f t="shared" si="2"/>
        <v>-0.005202539336</v>
      </c>
      <c r="I674" s="12"/>
      <c r="J674" s="12"/>
      <c r="K674" s="12"/>
      <c r="L674" s="12"/>
      <c r="M674" s="12">
        <v>44076.0</v>
      </c>
      <c r="N674" s="2">
        <v>357.7</v>
      </c>
      <c r="O674" s="3">
        <v>43870.0</v>
      </c>
      <c r="P674" s="4" t="str">
        <f t="array" ref="P674">XLOOKUP(O674,Agregado!$B$2:$B$1511,Agregado!$G$2:$G$1511)</f>
        <v>#N/A</v>
      </c>
    </row>
    <row r="675" ht="15.75" customHeight="1">
      <c r="B675" s="13" t="s">
        <v>1594</v>
      </c>
      <c r="C675" s="7">
        <v>111045.28000000009</v>
      </c>
      <c r="D675" s="7">
        <v>120138.42900000009</v>
      </c>
      <c r="E675" s="7">
        <v>109179.57399999988</v>
      </c>
      <c r="F675" s="7">
        <f t="shared" si="1"/>
        <v>340363.283</v>
      </c>
      <c r="G675" s="14">
        <f t="shared" si="2"/>
        <v>-0.006918476526</v>
      </c>
      <c r="I675" s="12"/>
      <c r="J675" s="12"/>
      <c r="K675" s="12"/>
      <c r="L675" s="12"/>
      <c r="M675" s="12">
        <v>44077.0</v>
      </c>
      <c r="N675" s="2">
        <v>345.39</v>
      </c>
      <c r="O675" s="3">
        <v>43899.0</v>
      </c>
      <c r="P675" s="4" t="str">
        <f t="array" ref="P675">XLOOKUP(O675,Agregado!$B$2:$B$1511,Agregado!$G$2:$G$1511)</f>
        <v>#N/A</v>
      </c>
    </row>
    <row r="676" ht="15.75" customHeight="1">
      <c r="B676" s="13" t="s">
        <v>1595</v>
      </c>
      <c r="C676" s="7">
        <v>113228.48600000009</v>
      </c>
      <c r="D676" s="7">
        <v>120048.57500000008</v>
      </c>
      <c r="E676" s="7">
        <v>109463.92399999988</v>
      </c>
      <c r="F676" s="7">
        <f t="shared" si="1"/>
        <v>342740.985</v>
      </c>
      <c r="G676" s="14">
        <f t="shared" si="2"/>
        <v>0.006961489523</v>
      </c>
      <c r="I676" s="12"/>
      <c r="J676" s="12"/>
      <c r="K676" s="12"/>
      <c r="L676" s="12"/>
      <c r="M676" s="12">
        <v>44078.0</v>
      </c>
      <c r="N676" s="2">
        <v>342.57</v>
      </c>
      <c r="O676" s="3">
        <v>43930.0</v>
      </c>
      <c r="P676" s="4" t="str">
        <f t="array" ref="P676">XLOOKUP(O676,Agregado!$B$2:$B$1511,Agregado!$G$2:$G$1511)</f>
        <v>#N/A</v>
      </c>
    </row>
    <row r="677" ht="15.75" customHeight="1">
      <c r="B677" s="13" t="s">
        <v>1596</v>
      </c>
      <c r="C677" s="7">
        <v>113712.0890000001</v>
      </c>
      <c r="D677" s="7">
        <v>120048.57500000008</v>
      </c>
      <c r="E677" s="7">
        <v>109151.81699999988</v>
      </c>
      <c r="F677" s="7">
        <f t="shared" si="1"/>
        <v>342912.481</v>
      </c>
      <c r="G677" s="14">
        <f t="shared" si="2"/>
        <v>0.0005002410462</v>
      </c>
      <c r="I677" s="12"/>
      <c r="J677" s="12"/>
      <c r="K677" s="12"/>
      <c r="L677" s="12"/>
      <c r="M677" s="12">
        <v>44082.0</v>
      </c>
      <c r="N677" s="2">
        <v>333.21</v>
      </c>
      <c r="O677" s="3">
        <v>44052.0</v>
      </c>
      <c r="P677" s="4" t="str">
        <f t="array" ref="P677">XLOOKUP(O677,Agregado!$B$2:$B$1511,Agregado!$G$2:$G$1511)</f>
        <v>#N/A</v>
      </c>
    </row>
    <row r="678" ht="15.75" customHeight="1">
      <c r="B678" s="13" t="s">
        <v>1597</v>
      </c>
      <c r="C678" s="7">
        <v>115802.1090000001</v>
      </c>
      <c r="D678" s="7">
        <v>120392.60800000008</v>
      </c>
      <c r="E678" s="7">
        <v>109211.89899999987</v>
      </c>
      <c r="F678" s="7">
        <f t="shared" si="1"/>
        <v>345406.616</v>
      </c>
      <c r="G678" s="14">
        <f t="shared" si="2"/>
        <v>0.007247062959</v>
      </c>
      <c r="I678" s="12"/>
      <c r="J678" s="12"/>
      <c r="K678" s="12"/>
      <c r="L678" s="12"/>
      <c r="M678" s="12">
        <v>44083.0</v>
      </c>
      <c r="N678" s="2">
        <v>339.79</v>
      </c>
      <c r="O678" s="3">
        <v>44083.0</v>
      </c>
      <c r="P678" s="4" t="str">
        <f t="array" ref="P678">XLOOKUP(O678,Agregado!$B$2:$B$1511,Agregado!$G$2:$G$1511)</f>
        <v>#N/A</v>
      </c>
    </row>
    <row r="679" ht="15.75" customHeight="1">
      <c r="B679" s="13" t="s">
        <v>1598</v>
      </c>
      <c r="C679" s="7">
        <v>118534.0070000001</v>
      </c>
      <c r="D679" s="7">
        <v>120359.15800000008</v>
      </c>
      <c r="E679" s="7">
        <v>109305.97399999987</v>
      </c>
      <c r="F679" s="7">
        <f t="shared" si="1"/>
        <v>348199.139</v>
      </c>
      <c r="G679" s="14">
        <f t="shared" si="2"/>
        <v>0.008052234482</v>
      </c>
      <c r="I679" s="12"/>
      <c r="J679" s="12"/>
      <c r="K679" s="12"/>
      <c r="L679" s="12"/>
      <c r="M679" s="12">
        <v>44084.0</v>
      </c>
      <c r="N679" s="2">
        <v>333.89</v>
      </c>
      <c r="O679" s="3">
        <v>44113.0</v>
      </c>
      <c r="P679" s="4" t="str">
        <f t="array" ref="P679">XLOOKUP(O679,Agregado!$B$2:$B$1511,Agregado!$G$2:$G$1511)</f>
        <v>#N/A</v>
      </c>
    </row>
    <row r="680" ht="15.75" customHeight="1">
      <c r="B680" s="13" t="s">
        <v>1599</v>
      </c>
      <c r="C680" s="7">
        <v>117854.2740000001</v>
      </c>
      <c r="D680" s="7">
        <v>120342.09500000009</v>
      </c>
      <c r="E680" s="7">
        <v>109683.95099999987</v>
      </c>
      <c r="F680" s="7">
        <f t="shared" si="1"/>
        <v>347880.32</v>
      </c>
      <c r="G680" s="14">
        <f t="shared" si="2"/>
        <v>-0.0009160420356</v>
      </c>
      <c r="I680" s="12"/>
      <c r="J680" s="12"/>
      <c r="K680" s="12"/>
      <c r="L680" s="12"/>
      <c r="M680" s="12">
        <v>44085.0</v>
      </c>
      <c r="N680" s="2">
        <v>334.06</v>
      </c>
      <c r="O680" s="3">
        <v>44144.0</v>
      </c>
      <c r="P680" s="4" t="str">
        <f t="array" ref="P680">XLOOKUP(O680,Agregado!$B$2:$B$1511,Agregado!$G$2:$G$1511)</f>
        <v>#N/A</v>
      </c>
    </row>
    <row r="681" ht="15.75" customHeight="1">
      <c r="B681" s="13" t="s">
        <v>1600</v>
      </c>
      <c r="C681" s="7">
        <v>117153.0310000001</v>
      </c>
      <c r="D681" s="7">
        <v>120140.9300000001</v>
      </c>
      <c r="E681" s="7">
        <v>109966.10199999987</v>
      </c>
      <c r="F681" s="7">
        <f t="shared" si="1"/>
        <v>347260.063</v>
      </c>
      <c r="G681" s="14">
        <f t="shared" si="2"/>
        <v>-0.001784552242</v>
      </c>
      <c r="I681" s="12"/>
      <c r="J681" s="12"/>
      <c r="K681" s="12"/>
      <c r="L681" s="12"/>
      <c r="M681" s="12">
        <v>44088.0</v>
      </c>
      <c r="N681" s="2">
        <v>338.46</v>
      </c>
      <c r="O681" s="3" t="s">
        <v>408</v>
      </c>
      <c r="P681" s="4" t="str">
        <f t="array" ref="P681">XLOOKUP(O681,Agregado!$B$2:$B$1511,Agregado!$G$2:$G$1511)</f>
        <v>#N/A</v>
      </c>
    </row>
    <row r="682" ht="15.75" customHeight="1">
      <c r="B682" s="13" t="s">
        <v>1601</v>
      </c>
      <c r="C682" s="7">
        <v>119207.8480000001</v>
      </c>
      <c r="D682" s="7">
        <v>120057.0640000001</v>
      </c>
      <c r="E682" s="7">
        <v>109246.28199999986</v>
      </c>
      <c r="F682" s="7">
        <f t="shared" si="1"/>
        <v>348511.194</v>
      </c>
      <c r="G682" s="14">
        <f t="shared" si="2"/>
        <v>0.003596389865</v>
      </c>
      <c r="I682" s="12"/>
      <c r="J682" s="12"/>
      <c r="K682" s="12"/>
      <c r="L682" s="12"/>
      <c r="M682" s="12">
        <v>44089.0</v>
      </c>
      <c r="N682" s="2">
        <v>340.17</v>
      </c>
      <c r="O682" s="3" t="s">
        <v>409</v>
      </c>
      <c r="P682" s="4" t="str">
        <f t="array" ref="P682">XLOOKUP(O682,Agregado!$B$2:$B$1511,Agregado!$G$2:$G$1511)</f>
        <v>#N/A</v>
      </c>
    </row>
    <row r="683" ht="15.75" customHeight="1">
      <c r="B683" s="13" t="s">
        <v>1602</v>
      </c>
      <c r="C683" s="7">
        <v>122321.7170000001</v>
      </c>
      <c r="D683" s="7">
        <v>120125.0330000001</v>
      </c>
      <c r="E683" s="7">
        <v>109268.90099999987</v>
      </c>
      <c r="F683" s="7">
        <f t="shared" si="1"/>
        <v>351715.651</v>
      </c>
      <c r="G683" s="14">
        <f t="shared" si="2"/>
        <v>0.009152689284</v>
      </c>
      <c r="I683" s="12"/>
      <c r="J683" s="12"/>
      <c r="K683" s="12"/>
      <c r="L683" s="12"/>
      <c r="M683" s="12">
        <v>44090.0</v>
      </c>
      <c r="N683" s="2">
        <v>338.82</v>
      </c>
      <c r="O683" s="3" t="s">
        <v>410</v>
      </c>
      <c r="P683" s="4" t="str">
        <f t="array" ref="P683">XLOOKUP(O683,Agregado!$B$2:$B$1511,Agregado!$G$2:$G$1511)</f>
        <v>#N/A</v>
      </c>
    </row>
    <row r="684" ht="15.75" customHeight="1">
      <c r="B684" s="13" t="s">
        <v>1603</v>
      </c>
      <c r="C684" s="7">
        <v>120926.7810000001</v>
      </c>
      <c r="D684" s="7">
        <v>124617.4310000001</v>
      </c>
      <c r="E684" s="7">
        <v>110306.25099999987</v>
      </c>
      <c r="F684" s="7">
        <f t="shared" si="1"/>
        <v>355850.463</v>
      </c>
      <c r="G684" s="14">
        <f t="shared" si="2"/>
        <v>0.01168755537</v>
      </c>
      <c r="I684" s="12"/>
      <c r="J684" s="12"/>
      <c r="K684" s="12"/>
      <c r="L684" s="12"/>
      <c r="M684" s="12">
        <v>44091.0</v>
      </c>
      <c r="N684" s="2">
        <v>335.84</v>
      </c>
      <c r="O684" s="3" t="s">
        <v>411</v>
      </c>
      <c r="P684" s="4" t="str">
        <f t="array" ref="P684">XLOOKUP(O684,Agregado!$B$2:$B$1511,Agregado!$G$2:$G$1511)</f>
        <v>#N/A</v>
      </c>
    </row>
    <row r="685" ht="15.75" customHeight="1">
      <c r="B685" s="13" t="s">
        <v>1604</v>
      </c>
      <c r="C685" s="7">
        <v>120249.4330000001</v>
      </c>
      <c r="D685" s="7">
        <v>124481.4060000001</v>
      </c>
      <c r="E685" s="7">
        <v>111436.85399999988</v>
      </c>
      <c r="F685" s="7">
        <f t="shared" si="1"/>
        <v>356167.693</v>
      </c>
      <c r="G685" s="14">
        <f t="shared" si="2"/>
        <v>0.0008910728422</v>
      </c>
      <c r="I685" s="12"/>
      <c r="J685" s="12"/>
      <c r="K685" s="12"/>
      <c r="L685" s="12"/>
      <c r="M685" s="12">
        <v>44092.0</v>
      </c>
      <c r="N685" s="2">
        <v>330.65</v>
      </c>
      <c r="O685" s="3" t="s">
        <v>412</v>
      </c>
      <c r="P685" s="4" t="str">
        <f t="array" ref="P685">XLOOKUP(O685,Agregado!$B$2:$B$1511,Agregado!$G$2:$G$1511)</f>
        <v>#N/A</v>
      </c>
    </row>
    <row r="686" ht="15.75" customHeight="1">
      <c r="B686" s="13" t="s">
        <v>1605</v>
      </c>
      <c r="C686" s="7">
        <v>119241.9140000001</v>
      </c>
      <c r="D686" s="7">
        <v>124531.98700000011</v>
      </c>
      <c r="E686" s="7">
        <v>111511.60499999988</v>
      </c>
      <c r="F686" s="7">
        <f t="shared" si="1"/>
        <v>355285.506</v>
      </c>
      <c r="G686" s="14">
        <f t="shared" si="2"/>
        <v>-0.002479959197</v>
      </c>
      <c r="I686" s="12"/>
      <c r="J686" s="12"/>
      <c r="K686" s="12"/>
      <c r="L686" s="12"/>
      <c r="M686" s="12">
        <v>44095.0</v>
      </c>
      <c r="N686" s="2">
        <v>326.97</v>
      </c>
      <c r="O686" s="3" t="s">
        <v>413</v>
      </c>
      <c r="P686" s="4" t="str">
        <f t="array" ref="P686">XLOOKUP(O686,Agregado!$B$2:$B$1511,Agregado!$G$2:$G$1511)</f>
        <v>#N/A</v>
      </c>
    </row>
    <row r="687" ht="15.75" customHeight="1">
      <c r="B687" s="13" t="s">
        <v>1606</v>
      </c>
      <c r="C687" s="7">
        <v>122268.38400000011</v>
      </c>
      <c r="D687" s="7">
        <v>124748.7240000001</v>
      </c>
      <c r="E687" s="7">
        <v>110575.46899999988</v>
      </c>
      <c r="F687" s="7">
        <f t="shared" si="1"/>
        <v>357592.577</v>
      </c>
      <c r="G687" s="14">
        <f t="shared" si="2"/>
        <v>0.006472576755</v>
      </c>
      <c r="I687" s="12"/>
      <c r="J687" s="12"/>
      <c r="K687" s="12"/>
      <c r="L687" s="12"/>
      <c r="M687" s="12">
        <v>44096.0</v>
      </c>
      <c r="N687" s="2">
        <v>330.3</v>
      </c>
      <c r="O687" s="3" t="s">
        <v>414</v>
      </c>
      <c r="P687" s="4" t="str">
        <f t="array" ref="P687">XLOOKUP(O687,Agregado!$B$2:$B$1511,Agregado!$G$2:$G$1511)</f>
        <v>#N/A</v>
      </c>
    </row>
    <row r="688" ht="15.75" customHeight="1">
      <c r="B688" s="13" t="s">
        <v>1607</v>
      </c>
      <c r="C688" s="7">
        <v>115386.16200000011</v>
      </c>
      <c r="D688" s="7">
        <v>124814.6430000001</v>
      </c>
      <c r="E688" s="7">
        <v>110436.89999999988</v>
      </c>
      <c r="F688" s="7">
        <f t="shared" si="1"/>
        <v>350637.705</v>
      </c>
      <c r="G688" s="14">
        <f t="shared" si="2"/>
        <v>-0.01964077434</v>
      </c>
      <c r="I688" s="12"/>
      <c r="J688" s="12"/>
      <c r="K688" s="12"/>
      <c r="L688" s="12"/>
      <c r="M688" s="12">
        <v>44097.0</v>
      </c>
      <c r="N688" s="2">
        <v>322.64</v>
      </c>
      <c r="O688" s="3" t="s">
        <v>415</v>
      </c>
      <c r="P688" s="4" t="str">
        <f t="array" ref="P688">XLOOKUP(O688,Agregado!$B$2:$B$1511,Agregado!$G$2:$G$1511)</f>
        <v>#N/A</v>
      </c>
    </row>
    <row r="689" ht="15.75" customHeight="1">
      <c r="B689" s="13" t="s">
        <v>1608</v>
      </c>
      <c r="C689" s="7">
        <v>113552.52900000011</v>
      </c>
      <c r="D689" s="7">
        <v>124748.0310000001</v>
      </c>
      <c r="E689" s="7">
        <v>110490.60999999988</v>
      </c>
      <c r="F689" s="7">
        <f t="shared" si="1"/>
        <v>348791.17</v>
      </c>
      <c r="G689" s="14">
        <f t="shared" si="2"/>
        <v>-0.005280134567</v>
      </c>
      <c r="I689" s="12"/>
      <c r="J689" s="12"/>
      <c r="K689" s="12"/>
      <c r="L689" s="12"/>
      <c r="M689" s="12">
        <v>44098.0</v>
      </c>
      <c r="N689" s="2">
        <v>323.5</v>
      </c>
      <c r="O689" s="3" t="s">
        <v>416</v>
      </c>
      <c r="P689" s="4" t="str">
        <f t="array" ref="P689">XLOOKUP(O689,Agregado!$B$2:$B$1511,Agregado!$G$2:$G$1511)</f>
        <v>#N/A</v>
      </c>
    </row>
    <row r="690" ht="15.75" customHeight="1">
      <c r="B690" s="13" t="s">
        <v>1609</v>
      </c>
      <c r="C690" s="7">
        <v>112455.80100000011</v>
      </c>
      <c r="D690" s="7">
        <v>124472.90300000011</v>
      </c>
      <c r="E690" s="7">
        <v>110520.82199999988</v>
      </c>
      <c r="F690" s="7">
        <f t="shared" si="1"/>
        <v>347449.526</v>
      </c>
      <c r="G690" s="14">
        <f t="shared" si="2"/>
        <v>-0.003853970813</v>
      </c>
      <c r="I690" s="12"/>
      <c r="J690" s="12"/>
      <c r="K690" s="12"/>
      <c r="L690" s="12"/>
      <c r="M690" s="12">
        <v>44099.0</v>
      </c>
      <c r="N690" s="2">
        <v>328.73</v>
      </c>
      <c r="O690" s="3" t="s">
        <v>417</v>
      </c>
      <c r="P690" s="4" t="str">
        <f t="array" ref="P690">XLOOKUP(O690,Agregado!$B$2:$B$1511,Agregado!$G$2:$G$1511)</f>
        <v>#N/A</v>
      </c>
    </row>
    <row r="691" ht="15.75" customHeight="1">
      <c r="B691" s="13" t="s">
        <v>1610</v>
      </c>
      <c r="C691" s="7">
        <v>112957.29700000011</v>
      </c>
      <c r="D691" s="7">
        <v>124602.76800000011</v>
      </c>
      <c r="E691" s="7">
        <v>110770.36099999989</v>
      </c>
      <c r="F691" s="7">
        <f t="shared" si="1"/>
        <v>348330.426</v>
      </c>
      <c r="G691" s="14">
        <f t="shared" si="2"/>
        <v>0.00253212375</v>
      </c>
      <c r="I691" s="12"/>
      <c r="J691" s="12"/>
      <c r="K691" s="12"/>
      <c r="L691" s="12"/>
      <c r="M691" s="12">
        <v>44102.0</v>
      </c>
      <c r="N691" s="2">
        <v>334.19</v>
      </c>
      <c r="O691" s="3" t="s">
        <v>418</v>
      </c>
      <c r="P691" s="4" t="str">
        <f t="array" ref="P691">XLOOKUP(O691,Agregado!$B$2:$B$1511,Agregado!$G$2:$G$1511)</f>
        <v>#N/A</v>
      </c>
    </row>
    <row r="692" ht="15.75" customHeight="1">
      <c r="B692" s="13" t="s">
        <v>1611</v>
      </c>
      <c r="C692" s="7">
        <v>111790.3340000001</v>
      </c>
      <c r="D692" s="7">
        <v>124536.79600000012</v>
      </c>
      <c r="E692" s="7">
        <v>110880.30499999989</v>
      </c>
      <c r="F692" s="7">
        <f t="shared" si="1"/>
        <v>347207.435</v>
      </c>
      <c r="G692" s="14">
        <f t="shared" si="2"/>
        <v>-0.003229132557</v>
      </c>
      <c r="I692" s="12"/>
      <c r="J692" s="12"/>
      <c r="K692" s="12"/>
      <c r="L692" s="12"/>
      <c r="M692" s="12">
        <v>44103.0</v>
      </c>
      <c r="N692" s="2">
        <v>332.37</v>
      </c>
      <c r="O692" s="3" t="s">
        <v>419</v>
      </c>
      <c r="P692" s="4" t="str">
        <f t="array" ref="P692">XLOOKUP(O692,Agregado!$B$2:$B$1511,Agregado!$G$2:$G$1511)</f>
        <v>#N/A</v>
      </c>
    </row>
    <row r="693" ht="15.75" customHeight="1">
      <c r="B693" s="13" t="s">
        <v>1612</v>
      </c>
      <c r="C693" s="7">
        <v>113761.0450000001</v>
      </c>
      <c r="D693" s="7">
        <v>124536.79600000012</v>
      </c>
      <c r="E693" s="7">
        <v>111488.8819999999</v>
      </c>
      <c r="F693" s="7">
        <f t="shared" si="1"/>
        <v>349786.723</v>
      </c>
      <c r="G693" s="14">
        <f t="shared" si="2"/>
        <v>0.007401209162</v>
      </c>
      <c r="I693" s="12"/>
      <c r="J693" s="12"/>
      <c r="K693" s="12"/>
      <c r="L693" s="12"/>
      <c r="M693" s="12">
        <v>44104.0</v>
      </c>
      <c r="N693" s="2">
        <v>334.89</v>
      </c>
      <c r="O693" s="3" t="s">
        <v>420</v>
      </c>
      <c r="P693" s="4" t="str">
        <f t="array" ref="P693">XLOOKUP(O693,Agregado!$B$2:$B$1511,Agregado!$G$2:$G$1511)</f>
        <v>#N/A</v>
      </c>
    </row>
    <row r="694" ht="15.75" customHeight="1">
      <c r="B694" s="13" t="s">
        <v>1613</v>
      </c>
      <c r="C694" s="7">
        <v>116054.9600000001</v>
      </c>
      <c r="D694" s="7">
        <v>124436.71500000011</v>
      </c>
      <c r="E694" s="7">
        <v>111572.9729999999</v>
      </c>
      <c r="F694" s="7">
        <f t="shared" si="1"/>
        <v>352064.648</v>
      </c>
      <c r="G694" s="14">
        <f t="shared" si="2"/>
        <v>0.006491211936</v>
      </c>
      <c r="I694" s="12"/>
      <c r="J694" s="12"/>
      <c r="K694" s="12"/>
      <c r="L694" s="12"/>
      <c r="M694" s="12">
        <v>44105.0</v>
      </c>
      <c r="N694" s="2">
        <v>337.04</v>
      </c>
      <c r="O694" s="3">
        <v>43840.0</v>
      </c>
      <c r="P694" s="4" t="str">
        <f t="array" ref="P694">XLOOKUP(O694,Agregado!$B$2:$B$1511,Agregado!$G$2:$G$1511)</f>
        <v>#N/A</v>
      </c>
    </row>
    <row r="695" ht="15.75" customHeight="1">
      <c r="B695" s="13" t="s">
        <v>1614</v>
      </c>
      <c r="C695" s="7">
        <v>114613.5710000001</v>
      </c>
      <c r="D695" s="7">
        <v>124033.0730000001</v>
      </c>
      <c r="E695" s="7">
        <v>110703.0709999999</v>
      </c>
      <c r="F695" s="7">
        <f t="shared" si="1"/>
        <v>349349.715</v>
      </c>
      <c r="G695" s="14">
        <f t="shared" si="2"/>
        <v>-0.007741348628</v>
      </c>
      <c r="I695" s="12"/>
      <c r="J695" s="12"/>
      <c r="K695" s="12"/>
      <c r="L695" s="12"/>
      <c r="M695" s="12">
        <v>44106.0</v>
      </c>
      <c r="N695" s="2">
        <v>333.84</v>
      </c>
      <c r="O695" s="3">
        <v>43871.0</v>
      </c>
      <c r="P695" s="4" t="str">
        <f t="array" ref="P695">XLOOKUP(O695,Agregado!$B$2:$B$1511,Agregado!$G$2:$G$1511)</f>
        <v>#N/A</v>
      </c>
    </row>
    <row r="696" ht="15.75" customHeight="1">
      <c r="B696" s="13" t="s">
        <v>1615</v>
      </c>
      <c r="C696" s="7">
        <v>110215.5370000001</v>
      </c>
      <c r="D696" s="7">
        <v>123999.2550000001</v>
      </c>
      <c r="E696" s="7">
        <v>110776.77099999989</v>
      </c>
      <c r="F696" s="7">
        <f t="shared" si="1"/>
        <v>344991.563</v>
      </c>
      <c r="G696" s="14">
        <f t="shared" si="2"/>
        <v>-0.01255350754</v>
      </c>
      <c r="I696" s="12"/>
      <c r="J696" s="12"/>
      <c r="K696" s="12"/>
      <c r="L696" s="12"/>
      <c r="M696" s="12">
        <v>44109.0</v>
      </c>
      <c r="N696" s="2">
        <v>339.76</v>
      </c>
      <c r="O696" s="3">
        <v>43961.0</v>
      </c>
      <c r="P696" s="4" t="str">
        <f t="array" ref="P696">XLOOKUP(O696,Agregado!$B$2:$B$1511,Agregado!$G$2:$G$1511)</f>
        <v>#N/A</v>
      </c>
    </row>
    <row r="697" ht="15.75" customHeight="1">
      <c r="B697" s="13" t="s">
        <v>1616</v>
      </c>
      <c r="C697" s="7">
        <v>109848.3690000001</v>
      </c>
      <c r="D697" s="7">
        <v>124233.7160000001</v>
      </c>
      <c r="E697" s="7">
        <v>110943.3219999999</v>
      </c>
      <c r="F697" s="7">
        <f t="shared" si="1"/>
        <v>345025.407</v>
      </c>
      <c r="G697" s="14">
        <f t="shared" si="2"/>
        <v>0.00009809613821</v>
      </c>
      <c r="I697" s="12"/>
      <c r="J697" s="12"/>
      <c r="K697" s="12"/>
      <c r="L697" s="12"/>
      <c r="M697" s="12">
        <v>44110.0</v>
      </c>
      <c r="N697" s="2">
        <v>334.93</v>
      </c>
      <c r="O697" s="3">
        <v>43992.0</v>
      </c>
      <c r="P697" s="4" t="str">
        <f t="array" ref="P697">XLOOKUP(O697,Agregado!$B$2:$B$1511,Agregado!$G$2:$G$1511)</f>
        <v>#N/A</v>
      </c>
    </row>
    <row r="698" ht="15.75" customHeight="1">
      <c r="B698" s="13" t="s">
        <v>1617</v>
      </c>
      <c r="C698" s="7">
        <v>110460.0520000001</v>
      </c>
      <c r="D698" s="7">
        <v>124472.4160000001</v>
      </c>
      <c r="E698" s="7">
        <v>110916.41499999989</v>
      </c>
      <c r="F698" s="7">
        <f t="shared" si="1"/>
        <v>345848.883</v>
      </c>
      <c r="G698" s="14">
        <f t="shared" si="2"/>
        <v>0.002383867519</v>
      </c>
      <c r="I698" s="12"/>
      <c r="J698" s="12"/>
      <c r="K698" s="12"/>
      <c r="L698" s="12"/>
      <c r="M698" s="12">
        <v>44111.0</v>
      </c>
      <c r="N698" s="2">
        <v>340.76</v>
      </c>
      <c r="O698" s="3">
        <v>44022.0</v>
      </c>
      <c r="P698" s="4" t="str">
        <f t="array" ref="P698">XLOOKUP(O698,Agregado!$B$2:$B$1511,Agregado!$G$2:$G$1511)</f>
        <v>#N/A</v>
      </c>
    </row>
    <row r="699" ht="15.75" customHeight="1">
      <c r="B699" s="13" t="s">
        <v>1618</v>
      </c>
      <c r="C699" s="7">
        <v>109990.93700000009</v>
      </c>
      <c r="D699" s="7">
        <v>124640.5390000001</v>
      </c>
      <c r="E699" s="7">
        <v>111041.93999999989</v>
      </c>
      <c r="F699" s="7">
        <f t="shared" si="1"/>
        <v>345673.416</v>
      </c>
      <c r="G699" s="14">
        <f t="shared" si="2"/>
        <v>-0.0005074803922</v>
      </c>
      <c r="I699" s="12"/>
      <c r="J699" s="12"/>
      <c r="K699" s="12"/>
      <c r="L699" s="12"/>
      <c r="M699" s="12">
        <v>44112.0</v>
      </c>
      <c r="N699" s="2">
        <v>343.78</v>
      </c>
      <c r="O699" s="3">
        <v>44053.0</v>
      </c>
      <c r="P699" s="4" t="str">
        <f t="array" ref="P699">XLOOKUP(O699,Agregado!$B$2:$B$1511,Agregado!$G$2:$G$1511)</f>
        <v>#N/A</v>
      </c>
    </row>
    <row r="700" ht="15.75" customHeight="1">
      <c r="B700" s="13" t="s">
        <v>1619</v>
      </c>
      <c r="C700" s="7">
        <v>109547.74200000009</v>
      </c>
      <c r="D700" s="7">
        <v>124623.43400000011</v>
      </c>
      <c r="E700" s="7">
        <v>111267.77299999988</v>
      </c>
      <c r="F700" s="7">
        <f t="shared" si="1"/>
        <v>345438.949</v>
      </c>
      <c r="G700" s="14">
        <f t="shared" si="2"/>
        <v>-0.0006785206599</v>
      </c>
      <c r="I700" s="12"/>
      <c r="J700" s="12"/>
      <c r="K700" s="12"/>
      <c r="L700" s="12"/>
      <c r="M700" s="12">
        <v>44113.0</v>
      </c>
      <c r="N700" s="2">
        <v>346.85</v>
      </c>
      <c r="O700" s="3">
        <v>44084.0</v>
      </c>
      <c r="P700" s="4" t="str">
        <f t="array" ref="P700">XLOOKUP(O700,Agregado!$B$2:$B$1511,Agregado!$G$2:$G$1511)</f>
        <v>#N/A</v>
      </c>
    </row>
    <row r="701" ht="15.75" customHeight="1">
      <c r="B701" s="13" t="s">
        <v>1620</v>
      </c>
      <c r="C701" s="7">
        <v>110355.55700000009</v>
      </c>
      <c r="D701" s="7">
        <v>124951.13200000011</v>
      </c>
      <c r="E701" s="7">
        <v>111386.98299999989</v>
      </c>
      <c r="F701" s="7">
        <f t="shared" si="1"/>
        <v>346693.672</v>
      </c>
      <c r="G701" s="14">
        <f t="shared" si="2"/>
        <v>0.003625676168</v>
      </c>
      <c r="I701" s="12"/>
      <c r="J701" s="12"/>
      <c r="K701" s="12"/>
      <c r="L701" s="12"/>
      <c r="M701" s="12">
        <v>44116.0</v>
      </c>
      <c r="N701" s="2">
        <v>352.43</v>
      </c>
      <c r="O701" s="3">
        <v>44175.0</v>
      </c>
      <c r="P701" s="4" t="str">
        <f t="array" ref="P701">XLOOKUP(O701,Agregado!$B$2:$B$1511,Agregado!$G$2:$G$1511)</f>
        <v>#N/A</v>
      </c>
    </row>
    <row r="702" ht="15.75" customHeight="1">
      <c r="B702" s="13" t="s">
        <v>1621</v>
      </c>
      <c r="C702" s="7">
        <v>112349.51900000009</v>
      </c>
      <c r="D702" s="7">
        <v>125194.72300000011</v>
      </c>
      <c r="E702" s="7">
        <v>111403.57799999989</v>
      </c>
      <c r="F702" s="7">
        <f t="shared" si="1"/>
        <v>348947.82</v>
      </c>
      <c r="G702" s="14">
        <f t="shared" si="2"/>
        <v>0.006480797697</v>
      </c>
      <c r="I702" s="12"/>
      <c r="J702" s="12"/>
      <c r="K702" s="12"/>
      <c r="L702" s="12"/>
      <c r="M702" s="12">
        <v>44117.0</v>
      </c>
      <c r="N702" s="2">
        <v>350.13</v>
      </c>
      <c r="O702" s="3" t="s">
        <v>421</v>
      </c>
      <c r="P702" s="4" t="str">
        <f t="array" ref="P702">XLOOKUP(O702,Agregado!$B$2:$B$1511,Agregado!$G$2:$G$1511)</f>
        <v>#N/A</v>
      </c>
    </row>
    <row r="703" ht="15.75" customHeight="1">
      <c r="B703" s="13" t="s">
        <v>1622</v>
      </c>
      <c r="C703" s="7">
        <v>111151.1340000001</v>
      </c>
      <c r="D703" s="7">
        <v>124982.50300000011</v>
      </c>
      <c r="E703" s="7">
        <v>111317.4999999999</v>
      </c>
      <c r="F703" s="7">
        <f t="shared" si="1"/>
        <v>347451.137</v>
      </c>
      <c r="G703" s="14">
        <f t="shared" si="2"/>
        <v>-0.004298355962</v>
      </c>
      <c r="I703" s="12"/>
      <c r="J703" s="12"/>
      <c r="K703" s="12"/>
      <c r="L703" s="12"/>
      <c r="M703" s="12">
        <v>44118.0</v>
      </c>
      <c r="N703" s="2">
        <v>347.93</v>
      </c>
      <c r="O703" s="3" t="s">
        <v>422</v>
      </c>
      <c r="P703" s="4" t="str">
        <f t="array" ref="P703">XLOOKUP(O703,Agregado!$B$2:$B$1511,Agregado!$G$2:$G$1511)</f>
        <v>#N/A</v>
      </c>
    </row>
    <row r="704" ht="15.75" customHeight="1">
      <c r="B704" s="13" t="s">
        <v>1623</v>
      </c>
      <c r="C704" s="7">
        <v>109102.20900000009</v>
      </c>
      <c r="D704" s="7">
        <v>125087.94400000012</v>
      </c>
      <c r="E704" s="7">
        <v>111306.5449999999</v>
      </c>
      <c r="F704" s="7">
        <f t="shared" si="1"/>
        <v>345496.698</v>
      </c>
      <c r="G704" s="14">
        <f t="shared" si="2"/>
        <v>-0.00564095617</v>
      </c>
      <c r="I704" s="12"/>
      <c r="J704" s="12"/>
      <c r="K704" s="12"/>
      <c r="L704" s="12"/>
      <c r="M704" s="12">
        <v>44119.0</v>
      </c>
      <c r="N704" s="2">
        <v>347.5</v>
      </c>
      <c r="O704" s="3" t="s">
        <v>423</v>
      </c>
      <c r="P704" s="4" t="str">
        <f t="array" ref="P704">XLOOKUP(O704,Agregado!$B$2:$B$1511,Agregado!$G$2:$G$1511)</f>
        <v>#N/A</v>
      </c>
    </row>
    <row r="705" ht="15.75" customHeight="1">
      <c r="B705" s="13" t="s">
        <v>1624</v>
      </c>
      <c r="C705" s="7">
        <v>109050.01500000009</v>
      </c>
      <c r="D705" s="7">
        <v>125175.23800000011</v>
      </c>
      <c r="E705" s="7">
        <v>111336.8639999999</v>
      </c>
      <c r="F705" s="7">
        <f t="shared" si="1"/>
        <v>345562.117</v>
      </c>
      <c r="G705" s="14">
        <f t="shared" si="2"/>
        <v>0.0001893297612</v>
      </c>
      <c r="I705" s="12"/>
      <c r="J705" s="12"/>
      <c r="K705" s="12"/>
      <c r="L705" s="12"/>
      <c r="M705" s="12">
        <v>44120.0</v>
      </c>
      <c r="N705" s="2">
        <v>347.29</v>
      </c>
      <c r="O705" s="3" t="s">
        <v>424</v>
      </c>
      <c r="P705" s="4" t="str">
        <f t="array" ref="P705">XLOOKUP(O705,Agregado!$B$2:$B$1511,Agregado!$G$2:$G$1511)</f>
        <v>#N/A</v>
      </c>
    </row>
    <row r="706" ht="15.75" customHeight="1">
      <c r="B706" s="13" t="s">
        <v>1625</v>
      </c>
      <c r="C706" s="7">
        <v>110665.58400000009</v>
      </c>
      <c r="D706" s="7">
        <v>125088.07600000012</v>
      </c>
      <c r="E706" s="7">
        <v>111336.9969999999</v>
      </c>
      <c r="F706" s="7">
        <f t="shared" si="1"/>
        <v>347090.657</v>
      </c>
      <c r="G706" s="14">
        <f t="shared" si="2"/>
        <v>0.004413589431</v>
      </c>
      <c r="I706" s="12"/>
      <c r="J706" s="12"/>
      <c r="K706" s="12"/>
      <c r="L706" s="12"/>
      <c r="M706" s="12">
        <v>44123.0</v>
      </c>
      <c r="N706" s="2">
        <v>342.01</v>
      </c>
      <c r="O706" s="3" t="s">
        <v>425</v>
      </c>
      <c r="P706" s="4" t="str">
        <f t="array" ref="P706">XLOOKUP(O706,Agregado!$B$2:$B$1511,Agregado!$G$2:$G$1511)</f>
        <v>#N/A</v>
      </c>
    </row>
    <row r="707" ht="15.75" customHeight="1">
      <c r="B707" s="13" t="s">
        <v>1626</v>
      </c>
      <c r="C707" s="7">
        <v>115078.62800000008</v>
      </c>
      <c r="D707" s="7">
        <v>125035.77100000012</v>
      </c>
      <c r="E707" s="7">
        <v>111353.1339999999</v>
      </c>
      <c r="F707" s="7">
        <f t="shared" si="1"/>
        <v>351467.533</v>
      </c>
      <c r="G707" s="14">
        <f t="shared" si="2"/>
        <v>0.0125313348</v>
      </c>
      <c r="I707" s="12"/>
      <c r="J707" s="12"/>
      <c r="K707" s="12"/>
      <c r="L707" s="12"/>
      <c r="M707" s="12">
        <v>44124.0</v>
      </c>
      <c r="N707" s="2">
        <v>343.38</v>
      </c>
      <c r="O707" s="3" t="s">
        <v>426</v>
      </c>
      <c r="P707" s="4" t="str">
        <f t="array" ref="P707">XLOOKUP(O707,Agregado!$B$2:$B$1511,Agregado!$G$2:$G$1511)</f>
        <v>#N/A</v>
      </c>
    </row>
    <row r="708" ht="15.75" customHeight="1">
      <c r="B708" s="13" t="s">
        <v>1627</v>
      </c>
      <c r="C708" s="7">
        <v>114976.08500000008</v>
      </c>
      <c r="D708" s="7">
        <v>124967.16900000013</v>
      </c>
      <c r="E708" s="7">
        <v>111376.4589999999</v>
      </c>
      <c r="F708" s="7">
        <f t="shared" si="1"/>
        <v>351319.713</v>
      </c>
      <c r="G708" s="14">
        <f t="shared" si="2"/>
        <v>-0.0004206678565</v>
      </c>
      <c r="I708" s="12"/>
      <c r="J708" s="12"/>
      <c r="K708" s="12"/>
      <c r="L708" s="12"/>
      <c r="M708" s="12">
        <v>44125.0</v>
      </c>
      <c r="N708" s="2">
        <v>342.73</v>
      </c>
      <c r="O708" s="3" t="s">
        <v>427</v>
      </c>
      <c r="P708" s="4" t="str">
        <f t="array" ref="P708">XLOOKUP(O708,Agregado!$B$2:$B$1511,Agregado!$G$2:$G$1511)</f>
        <v>#N/A</v>
      </c>
    </row>
    <row r="709" ht="15.75" customHeight="1">
      <c r="B709" s="13" t="s">
        <v>1628</v>
      </c>
      <c r="C709" s="7">
        <v>114375.08100000008</v>
      </c>
      <c r="D709" s="7">
        <v>124863.77900000013</v>
      </c>
      <c r="E709" s="7">
        <v>111258.8629999999</v>
      </c>
      <c r="F709" s="7">
        <f t="shared" si="1"/>
        <v>350497.723</v>
      </c>
      <c r="G709" s="14">
        <f t="shared" si="2"/>
        <v>-0.00234246211</v>
      </c>
      <c r="I709" s="12"/>
      <c r="J709" s="12"/>
      <c r="K709" s="12"/>
      <c r="L709" s="12"/>
      <c r="M709" s="12">
        <v>44126.0</v>
      </c>
      <c r="N709" s="2">
        <v>344.61</v>
      </c>
      <c r="O709" s="3" t="s">
        <v>428</v>
      </c>
      <c r="P709" s="4" t="str">
        <f t="array" ref="P709">XLOOKUP(O709,Agregado!$B$2:$B$1511,Agregado!$G$2:$G$1511)</f>
        <v>#N/A</v>
      </c>
    </row>
    <row r="710" ht="15.75" customHeight="1">
      <c r="B710" s="13" t="s">
        <v>1629</v>
      </c>
      <c r="C710" s="7">
        <v>112884.40600000008</v>
      </c>
      <c r="D710" s="7">
        <v>124898.16800000012</v>
      </c>
      <c r="E710" s="7">
        <v>111048.94899999989</v>
      </c>
      <c r="F710" s="7">
        <f t="shared" si="1"/>
        <v>348831.523</v>
      </c>
      <c r="G710" s="14">
        <f t="shared" si="2"/>
        <v>-0.004765146495</v>
      </c>
      <c r="I710" s="12"/>
      <c r="J710" s="12"/>
      <c r="K710" s="12"/>
      <c r="L710" s="12"/>
      <c r="M710" s="12">
        <v>44127.0</v>
      </c>
      <c r="N710" s="2">
        <v>345.78</v>
      </c>
      <c r="O710" s="3" t="s">
        <v>429</v>
      </c>
      <c r="P710" s="4" t="str">
        <f t="array" ref="P710">XLOOKUP(O710,Agregado!$B$2:$B$1511,Agregado!$G$2:$G$1511)</f>
        <v>#N/A</v>
      </c>
    </row>
    <row r="711" ht="15.75" customHeight="1">
      <c r="B711" s="13" t="s">
        <v>1630</v>
      </c>
      <c r="C711" s="7">
        <v>112643.25700000007</v>
      </c>
      <c r="D711" s="7">
        <v>125122.88000000012</v>
      </c>
      <c r="E711" s="7">
        <v>111089.1769999999</v>
      </c>
      <c r="F711" s="7">
        <f t="shared" si="1"/>
        <v>348855.314</v>
      </c>
      <c r="G711" s="14">
        <f t="shared" si="2"/>
        <v>0.00006819965276</v>
      </c>
      <c r="I711" s="12"/>
      <c r="J711" s="12"/>
      <c r="K711" s="12"/>
      <c r="L711" s="12"/>
      <c r="M711" s="12">
        <v>44130.0</v>
      </c>
      <c r="N711" s="2">
        <v>339.39</v>
      </c>
      <c r="O711" s="3" t="s">
        <v>430</v>
      </c>
      <c r="P711" s="4" t="str">
        <f t="array" ref="P711">XLOOKUP(O711,Agregado!$B$2:$B$1511,Agregado!$G$2:$G$1511)</f>
        <v>#N/A</v>
      </c>
    </row>
    <row r="712" ht="15.75" customHeight="1">
      <c r="B712" s="13" t="s">
        <v>1631</v>
      </c>
      <c r="C712" s="7">
        <v>112193.86100000008</v>
      </c>
      <c r="D712" s="7">
        <v>125122.88000000012</v>
      </c>
      <c r="E712" s="7">
        <v>111096.3789999999</v>
      </c>
      <c r="F712" s="7">
        <f t="shared" si="1"/>
        <v>348413.12</v>
      </c>
      <c r="G712" s="14">
        <f t="shared" si="2"/>
        <v>-0.001268361044</v>
      </c>
      <c r="I712" s="12"/>
      <c r="J712" s="12"/>
      <c r="K712" s="12"/>
      <c r="L712" s="12"/>
      <c r="M712" s="12">
        <v>44131.0</v>
      </c>
      <c r="N712" s="2">
        <v>338.22</v>
      </c>
      <c r="O712" s="3" t="s">
        <v>431</v>
      </c>
      <c r="P712" s="4" t="str">
        <f t="array" ref="P712">XLOOKUP(O712,Agregado!$B$2:$B$1511,Agregado!$G$2:$G$1511)</f>
        <v>#N/A</v>
      </c>
    </row>
    <row r="713" ht="15.75" customHeight="1">
      <c r="B713" s="13" t="s">
        <v>1632</v>
      </c>
      <c r="C713" s="7">
        <v>111345.68700000008</v>
      </c>
      <c r="D713" s="7">
        <v>124561.11800000012</v>
      </c>
      <c r="E713" s="7">
        <v>111118.3919999999</v>
      </c>
      <c r="F713" s="7">
        <f t="shared" si="1"/>
        <v>347025.197</v>
      </c>
      <c r="G713" s="14">
        <f t="shared" si="2"/>
        <v>-0.00399151099</v>
      </c>
      <c r="I713" s="12"/>
      <c r="J713" s="12"/>
      <c r="K713" s="12"/>
      <c r="L713" s="12"/>
      <c r="M713" s="12">
        <v>44132.0</v>
      </c>
      <c r="N713" s="2">
        <v>326.66</v>
      </c>
      <c r="O713" s="3" t="s">
        <v>432</v>
      </c>
      <c r="P713" s="4" t="str">
        <f t="array" ref="P713">XLOOKUP(O713,Agregado!$B$2:$B$1511,Agregado!$G$2:$G$1511)</f>
        <v>#N/A</v>
      </c>
    </row>
    <row r="714" ht="15.75" customHeight="1">
      <c r="B714" s="13" t="s">
        <v>1633</v>
      </c>
      <c r="C714" s="7">
        <v>112208.22100000008</v>
      </c>
      <c r="D714" s="7">
        <v>124323.51100000012</v>
      </c>
      <c r="E714" s="7">
        <v>111596.2279999999</v>
      </c>
      <c r="F714" s="7">
        <f t="shared" si="1"/>
        <v>348127.96</v>
      </c>
      <c r="G714" s="14">
        <f t="shared" si="2"/>
        <v>0.003172722195</v>
      </c>
      <c r="I714" s="12"/>
      <c r="J714" s="12"/>
      <c r="K714" s="12"/>
      <c r="L714" s="12"/>
      <c r="M714" s="12">
        <v>44133.0</v>
      </c>
      <c r="N714" s="2">
        <v>329.98</v>
      </c>
      <c r="O714" s="3" t="s">
        <v>433</v>
      </c>
      <c r="P714" s="4" t="str">
        <f t="array" ref="P714">XLOOKUP(O714,Agregado!$B$2:$B$1511,Agregado!$G$2:$G$1511)</f>
        <v>#N/A</v>
      </c>
    </row>
    <row r="715" ht="15.75" customHeight="1">
      <c r="B715" s="13" t="s">
        <v>1634</v>
      </c>
      <c r="C715" s="7">
        <v>108700.26400000008</v>
      </c>
      <c r="D715" s="7">
        <v>124765.58200000011</v>
      </c>
      <c r="E715" s="7">
        <v>111789.2479999999</v>
      </c>
      <c r="F715" s="7">
        <f t="shared" si="1"/>
        <v>345255.094</v>
      </c>
      <c r="G715" s="14">
        <f t="shared" si="2"/>
        <v>-0.008286566632</v>
      </c>
      <c r="I715" s="12"/>
      <c r="J715" s="12"/>
      <c r="K715" s="12"/>
      <c r="L715" s="12"/>
      <c r="M715" s="12">
        <v>44134.0</v>
      </c>
      <c r="N715" s="2">
        <v>326.54</v>
      </c>
      <c r="O715" s="3" t="s">
        <v>434</v>
      </c>
      <c r="P715" s="4" t="str">
        <f t="array" ref="P715">XLOOKUP(O715,Agregado!$B$2:$B$1511,Agregado!$G$2:$G$1511)</f>
        <v>#N/A</v>
      </c>
    </row>
    <row r="716" ht="15.75" customHeight="1">
      <c r="B716" s="13" t="s">
        <v>1635</v>
      </c>
      <c r="C716" s="7">
        <v>106041.79600000009</v>
      </c>
      <c r="D716" s="7">
        <v>124865.00200000011</v>
      </c>
      <c r="E716" s="7">
        <v>111977.5949999999</v>
      </c>
      <c r="F716" s="7">
        <f t="shared" si="1"/>
        <v>342884.393</v>
      </c>
      <c r="G716" s="14">
        <f t="shared" si="2"/>
        <v>-0.006890203001</v>
      </c>
      <c r="I716" s="12"/>
      <c r="J716" s="12"/>
      <c r="K716" s="12"/>
      <c r="L716" s="12"/>
      <c r="M716" s="12">
        <v>44137.0</v>
      </c>
      <c r="N716" s="2">
        <v>330.2</v>
      </c>
      <c r="O716" s="3">
        <v>43872.0</v>
      </c>
      <c r="P716" s="4" t="str">
        <f t="array" ref="P716">XLOOKUP(O716,Agregado!$B$2:$B$1511,Agregado!$G$2:$G$1511)</f>
        <v>#N/A</v>
      </c>
    </row>
    <row r="717" ht="15.75" customHeight="1">
      <c r="B717" s="13" t="s">
        <v>1636</v>
      </c>
      <c r="C717" s="7">
        <v>106563.83600000008</v>
      </c>
      <c r="D717" s="7">
        <v>125290.64000000012</v>
      </c>
      <c r="E717" s="7">
        <v>112229.0129999999</v>
      </c>
      <c r="F717" s="7">
        <f t="shared" si="1"/>
        <v>344083.489</v>
      </c>
      <c r="G717" s="14">
        <f t="shared" si="2"/>
        <v>0.003490984802</v>
      </c>
      <c r="I717" s="12"/>
      <c r="J717" s="12"/>
      <c r="K717" s="12"/>
      <c r="L717" s="12"/>
      <c r="M717" s="12">
        <v>44138.0</v>
      </c>
      <c r="N717" s="2">
        <v>336.03</v>
      </c>
      <c r="O717" s="3">
        <v>43901.0</v>
      </c>
      <c r="P717" s="4" t="str">
        <f t="array" ref="P717">XLOOKUP(O717,Agregado!$B$2:$B$1511,Agregado!$G$2:$G$1511)</f>
        <v>#N/A</v>
      </c>
    </row>
    <row r="718" ht="15.75" customHeight="1">
      <c r="B718" s="13" t="s">
        <v>1637</v>
      </c>
      <c r="C718" s="7">
        <v>110956.70900000009</v>
      </c>
      <c r="D718" s="7">
        <v>125439.79200000012</v>
      </c>
      <c r="E718" s="7">
        <v>112354.3809999999</v>
      </c>
      <c r="F718" s="7">
        <f t="shared" si="1"/>
        <v>348750.882</v>
      </c>
      <c r="G718" s="14">
        <f t="shared" si="2"/>
        <v>0.01347353366</v>
      </c>
      <c r="I718" s="12"/>
      <c r="J718" s="12"/>
      <c r="K718" s="12"/>
      <c r="L718" s="12"/>
      <c r="M718" s="12">
        <v>44139.0</v>
      </c>
      <c r="N718" s="2">
        <v>343.54</v>
      </c>
      <c r="O718" s="3">
        <v>43932.0</v>
      </c>
      <c r="P718" s="4" t="str">
        <f t="array" ref="P718">XLOOKUP(O718,Agregado!$B$2:$B$1511,Agregado!$G$2:$G$1511)</f>
        <v>#N/A</v>
      </c>
    </row>
    <row r="719" ht="15.75" customHeight="1">
      <c r="B719" s="13" t="s">
        <v>1638</v>
      </c>
      <c r="C719" s="7">
        <v>111192.02400000009</v>
      </c>
      <c r="D719" s="7">
        <v>125102.44100000012</v>
      </c>
      <c r="E719" s="7">
        <v>112419.04799999991</v>
      </c>
      <c r="F719" s="7">
        <f t="shared" si="1"/>
        <v>348713.513</v>
      </c>
      <c r="G719" s="14">
        <f t="shared" si="2"/>
        <v>-0.0001071567246</v>
      </c>
      <c r="I719" s="12"/>
      <c r="J719" s="12"/>
      <c r="K719" s="12"/>
      <c r="L719" s="12"/>
      <c r="M719" s="12">
        <v>44140.0</v>
      </c>
      <c r="N719" s="2">
        <v>350.24</v>
      </c>
      <c r="O719" s="3">
        <v>43962.0</v>
      </c>
      <c r="P719" s="4" t="str">
        <f t="array" ref="P719">XLOOKUP(O719,Agregado!$B$2:$B$1511,Agregado!$G$2:$G$1511)</f>
        <v>#N/A</v>
      </c>
    </row>
    <row r="720" ht="15.75" customHeight="1">
      <c r="B720" s="13" t="s">
        <v>1639</v>
      </c>
      <c r="C720" s="7">
        <v>112772.45500000009</v>
      </c>
      <c r="D720" s="7">
        <v>125188.63900000013</v>
      </c>
      <c r="E720" s="7">
        <v>112512.2549999999</v>
      </c>
      <c r="F720" s="7">
        <f t="shared" si="1"/>
        <v>350473.349</v>
      </c>
      <c r="G720" s="14">
        <f t="shared" si="2"/>
        <v>0.005033961054</v>
      </c>
      <c r="I720" s="12"/>
      <c r="J720" s="12"/>
      <c r="K720" s="12"/>
      <c r="L720" s="12"/>
      <c r="M720" s="12">
        <v>44141.0</v>
      </c>
      <c r="N720" s="2">
        <v>350.16</v>
      </c>
      <c r="O720" s="3">
        <v>43993.0</v>
      </c>
      <c r="P720" s="4" t="str">
        <f t="array" ref="P720">XLOOKUP(O720,Agregado!$B$2:$B$1511,Agregado!$G$2:$G$1511)</f>
        <v>#N/A</v>
      </c>
    </row>
    <row r="721" ht="15.75" customHeight="1">
      <c r="B721" s="13" t="s">
        <v>1640</v>
      </c>
      <c r="C721" s="7">
        <v>111248.58200000008</v>
      </c>
      <c r="D721" s="7">
        <v>125575.36300000013</v>
      </c>
      <c r="E721" s="7">
        <v>112546.2119999999</v>
      </c>
      <c r="F721" s="7">
        <f t="shared" si="1"/>
        <v>349370.157</v>
      </c>
      <c r="G721" s="14">
        <f t="shared" si="2"/>
        <v>-0.003152684577</v>
      </c>
      <c r="I721" s="12"/>
      <c r="J721" s="12"/>
      <c r="K721" s="12"/>
      <c r="L721" s="12"/>
      <c r="M721" s="12">
        <v>44144.0</v>
      </c>
      <c r="N721" s="2">
        <v>354.56</v>
      </c>
      <c r="O721" s="3">
        <v>44085.0</v>
      </c>
      <c r="P721" s="4" t="str">
        <f t="array" ref="P721">XLOOKUP(O721,Agregado!$B$2:$B$1511,Agregado!$G$2:$G$1511)</f>
        <v>#N/A</v>
      </c>
    </row>
    <row r="722" ht="15.75" customHeight="1">
      <c r="B722" s="13" t="s">
        <v>1641</v>
      </c>
      <c r="C722" s="7">
        <v>113437.68300000008</v>
      </c>
      <c r="D722" s="7">
        <v>125698.39200000012</v>
      </c>
      <c r="E722" s="7">
        <v>112634.3109999999</v>
      </c>
      <c r="F722" s="7">
        <f t="shared" si="1"/>
        <v>351770.386</v>
      </c>
      <c r="G722" s="14">
        <f t="shared" si="2"/>
        <v>0.006846668333</v>
      </c>
      <c r="I722" s="12"/>
      <c r="J722" s="12"/>
      <c r="K722" s="12"/>
      <c r="L722" s="12"/>
      <c r="M722" s="12">
        <v>44145.0</v>
      </c>
      <c r="N722" s="2">
        <v>354.04</v>
      </c>
      <c r="O722" s="3">
        <v>44115.0</v>
      </c>
      <c r="P722" s="4" t="str">
        <f t="array" ref="P722">XLOOKUP(O722,Agregado!$B$2:$B$1511,Agregado!$G$2:$G$1511)</f>
        <v>#N/A</v>
      </c>
    </row>
    <row r="723" ht="15.75" customHeight="1">
      <c r="B723" s="13" t="s">
        <v>1642</v>
      </c>
      <c r="C723" s="7">
        <v>123218.62300000008</v>
      </c>
      <c r="D723" s="7">
        <v>126267.43800000013</v>
      </c>
      <c r="E723" s="7">
        <v>112586.3229999999</v>
      </c>
      <c r="F723" s="7">
        <f t="shared" si="1"/>
        <v>362072.384</v>
      </c>
      <c r="G723" s="14">
        <f t="shared" si="2"/>
        <v>0.02886549739</v>
      </c>
      <c r="I723" s="12"/>
      <c r="J723" s="12"/>
      <c r="K723" s="12"/>
      <c r="L723" s="12"/>
      <c r="M723" s="12">
        <v>44146.0</v>
      </c>
      <c r="N723" s="2">
        <v>356.67</v>
      </c>
      <c r="O723" s="3">
        <v>44146.0</v>
      </c>
      <c r="P723" s="4" t="str">
        <f t="array" ref="P723">XLOOKUP(O723,Agregado!$B$2:$B$1511,Agregado!$G$2:$G$1511)</f>
        <v>#N/A</v>
      </c>
    </row>
    <row r="724" ht="15.75" customHeight="1">
      <c r="B724" s="13" t="s">
        <v>1643</v>
      </c>
      <c r="C724" s="7">
        <v>124758.27900000008</v>
      </c>
      <c r="D724" s="7">
        <v>126001.02800000012</v>
      </c>
      <c r="E724" s="7">
        <v>112933.8479999999</v>
      </c>
      <c r="F724" s="7">
        <f t="shared" si="1"/>
        <v>363693.155</v>
      </c>
      <c r="G724" s="14">
        <f t="shared" si="2"/>
        <v>0.004466383721</v>
      </c>
      <c r="I724" s="12"/>
      <c r="J724" s="12"/>
      <c r="K724" s="12"/>
      <c r="L724" s="12"/>
      <c r="M724" s="12">
        <v>44147.0</v>
      </c>
      <c r="N724" s="2">
        <v>353.21</v>
      </c>
      <c r="O724" s="3">
        <v>44176.0</v>
      </c>
      <c r="P724" s="4" t="str">
        <f t="array" ref="P724">XLOOKUP(O724,Agregado!$B$2:$B$1511,Agregado!$G$2:$G$1511)</f>
        <v>#N/A</v>
      </c>
    </row>
    <row r="725" ht="15.75" customHeight="1">
      <c r="B725" s="13" t="s">
        <v>1644</v>
      </c>
      <c r="C725" s="7">
        <v>124437.29700000008</v>
      </c>
      <c r="D725" s="7">
        <v>126036.82100000013</v>
      </c>
      <c r="E725" s="7">
        <v>113126.7699999999</v>
      </c>
      <c r="F725" s="7">
        <f t="shared" si="1"/>
        <v>363600.888</v>
      </c>
      <c r="G725" s="14">
        <f t="shared" si="2"/>
        <v>-0.0002537268149</v>
      </c>
      <c r="I725" s="12"/>
      <c r="J725" s="12"/>
      <c r="K725" s="12"/>
      <c r="L725" s="12"/>
      <c r="M725" s="12">
        <v>44148.0</v>
      </c>
      <c r="N725" s="2">
        <v>358.1</v>
      </c>
      <c r="O725" s="3" t="s">
        <v>435</v>
      </c>
      <c r="P725" s="4" t="str">
        <f t="array" ref="P725">XLOOKUP(O725,Agregado!$B$2:$B$1511,Agregado!$G$2:$G$1511)</f>
        <v>#N/A</v>
      </c>
    </row>
    <row r="726" ht="15.75" customHeight="1">
      <c r="B726" s="13" t="s">
        <v>1645</v>
      </c>
      <c r="C726" s="7">
        <v>121099.87800000008</v>
      </c>
      <c r="D726" s="7">
        <v>126320.36900000012</v>
      </c>
      <c r="E726" s="7">
        <v>113216.2379999999</v>
      </c>
      <c r="F726" s="7">
        <f t="shared" si="1"/>
        <v>360636.485</v>
      </c>
      <c r="G726" s="14">
        <f t="shared" si="2"/>
        <v>-0.008186320302</v>
      </c>
      <c r="I726" s="12"/>
      <c r="J726" s="12"/>
      <c r="K726" s="12"/>
      <c r="L726" s="12"/>
      <c r="M726" s="12">
        <v>44151.0</v>
      </c>
      <c r="N726" s="2">
        <v>362.57</v>
      </c>
      <c r="O726" s="3" t="s">
        <v>436</v>
      </c>
      <c r="P726" s="4" t="str">
        <f t="array" ref="P726">XLOOKUP(O726,Agregado!$B$2:$B$1511,Agregado!$G$2:$G$1511)</f>
        <v>#N/A</v>
      </c>
    </row>
    <row r="727" ht="15.75" customHeight="1">
      <c r="B727" s="13" t="s">
        <v>1646</v>
      </c>
      <c r="C727" s="7">
        <v>119417.30600000008</v>
      </c>
      <c r="D727" s="7">
        <v>126248.51100000013</v>
      </c>
      <c r="E727" s="7">
        <v>113141.5259999999</v>
      </c>
      <c r="F727" s="7">
        <f t="shared" si="1"/>
        <v>358807.343</v>
      </c>
      <c r="G727" s="14">
        <f t="shared" si="2"/>
        <v>-0.005084888827</v>
      </c>
      <c r="I727" s="12"/>
      <c r="J727" s="12"/>
      <c r="K727" s="12"/>
      <c r="L727" s="12"/>
      <c r="M727" s="12">
        <v>44152.0</v>
      </c>
      <c r="N727" s="2">
        <v>360.62</v>
      </c>
      <c r="O727" s="3" t="s">
        <v>437</v>
      </c>
      <c r="P727" s="4" t="str">
        <f t="array" ref="P727">XLOOKUP(O727,Agregado!$B$2:$B$1511,Agregado!$G$2:$G$1511)</f>
        <v>#N/A</v>
      </c>
    </row>
    <row r="728" ht="15.75" customHeight="1">
      <c r="B728" s="13" t="s">
        <v>1647</v>
      </c>
      <c r="C728" s="7">
        <v>122387.01300000008</v>
      </c>
      <c r="D728" s="7">
        <v>126157.64200000012</v>
      </c>
      <c r="E728" s="7">
        <v>113278.65299999989</v>
      </c>
      <c r="F728" s="7">
        <f t="shared" si="1"/>
        <v>361823.308</v>
      </c>
      <c r="G728" s="14">
        <f t="shared" si="2"/>
        <v>0.008370397803</v>
      </c>
      <c r="I728" s="12"/>
      <c r="J728" s="12"/>
      <c r="K728" s="12"/>
      <c r="L728" s="12"/>
      <c r="M728" s="12">
        <v>44153.0</v>
      </c>
      <c r="N728" s="2">
        <v>356.28</v>
      </c>
      <c r="O728" s="3" t="s">
        <v>438</v>
      </c>
      <c r="P728" s="4" t="str">
        <f t="array" ref="P728">XLOOKUP(O728,Agregado!$B$2:$B$1511,Agregado!$G$2:$G$1511)</f>
        <v>#N/A</v>
      </c>
    </row>
    <row r="729" ht="15.75" customHeight="1">
      <c r="B729" s="13" t="s">
        <v>1648</v>
      </c>
      <c r="C729" s="7">
        <v>122855.63600000009</v>
      </c>
      <c r="D729" s="7">
        <v>126519.43000000012</v>
      </c>
      <c r="E729" s="7">
        <v>113499.9609999999</v>
      </c>
      <c r="F729" s="7">
        <f t="shared" si="1"/>
        <v>362875.027</v>
      </c>
      <c r="G729" s="14">
        <f t="shared" si="2"/>
        <v>0.002902503532</v>
      </c>
      <c r="I729" s="12"/>
      <c r="J729" s="12"/>
      <c r="K729" s="12"/>
      <c r="L729" s="12"/>
      <c r="M729" s="12">
        <v>44154.0</v>
      </c>
      <c r="N729" s="2">
        <v>357.78</v>
      </c>
      <c r="O729" s="3" t="s">
        <v>439</v>
      </c>
      <c r="P729" s="4" t="str">
        <f t="array" ref="P729">XLOOKUP(O729,Agregado!$B$2:$B$1511,Agregado!$G$2:$G$1511)</f>
        <v>#N/A</v>
      </c>
    </row>
    <row r="730" ht="15.75" customHeight="1">
      <c r="B730" s="13" t="s">
        <v>1649</v>
      </c>
      <c r="C730" s="7">
        <v>120111.40600000009</v>
      </c>
      <c r="D730" s="7">
        <v>126859.22100000012</v>
      </c>
      <c r="E730" s="7">
        <v>113648.18699999989</v>
      </c>
      <c r="F730" s="7">
        <f t="shared" si="1"/>
        <v>360618.814</v>
      </c>
      <c r="G730" s="14">
        <f t="shared" si="2"/>
        <v>-0.006237013188</v>
      </c>
      <c r="I730" s="12"/>
      <c r="J730" s="12"/>
      <c r="K730" s="12"/>
      <c r="L730" s="12"/>
      <c r="M730" s="12">
        <v>44155.0</v>
      </c>
      <c r="N730" s="2">
        <v>355.33</v>
      </c>
      <c r="O730" s="3" t="s">
        <v>440</v>
      </c>
      <c r="P730" s="4" t="str">
        <f t="array" ref="P730">XLOOKUP(O730,Agregado!$B$2:$B$1511,Agregado!$G$2:$G$1511)</f>
        <v>#N/A</v>
      </c>
    </row>
    <row r="731" ht="15.75" customHeight="1">
      <c r="B731" s="13" t="s">
        <v>1650</v>
      </c>
      <c r="C731" s="7">
        <v>118715.91200000008</v>
      </c>
      <c r="D731" s="7">
        <v>126948.99800000012</v>
      </c>
      <c r="E731" s="7">
        <v>113479.81599999989</v>
      </c>
      <c r="F731" s="7">
        <f t="shared" si="1"/>
        <v>359144.726</v>
      </c>
      <c r="G731" s="14">
        <f t="shared" si="2"/>
        <v>-0.004096039822</v>
      </c>
      <c r="I731" s="12"/>
      <c r="J731" s="12"/>
      <c r="K731" s="12"/>
      <c r="L731" s="12"/>
      <c r="M731" s="12">
        <v>44158.0</v>
      </c>
      <c r="N731" s="2">
        <v>357.46</v>
      </c>
      <c r="O731" s="3" t="s">
        <v>441</v>
      </c>
      <c r="P731" s="4" t="str">
        <f t="array" ref="P731">XLOOKUP(O731,Agregado!$B$2:$B$1511,Agregado!$G$2:$G$1511)</f>
        <v>#N/A</v>
      </c>
    </row>
    <row r="732" ht="15.75" customHeight="1">
      <c r="B732" s="13" t="s">
        <v>1651</v>
      </c>
      <c r="C732" s="7">
        <v>117720.80700000009</v>
      </c>
      <c r="D732" s="7">
        <v>127020.33300000013</v>
      </c>
      <c r="E732" s="7">
        <v>114045.44899999989</v>
      </c>
      <c r="F732" s="7">
        <f t="shared" si="1"/>
        <v>358786.589</v>
      </c>
      <c r="G732" s="14">
        <f t="shared" si="2"/>
        <v>-0.0009976916238</v>
      </c>
      <c r="I732" s="12"/>
      <c r="J732" s="12"/>
      <c r="K732" s="12"/>
      <c r="L732" s="12"/>
      <c r="M732" s="12">
        <v>44159.0</v>
      </c>
      <c r="N732" s="2">
        <v>363.22</v>
      </c>
      <c r="O732" s="3" t="s">
        <v>442</v>
      </c>
      <c r="P732" s="4" t="str">
        <f t="array" ref="P732">XLOOKUP(O732,Agregado!$B$2:$B$1511,Agregado!$G$2:$G$1511)</f>
        <v>#N/A</v>
      </c>
    </row>
    <row r="733" ht="15.75" customHeight="1">
      <c r="B733" s="13" t="s">
        <v>1652</v>
      </c>
      <c r="C733" s="7">
        <v>119222.02000000009</v>
      </c>
      <c r="D733" s="7">
        <v>127020.33300000013</v>
      </c>
      <c r="E733" s="7">
        <v>114115.66799999989</v>
      </c>
      <c r="F733" s="7">
        <f t="shared" si="1"/>
        <v>360358.021</v>
      </c>
      <c r="G733" s="14">
        <f t="shared" si="2"/>
        <v>0.004370287921</v>
      </c>
      <c r="I733" s="12"/>
      <c r="J733" s="12"/>
      <c r="K733" s="12"/>
      <c r="L733" s="12"/>
      <c r="M733" s="12">
        <v>44160.0</v>
      </c>
      <c r="N733" s="2">
        <v>362.66</v>
      </c>
      <c r="O733" s="3" t="s">
        <v>443</v>
      </c>
      <c r="P733" s="4" t="str">
        <f t="array" ref="P733">XLOOKUP(O733,Agregado!$B$2:$B$1511,Agregado!$G$2:$G$1511)</f>
        <v>#N/A</v>
      </c>
    </row>
    <row r="734" ht="15.75" customHeight="1">
      <c r="B734" s="13" t="s">
        <v>1653</v>
      </c>
      <c r="C734" s="7">
        <v>120075.53800000009</v>
      </c>
      <c r="D734" s="7">
        <v>126983.88100000012</v>
      </c>
      <c r="E734" s="7">
        <v>114125.52499999989</v>
      </c>
      <c r="F734" s="7">
        <f t="shared" si="1"/>
        <v>361184.944</v>
      </c>
      <c r="G734" s="14">
        <f t="shared" si="2"/>
        <v>0.002292097358</v>
      </c>
      <c r="I734" s="12"/>
      <c r="J734" s="12"/>
      <c r="K734" s="12"/>
      <c r="L734" s="12"/>
      <c r="M734" s="12">
        <v>44162.0</v>
      </c>
      <c r="N734" s="2">
        <v>363.67</v>
      </c>
      <c r="O734" s="3" t="s">
        <v>444</v>
      </c>
      <c r="P734" s="4" t="str">
        <f t="array" ref="P734">XLOOKUP(O734,Agregado!$B$2:$B$1511,Agregado!$G$2:$G$1511)</f>
        <v>#N/A</v>
      </c>
    </row>
    <row r="735" ht="15.75" customHeight="1">
      <c r="B735" s="13" t="s">
        <v>1654</v>
      </c>
      <c r="C735" s="7">
        <v>120710.15000000008</v>
      </c>
      <c r="D735" s="7">
        <v>127074.87000000013</v>
      </c>
      <c r="E735" s="7">
        <v>114504.45599999989</v>
      </c>
      <c r="F735" s="7">
        <f t="shared" si="1"/>
        <v>362289.476</v>
      </c>
      <c r="G735" s="14">
        <f t="shared" si="2"/>
        <v>0.003053412333</v>
      </c>
      <c r="I735" s="12"/>
      <c r="J735" s="12"/>
      <c r="K735" s="12"/>
      <c r="L735" s="12"/>
      <c r="M735" s="12">
        <v>44165.0</v>
      </c>
      <c r="N735" s="2">
        <v>362.06</v>
      </c>
      <c r="O735" s="3" t="s">
        <v>445</v>
      </c>
      <c r="P735" s="4" t="str">
        <f t="array" ref="P735">XLOOKUP(O735,Agregado!$B$2:$B$1511,Agregado!$G$2:$G$1511)</f>
        <v>#N/A</v>
      </c>
    </row>
    <row r="736" ht="15.75" customHeight="1">
      <c r="B736" s="13" t="s">
        <v>1655</v>
      </c>
      <c r="C736" s="7">
        <v>119928.54700000008</v>
      </c>
      <c r="D736" s="7">
        <v>127093.11300000013</v>
      </c>
      <c r="E736" s="7">
        <v>114531.09899999989</v>
      </c>
      <c r="F736" s="7">
        <f t="shared" si="1"/>
        <v>361552.759</v>
      </c>
      <c r="G736" s="14">
        <f t="shared" si="2"/>
        <v>-0.002035574104</v>
      </c>
      <c r="I736" s="12"/>
      <c r="J736" s="12"/>
      <c r="K736" s="12"/>
      <c r="L736" s="12"/>
      <c r="M736" s="12">
        <v>44166.0</v>
      </c>
      <c r="N736" s="2">
        <v>366.02</v>
      </c>
      <c r="O736" s="3">
        <v>43842.0</v>
      </c>
      <c r="P736" s="4" t="str">
        <f t="array" ref="P736">XLOOKUP(O736,Agregado!$B$2:$B$1511,Agregado!$G$2:$G$1511)</f>
        <v>#N/A</v>
      </c>
    </row>
    <row r="737" ht="15.75" customHeight="1">
      <c r="B737" s="13" t="s">
        <v>1656</v>
      </c>
      <c r="C737" s="7">
        <v>121665.78900000008</v>
      </c>
      <c r="D737" s="7">
        <v>127855.93400000012</v>
      </c>
      <c r="E737" s="7">
        <v>114825.85999999988</v>
      </c>
      <c r="F737" s="7">
        <f t="shared" si="1"/>
        <v>364347.583</v>
      </c>
      <c r="G737" s="14">
        <f t="shared" si="2"/>
        <v>0.007700334738</v>
      </c>
      <c r="I737" s="12"/>
      <c r="J737" s="12"/>
      <c r="K737" s="12"/>
      <c r="L737" s="12"/>
      <c r="M737" s="12">
        <v>44167.0</v>
      </c>
      <c r="N737" s="2">
        <v>366.79</v>
      </c>
      <c r="O737" s="3">
        <v>43873.0</v>
      </c>
      <c r="P737" s="4" t="str">
        <f t="array" ref="P737">XLOOKUP(O737,Agregado!$B$2:$B$1511,Agregado!$G$2:$G$1511)</f>
        <v>#N/A</v>
      </c>
    </row>
    <row r="738" ht="15.75" customHeight="1">
      <c r="B738" s="13" t="s">
        <v>1657</v>
      </c>
      <c r="C738" s="7">
        <v>121574.28800000007</v>
      </c>
      <c r="D738" s="7">
        <v>128113.08000000012</v>
      </c>
      <c r="E738" s="7">
        <v>107830.36699999988</v>
      </c>
      <c r="F738" s="7">
        <f t="shared" si="1"/>
        <v>357517.735</v>
      </c>
      <c r="G738" s="14">
        <f t="shared" si="2"/>
        <v>-0.01892334107</v>
      </c>
      <c r="I738" s="12"/>
      <c r="J738" s="12"/>
      <c r="K738" s="12"/>
      <c r="L738" s="12"/>
      <c r="M738" s="12">
        <v>44168.0</v>
      </c>
      <c r="N738" s="2">
        <v>366.69</v>
      </c>
      <c r="O738" s="3">
        <v>43902.0</v>
      </c>
      <c r="P738" s="4" t="str">
        <f t="array" ref="P738">XLOOKUP(O738,Agregado!$B$2:$B$1511,Agregado!$G$2:$G$1511)</f>
        <v>#N/A</v>
      </c>
    </row>
    <row r="739" ht="15.75" customHeight="1">
      <c r="B739" s="13" t="s">
        <v>1658</v>
      </c>
      <c r="C739" s="7">
        <v>119814.16300000007</v>
      </c>
      <c r="D739" s="7">
        <v>127432.20100000012</v>
      </c>
      <c r="E739" s="7">
        <v>107305.21499999988</v>
      </c>
      <c r="F739" s="7">
        <f t="shared" si="1"/>
        <v>354551.579</v>
      </c>
      <c r="G739" s="14">
        <f t="shared" si="2"/>
        <v>-0.008331136022</v>
      </c>
      <c r="I739" s="12"/>
      <c r="J739" s="12"/>
      <c r="K739" s="12"/>
      <c r="L739" s="12"/>
      <c r="M739" s="12">
        <v>44169.0</v>
      </c>
      <c r="N739" s="2">
        <v>369.85</v>
      </c>
      <c r="O739" s="3">
        <v>43933.0</v>
      </c>
      <c r="P739" s="4" t="str">
        <f t="array" ref="P739">XLOOKUP(O739,Agregado!$B$2:$B$1511,Agregado!$G$2:$G$1511)</f>
        <v>#N/A</v>
      </c>
    </row>
    <row r="740" ht="15.75" customHeight="1">
      <c r="B740" s="13" t="s">
        <v>1659</v>
      </c>
      <c r="C740" s="7">
        <v>118824.53300000007</v>
      </c>
      <c r="D740" s="7">
        <v>127358.62500000012</v>
      </c>
      <c r="E740" s="7">
        <v>107216.00499999987</v>
      </c>
      <c r="F740" s="7">
        <f t="shared" si="1"/>
        <v>353399.163</v>
      </c>
      <c r="G740" s="14">
        <f t="shared" si="2"/>
        <v>-0.003255641811</v>
      </c>
      <c r="I740" s="12"/>
      <c r="J740" s="12"/>
      <c r="K740" s="12"/>
      <c r="L740" s="12"/>
      <c r="M740" s="12">
        <v>44172.0</v>
      </c>
      <c r="N740" s="2">
        <v>369.09</v>
      </c>
      <c r="O740" s="3">
        <v>44024.0</v>
      </c>
      <c r="P740" s="4" t="str">
        <f t="array" ref="P740">XLOOKUP(O740,Agregado!$B$2:$B$1511,Agregado!$G$2:$G$1511)</f>
        <v>#N/A</v>
      </c>
    </row>
    <row r="741" ht="15.75" customHeight="1">
      <c r="B741" s="13" t="s">
        <v>1660</v>
      </c>
      <c r="C741" s="7">
        <v>115515.02000000006</v>
      </c>
      <c r="D741" s="7">
        <v>127451.41300000012</v>
      </c>
      <c r="E741" s="7">
        <v>107324.13899999988</v>
      </c>
      <c r="F741" s="7">
        <f t="shared" si="1"/>
        <v>350290.572</v>
      </c>
      <c r="G741" s="14">
        <f t="shared" si="2"/>
        <v>-0.008835175694</v>
      </c>
      <c r="I741" s="12"/>
      <c r="J741" s="12"/>
      <c r="K741" s="12"/>
      <c r="L741" s="12"/>
      <c r="M741" s="12">
        <v>44173.0</v>
      </c>
      <c r="N741" s="2">
        <v>370.17</v>
      </c>
      <c r="O741" s="3">
        <v>44055.0</v>
      </c>
      <c r="P741" s="4" t="str">
        <f t="array" ref="P741">XLOOKUP(O741,Agregado!$B$2:$B$1511,Agregado!$G$2:$G$1511)</f>
        <v>#N/A</v>
      </c>
    </row>
    <row r="742" ht="15.75" customHeight="1">
      <c r="B742" s="13" t="s">
        <v>1661</v>
      </c>
      <c r="C742" s="7">
        <v>113632.80200000007</v>
      </c>
      <c r="D742" s="7">
        <v>127451.41300000012</v>
      </c>
      <c r="E742" s="7">
        <v>107435.15799999988</v>
      </c>
      <c r="F742" s="7">
        <f t="shared" si="1"/>
        <v>348519.373</v>
      </c>
      <c r="G742" s="14">
        <f t="shared" si="2"/>
        <v>-0.005069197442</v>
      </c>
      <c r="I742" s="12"/>
      <c r="J742" s="12"/>
      <c r="K742" s="12"/>
      <c r="L742" s="12"/>
      <c r="M742" s="12">
        <v>44174.0</v>
      </c>
      <c r="N742" s="2">
        <v>366.85</v>
      </c>
      <c r="O742" s="3">
        <v>44086.0</v>
      </c>
      <c r="P742" s="4" t="str">
        <f t="array" ref="P742">XLOOKUP(O742,Agregado!$B$2:$B$1511,Agregado!$G$2:$G$1511)</f>
        <v>#N/A</v>
      </c>
    </row>
    <row r="743" ht="15.75" customHeight="1">
      <c r="B743" s="13" t="s">
        <v>1662</v>
      </c>
      <c r="C743" s="7">
        <v>112578.03500000006</v>
      </c>
      <c r="D743" s="7">
        <v>126392.71100000011</v>
      </c>
      <c r="E743" s="7">
        <v>107404.85699999987</v>
      </c>
      <c r="F743" s="7">
        <f t="shared" si="1"/>
        <v>346375.603</v>
      </c>
      <c r="G743" s="14">
        <f t="shared" si="2"/>
        <v>-0.006170074256</v>
      </c>
      <c r="I743" s="12"/>
      <c r="J743" s="12"/>
      <c r="K743" s="12"/>
      <c r="L743" s="12"/>
      <c r="M743" s="12">
        <v>44175.0</v>
      </c>
      <c r="N743" s="2">
        <v>366.73</v>
      </c>
      <c r="O743" s="3">
        <v>44116.0</v>
      </c>
      <c r="P743" s="4" t="str">
        <f t="array" ref="P743">XLOOKUP(O743,Agregado!$B$2:$B$1511,Agregado!$G$2:$G$1511)</f>
        <v>#N/A</v>
      </c>
    </row>
    <row r="744" ht="15.75" customHeight="1">
      <c r="B744" s="13" t="s">
        <v>1663</v>
      </c>
      <c r="C744" s="7">
        <v>113495.98200000006</v>
      </c>
      <c r="D744" s="7">
        <v>127498.32800000011</v>
      </c>
      <c r="E744" s="7">
        <v>107633.90099999987</v>
      </c>
      <c r="F744" s="7">
        <f t="shared" si="1"/>
        <v>348628.211</v>
      </c>
      <c r="G744" s="14">
        <f t="shared" si="2"/>
        <v>0.006482312306</v>
      </c>
      <c r="I744" s="12"/>
      <c r="J744" s="12"/>
      <c r="K744" s="12"/>
      <c r="L744" s="12"/>
      <c r="M744" s="12">
        <v>44176.0</v>
      </c>
      <c r="N744" s="2">
        <v>366.3</v>
      </c>
      <c r="O744" s="3">
        <v>44147.0</v>
      </c>
      <c r="P744" s="4" t="str">
        <f t="array" ref="P744">XLOOKUP(O744,Agregado!$B$2:$B$1511,Agregado!$G$2:$G$1511)</f>
        <v>#N/A</v>
      </c>
    </row>
    <row r="745" ht="15.75" customHeight="1">
      <c r="B745" s="13" t="s">
        <v>1664</v>
      </c>
      <c r="C745" s="7">
        <v>111460.60500000007</v>
      </c>
      <c r="D745" s="7">
        <v>127995.25300000011</v>
      </c>
      <c r="E745" s="7">
        <v>107609.13999999987</v>
      </c>
      <c r="F745" s="7">
        <f t="shared" si="1"/>
        <v>347064.998</v>
      </c>
      <c r="G745" s="14">
        <f t="shared" si="2"/>
        <v>-0.004493979848</v>
      </c>
      <c r="I745" s="12"/>
      <c r="J745" s="12"/>
      <c r="K745" s="12"/>
      <c r="L745" s="12"/>
      <c r="M745" s="12">
        <v>44179.0</v>
      </c>
      <c r="N745" s="2">
        <v>364.66</v>
      </c>
      <c r="O745" s="3" t="s">
        <v>446</v>
      </c>
      <c r="P745" s="4" t="str">
        <f t="array" ref="P745">XLOOKUP(O745,Agregado!$B$2:$B$1511,Agregado!$G$2:$G$1511)</f>
        <v>#N/A</v>
      </c>
    </row>
    <row r="746" ht="15.75" customHeight="1">
      <c r="B746" s="13" t="s">
        <v>1665</v>
      </c>
      <c r="C746" s="7">
        <v>108805.08700000007</v>
      </c>
      <c r="D746" s="7">
        <v>128601.84800000011</v>
      </c>
      <c r="E746" s="7">
        <v>107667.00999999986</v>
      </c>
      <c r="F746" s="7">
        <f t="shared" si="1"/>
        <v>345073.945</v>
      </c>
      <c r="G746" s="14">
        <f t="shared" si="2"/>
        <v>-0.005753349128</v>
      </c>
      <c r="I746" s="12"/>
      <c r="J746" s="12"/>
      <c r="K746" s="12"/>
      <c r="L746" s="12"/>
      <c r="M746" s="12">
        <v>44180.0</v>
      </c>
      <c r="N746" s="2">
        <v>369.59</v>
      </c>
      <c r="O746" s="3" t="s">
        <v>447</v>
      </c>
      <c r="P746" s="4" t="str">
        <f t="array" ref="P746">XLOOKUP(O746,Agregado!$B$2:$B$1511,Agregado!$G$2:$G$1511)</f>
        <v>#N/A</v>
      </c>
    </row>
    <row r="747" ht="15.75" customHeight="1">
      <c r="B747" s="13" t="s">
        <v>1666</v>
      </c>
      <c r="C747" s="7">
        <v>108020.87100000007</v>
      </c>
      <c r="D747" s="7">
        <v>130588.31000000011</v>
      </c>
      <c r="E747" s="7">
        <v>107789.23899999987</v>
      </c>
      <c r="F747" s="7">
        <f t="shared" si="1"/>
        <v>346398.42</v>
      </c>
      <c r="G747" s="14">
        <f t="shared" si="2"/>
        <v>0.003830888078</v>
      </c>
      <c r="I747" s="12"/>
      <c r="J747" s="12"/>
      <c r="K747" s="12"/>
      <c r="L747" s="12"/>
      <c r="M747" s="12">
        <v>44181.0</v>
      </c>
      <c r="N747" s="2">
        <v>370.17</v>
      </c>
      <c r="O747" s="3" t="s">
        <v>448</v>
      </c>
      <c r="P747" s="4" t="str">
        <f t="array" ref="P747">XLOOKUP(O747,Agregado!$B$2:$B$1511,Agregado!$G$2:$G$1511)</f>
        <v>#N/A</v>
      </c>
    </row>
    <row r="748" ht="15.75" customHeight="1">
      <c r="B748" s="13" t="s">
        <v>1667</v>
      </c>
      <c r="C748" s="7">
        <v>103827.59700000007</v>
      </c>
      <c r="D748" s="7">
        <v>132803.51600000012</v>
      </c>
      <c r="E748" s="7">
        <v>107995.25899999987</v>
      </c>
      <c r="F748" s="7">
        <f t="shared" si="1"/>
        <v>344626.372</v>
      </c>
      <c r="G748" s="14">
        <f t="shared" si="2"/>
        <v>-0.005128765002</v>
      </c>
      <c r="I748" s="12"/>
      <c r="J748" s="12"/>
      <c r="K748" s="12"/>
      <c r="L748" s="12"/>
      <c r="M748" s="12">
        <v>44182.0</v>
      </c>
      <c r="N748" s="2">
        <v>372.24</v>
      </c>
      <c r="O748" s="3" t="s">
        <v>449</v>
      </c>
      <c r="P748" s="4" t="str">
        <f t="array" ref="P748">XLOOKUP(O748,Agregado!$B$2:$B$1511,Agregado!$G$2:$G$1511)</f>
        <v>#N/A</v>
      </c>
    </row>
    <row r="749" ht="15.75" customHeight="1">
      <c r="B749" s="13" t="s">
        <v>1668</v>
      </c>
      <c r="C749" s="7">
        <v>106566.37200000006</v>
      </c>
      <c r="D749" s="7">
        <v>124518.72400000012</v>
      </c>
      <c r="E749" s="7">
        <v>109637.71999999987</v>
      </c>
      <c r="F749" s="7">
        <f t="shared" si="1"/>
        <v>340722.816</v>
      </c>
      <c r="G749" s="14">
        <f t="shared" si="2"/>
        <v>-0.01139156004</v>
      </c>
      <c r="I749" s="12"/>
      <c r="J749" s="12"/>
      <c r="K749" s="12"/>
      <c r="L749" s="12"/>
      <c r="M749" s="12">
        <v>44183.0</v>
      </c>
      <c r="N749" s="2">
        <v>369.18</v>
      </c>
      <c r="O749" s="3" t="s">
        <v>450</v>
      </c>
      <c r="P749" s="4" t="str">
        <f t="array" ref="P749">XLOOKUP(O749,Agregado!$B$2:$B$1511,Agregado!$G$2:$G$1511)</f>
        <v>#N/A</v>
      </c>
    </row>
    <row r="750" ht="15.75" customHeight="1">
      <c r="B750" s="13" t="s">
        <v>1669</v>
      </c>
      <c r="C750" s="7">
        <v>109209.31100000006</v>
      </c>
      <c r="D750" s="7">
        <v>125169.73100000012</v>
      </c>
      <c r="E750" s="7">
        <v>109849.50599999986</v>
      </c>
      <c r="F750" s="7">
        <f t="shared" si="1"/>
        <v>344228.548</v>
      </c>
      <c r="G750" s="14">
        <f t="shared" si="2"/>
        <v>0.01023653006</v>
      </c>
      <c r="I750" s="12"/>
      <c r="J750" s="12"/>
      <c r="K750" s="12"/>
      <c r="L750" s="12"/>
      <c r="M750" s="12">
        <v>44186.0</v>
      </c>
      <c r="N750" s="2">
        <v>367.86</v>
      </c>
      <c r="O750" s="3" t="s">
        <v>451</v>
      </c>
      <c r="P750" s="4" t="str">
        <f t="array" ref="P750">XLOOKUP(O750,Agregado!$B$2:$B$1511,Agregado!$G$2:$G$1511)</f>
        <v>#N/A</v>
      </c>
    </row>
    <row r="751" ht="15.75" customHeight="1">
      <c r="B751" s="13" t="s">
        <v>1670</v>
      </c>
      <c r="C751" s="7">
        <v>111351.75400000006</v>
      </c>
      <c r="D751" s="7">
        <v>125670.21200000012</v>
      </c>
      <c r="E751" s="7">
        <v>109322.95199999986</v>
      </c>
      <c r="F751" s="7">
        <f t="shared" si="1"/>
        <v>346344.918</v>
      </c>
      <c r="G751" s="14">
        <f t="shared" si="2"/>
        <v>0.006129330853</v>
      </c>
      <c r="I751" s="12"/>
      <c r="J751" s="12"/>
      <c r="K751" s="12"/>
      <c r="L751" s="12"/>
      <c r="M751" s="12">
        <v>44187.0</v>
      </c>
      <c r="N751" s="2">
        <v>367.24</v>
      </c>
      <c r="O751" s="3" t="s">
        <v>452</v>
      </c>
      <c r="P751" s="4" t="str">
        <f t="array" ref="P751">XLOOKUP(O751,Agregado!$B$2:$B$1511,Agregado!$G$2:$G$1511)</f>
        <v>#N/A</v>
      </c>
    </row>
    <row r="752" ht="15.75" customHeight="1">
      <c r="B752" s="13" t="s">
        <v>1671</v>
      </c>
      <c r="C752" s="7">
        <v>115859.16100000007</v>
      </c>
      <c r="D752" s="7">
        <v>125337.85000000012</v>
      </c>
      <c r="E752" s="7">
        <v>108389.34899999986</v>
      </c>
      <c r="F752" s="7">
        <f t="shared" si="1"/>
        <v>349586.36</v>
      </c>
      <c r="G752" s="14">
        <f t="shared" si="2"/>
        <v>0.00931547566</v>
      </c>
      <c r="I752" s="12"/>
      <c r="J752" s="12"/>
      <c r="K752" s="12"/>
      <c r="L752" s="12"/>
      <c r="M752" s="12">
        <v>44188.0</v>
      </c>
      <c r="N752" s="2">
        <v>367.57</v>
      </c>
      <c r="O752" s="3" t="s">
        <v>453</v>
      </c>
      <c r="P752" s="4" t="str">
        <f t="array" ref="P752">XLOOKUP(O752,Agregado!$B$2:$B$1511,Agregado!$G$2:$G$1511)</f>
        <v>#N/A</v>
      </c>
    </row>
    <row r="753" ht="15.75" customHeight="1">
      <c r="B753" s="13" t="s">
        <v>1672</v>
      </c>
      <c r="C753" s="7">
        <v>117970.63300000006</v>
      </c>
      <c r="D753" s="7">
        <v>124011.06200000012</v>
      </c>
      <c r="E753" s="7">
        <v>108347.15799999985</v>
      </c>
      <c r="F753" s="7">
        <f t="shared" si="1"/>
        <v>350328.853</v>
      </c>
      <c r="G753" s="14">
        <f t="shared" si="2"/>
        <v>0.002121666353</v>
      </c>
      <c r="I753" s="12"/>
      <c r="J753" s="12"/>
      <c r="K753" s="12"/>
      <c r="L753" s="12"/>
      <c r="M753" s="12">
        <v>44189.0</v>
      </c>
      <c r="N753" s="2">
        <v>369.0</v>
      </c>
      <c r="O753" s="3" t="s">
        <v>454</v>
      </c>
      <c r="P753" s="4" t="str">
        <f t="array" ref="P753">XLOOKUP(O753,Agregado!$B$2:$B$1511,Agregado!$G$2:$G$1511)</f>
        <v>#N/A</v>
      </c>
    </row>
    <row r="754" ht="15.75" customHeight="1">
      <c r="B754" s="13" t="s">
        <v>1673</v>
      </c>
      <c r="C754" s="7">
        <v>116169.92100000006</v>
      </c>
      <c r="D754" s="7">
        <v>122867.68100000013</v>
      </c>
      <c r="E754" s="7">
        <v>108701.82699999984</v>
      </c>
      <c r="F754" s="7">
        <f t="shared" si="1"/>
        <v>347739.429</v>
      </c>
      <c r="G754" s="14">
        <f t="shared" si="2"/>
        <v>-0.007418861288</v>
      </c>
      <c r="I754" s="12"/>
      <c r="J754" s="12"/>
      <c r="K754" s="12"/>
      <c r="L754" s="12"/>
      <c r="M754" s="12">
        <v>44193.0</v>
      </c>
      <c r="N754" s="2">
        <v>372.17</v>
      </c>
      <c r="O754" s="3" t="s">
        <v>455</v>
      </c>
      <c r="P754" s="4" t="str">
        <f t="array" ref="P754">XLOOKUP(O754,Agregado!$B$2:$B$1511,Agregado!$G$2:$G$1511)</f>
        <v>#N/A</v>
      </c>
    </row>
    <row r="755" ht="15.75" customHeight="1">
      <c r="B755" s="13" t="s">
        <v>1674</v>
      </c>
      <c r="C755" s="7">
        <v>116114.59700000007</v>
      </c>
      <c r="D755" s="7">
        <v>122960.22500000012</v>
      </c>
      <c r="E755" s="7">
        <v>108956.62899999984</v>
      </c>
      <c r="F755" s="7">
        <f t="shared" si="1"/>
        <v>348031.451</v>
      </c>
      <c r="G755" s="14">
        <f t="shared" si="2"/>
        <v>0.0008394200607</v>
      </c>
      <c r="I755" s="12"/>
      <c r="J755" s="12"/>
      <c r="K755" s="12"/>
      <c r="L755" s="12"/>
      <c r="M755" s="12">
        <v>44194.0</v>
      </c>
      <c r="N755" s="2">
        <v>371.46</v>
      </c>
      <c r="O755" s="3" t="s">
        <v>456</v>
      </c>
      <c r="P755" s="4" t="str">
        <f t="array" ref="P755">XLOOKUP(O755,Agregado!$B$2:$B$1511,Agregado!$G$2:$G$1511)</f>
        <v>#N/A</v>
      </c>
    </row>
    <row r="756" ht="15.75" customHeight="1">
      <c r="B756" s="13" t="s">
        <v>1675</v>
      </c>
      <c r="C756" s="7">
        <v>117026.10700000006</v>
      </c>
      <c r="D756" s="7">
        <v>123128.25700000013</v>
      </c>
      <c r="E756" s="7">
        <v>109377.65199999984</v>
      </c>
      <c r="F756" s="7">
        <f t="shared" si="1"/>
        <v>349532.016</v>
      </c>
      <c r="G756" s="14">
        <f t="shared" si="2"/>
        <v>0.004302310501</v>
      </c>
      <c r="I756" s="12"/>
      <c r="J756" s="12"/>
      <c r="K756" s="12"/>
      <c r="L756" s="12"/>
      <c r="M756" s="12">
        <v>44195.0</v>
      </c>
      <c r="N756" s="2">
        <v>371.99</v>
      </c>
      <c r="O756" s="3" t="s">
        <v>457</v>
      </c>
      <c r="P756" s="4" t="str">
        <f t="array" ref="P756">XLOOKUP(O756,Agregado!$B$2:$B$1511,Agregado!$G$2:$G$1511)</f>
        <v>#N/A</v>
      </c>
    </row>
    <row r="757" ht="15.75" customHeight="1">
      <c r="B757" s="13" t="s">
        <v>1676</v>
      </c>
      <c r="C757" s="7">
        <v>118288.23900000006</v>
      </c>
      <c r="D757" s="7">
        <v>123202.77200000013</v>
      </c>
      <c r="E757" s="7">
        <v>109409.67199999985</v>
      </c>
      <c r="F757" s="7">
        <f t="shared" si="1"/>
        <v>350900.683</v>
      </c>
      <c r="G757" s="14">
        <f t="shared" si="2"/>
        <v>0.003908066382</v>
      </c>
      <c r="I757" s="12"/>
      <c r="J757" s="12"/>
      <c r="K757" s="12"/>
      <c r="L757" s="12"/>
      <c r="M757" s="12">
        <v>44196.0</v>
      </c>
      <c r="N757" s="2">
        <v>373.88</v>
      </c>
      <c r="O757" s="3" t="s">
        <v>458</v>
      </c>
      <c r="P757" s="4" t="str">
        <f t="array" ref="P757">XLOOKUP(O757,Agregado!$B$2:$B$1511,Agregado!$G$2:$G$1511)</f>
        <v>#N/A</v>
      </c>
    </row>
    <row r="758" ht="15.75" customHeight="1">
      <c r="B758" s="13" t="s">
        <v>1677</v>
      </c>
      <c r="C758" s="7">
        <v>115630.20300000007</v>
      </c>
      <c r="D758" s="7">
        <v>123314.70600000012</v>
      </c>
      <c r="E758" s="7">
        <v>109396.10299999984</v>
      </c>
      <c r="F758" s="7">
        <f t="shared" si="1"/>
        <v>348341.012</v>
      </c>
      <c r="G758" s="14">
        <f t="shared" si="2"/>
        <v>-0.007321309504</v>
      </c>
      <c r="I758" s="12"/>
      <c r="J758" s="12"/>
      <c r="K758" s="12"/>
      <c r="L758" s="12"/>
      <c r="M758" s="12">
        <v>44200.0</v>
      </c>
      <c r="N758" s="2">
        <v>368.79</v>
      </c>
      <c r="O758" s="3">
        <v>44287.0</v>
      </c>
      <c r="P758" s="4" t="str">
        <f t="array" ref="P758">XLOOKUP(O758,Agregado!$B$2:$B$1511,Agregado!$G$2:$G$1511)</f>
        <v>#N/A</v>
      </c>
    </row>
    <row r="759" ht="15.75" customHeight="1">
      <c r="B759" s="13" t="s">
        <v>1678</v>
      </c>
      <c r="C759" s="7">
        <v>118941.65900000007</v>
      </c>
      <c r="D759" s="7">
        <v>123295.92900000012</v>
      </c>
      <c r="E759" s="7">
        <v>109263.71999999984</v>
      </c>
      <c r="F759" s="7">
        <f t="shared" si="1"/>
        <v>351501.308</v>
      </c>
      <c r="G759" s="14">
        <f t="shared" si="2"/>
        <v>0.009031512932</v>
      </c>
      <c r="I759" s="12"/>
      <c r="J759" s="12"/>
      <c r="K759" s="12"/>
      <c r="L759" s="12"/>
      <c r="M759" s="12">
        <v>44201.0</v>
      </c>
      <c r="N759" s="2">
        <v>371.33</v>
      </c>
      <c r="O759" s="3">
        <v>44317.0</v>
      </c>
      <c r="P759" s="4" t="str">
        <f t="array" ref="P759">XLOOKUP(O759,Agregado!$B$2:$B$1511,Agregado!$G$2:$G$1511)</f>
        <v>#N/A</v>
      </c>
    </row>
    <row r="760" ht="15.75" customHeight="1">
      <c r="B760" s="13" t="s">
        <v>1679</v>
      </c>
      <c r="C760" s="7">
        <v>118333.35300000008</v>
      </c>
      <c r="D760" s="7">
        <v>123573.44600000013</v>
      </c>
      <c r="E760" s="7">
        <v>109254.73499999984</v>
      </c>
      <c r="F760" s="7">
        <f t="shared" si="1"/>
        <v>351161.534</v>
      </c>
      <c r="G760" s="14">
        <f t="shared" si="2"/>
        <v>-0.0009671040111</v>
      </c>
      <c r="I760" s="12"/>
      <c r="J760" s="12"/>
      <c r="K760" s="12"/>
      <c r="L760" s="12"/>
      <c r="M760" s="12">
        <v>44202.0</v>
      </c>
      <c r="N760" s="2">
        <v>373.55</v>
      </c>
      <c r="O760" s="3">
        <v>44348.0</v>
      </c>
      <c r="P760" s="4" t="str">
        <f t="array" ref="P760">XLOOKUP(O760,Agregado!$B$2:$B$1511,Agregado!$G$2:$G$1511)</f>
        <v>#N/A</v>
      </c>
    </row>
    <row r="761" ht="15.75" customHeight="1">
      <c r="B761" s="13" t="s">
        <v>1680</v>
      </c>
      <c r="C761" s="7">
        <v>116123.96100000007</v>
      </c>
      <c r="D761" s="7">
        <v>123480.27400000012</v>
      </c>
      <c r="E761" s="7">
        <v>109411.63299999984</v>
      </c>
      <c r="F761" s="7">
        <f t="shared" si="1"/>
        <v>349015.868</v>
      </c>
      <c r="G761" s="14">
        <f t="shared" si="2"/>
        <v>-0.00612894021</v>
      </c>
      <c r="I761" s="12"/>
      <c r="J761" s="12"/>
      <c r="K761" s="12"/>
      <c r="L761" s="12"/>
      <c r="M761" s="12">
        <v>44203.0</v>
      </c>
      <c r="N761" s="2">
        <v>379.1</v>
      </c>
      <c r="O761" s="3">
        <v>44378.0</v>
      </c>
      <c r="P761" s="4" t="str">
        <f t="array" ref="P761">XLOOKUP(O761,Agregado!$B$2:$B$1511,Agregado!$G$2:$G$1511)</f>
        <v>#N/A</v>
      </c>
    </row>
    <row r="762" ht="15.75" customHeight="1">
      <c r="B762" s="13" t="s">
        <v>1681</v>
      </c>
      <c r="C762" s="7">
        <v>118495.38500000007</v>
      </c>
      <c r="D762" s="7">
        <v>123386.56900000012</v>
      </c>
      <c r="E762" s="7">
        <v>109544.80199999984</v>
      </c>
      <c r="F762" s="7">
        <f t="shared" si="1"/>
        <v>351426.756</v>
      </c>
      <c r="G762" s="14">
        <f t="shared" si="2"/>
        <v>0.006883925787</v>
      </c>
      <c r="I762" s="12"/>
      <c r="J762" s="12"/>
      <c r="K762" s="12"/>
      <c r="L762" s="12"/>
      <c r="M762" s="12">
        <v>44204.0</v>
      </c>
      <c r="N762" s="2">
        <v>381.26</v>
      </c>
      <c r="O762" s="3">
        <v>44409.0</v>
      </c>
      <c r="P762" s="4" t="str">
        <f t="array" ref="P762">XLOOKUP(O762,Agregado!$B$2:$B$1511,Agregado!$G$2:$G$1511)</f>
        <v>#N/A</v>
      </c>
    </row>
    <row r="763" ht="15.75" customHeight="1">
      <c r="B763" s="13" t="s">
        <v>1682</v>
      </c>
      <c r="C763" s="7">
        <v>115652.30900000007</v>
      </c>
      <c r="D763" s="7">
        <v>122891.96500000011</v>
      </c>
      <c r="E763" s="7">
        <v>109800.35899999984</v>
      </c>
      <c r="F763" s="7">
        <f t="shared" si="1"/>
        <v>348344.633</v>
      </c>
      <c r="G763" s="14">
        <f t="shared" si="2"/>
        <v>-0.008808999565</v>
      </c>
      <c r="I763" s="12"/>
      <c r="J763" s="12"/>
      <c r="K763" s="12"/>
      <c r="L763" s="12"/>
      <c r="M763" s="12">
        <v>44207.0</v>
      </c>
      <c r="N763" s="2">
        <v>378.69</v>
      </c>
      <c r="O763" s="3">
        <v>44501.0</v>
      </c>
      <c r="P763" s="4" t="str">
        <f t="array" ref="P763">XLOOKUP(O763,Agregado!$B$2:$B$1511,Agregado!$G$2:$G$1511)</f>
        <v>#N/A</v>
      </c>
    </row>
    <row r="764" ht="15.75" customHeight="1">
      <c r="B764" s="13" t="s">
        <v>1683</v>
      </c>
      <c r="C764" s="7">
        <v>115252.04500000007</v>
      </c>
      <c r="D764" s="7">
        <v>123217.17800000012</v>
      </c>
      <c r="E764" s="7">
        <v>109649.39599999983</v>
      </c>
      <c r="F764" s="7">
        <f t="shared" si="1"/>
        <v>348118.619</v>
      </c>
      <c r="G764" s="14">
        <f t="shared" si="2"/>
        <v>-0.0006490335485</v>
      </c>
      <c r="I764" s="12"/>
      <c r="J764" s="12"/>
      <c r="K764" s="12"/>
      <c r="L764" s="12"/>
      <c r="M764" s="12">
        <v>44208.0</v>
      </c>
      <c r="N764" s="2">
        <v>378.77</v>
      </c>
      <c r="O764" s="3">
        <v>44531.0</v>
      </c>
      <c r="P764" s="4" t="str">
        <f t="array" ref="P764">XLOOKUP(O764,Agregado!$B$2:$B$1511,Agregado!$G$2:$G$1511)</f>
        <v>#N/A</v>
      </c>
    </row>
    <row r="765" ht="15.75" customHeight="1">
      <c r="B765" s="13" t="s">
        <v>1684</v>
      </c>
      <c r="C765" s="7">
        <v>115952.64800000007</v>
      </c>
      <c r="D765" s="7">
        <v>123217.17800000012</v>
      </c>
      <c r="E765" s="7">
        <v>109688.51599999983</v>
      </c>
      <c r="F765" s="7">
        <f t="shared" si="1"/>
        <v>348858.342</v>
      </c>
      <c r="G765" s="14">
        <f t="shared" si="2"/>
        <v>0.002122662065</v>
      </c>
      <c r="I765" s="12"/>
      <c r="J765" s="12"/>
      <c r="K765" s="12"/>
      <c r="L765" s="12"/>
      <c r="M765" s="12">
        <v>44209.0</v>
      </c>
      <c r="N765" s="2">
        <v>379.79</v>
      </c>
      <c r="O765" s="3" t="s">
        <v>459</v>
      </c>
      <c r="P765" s="4" t="str">
        <f t="array" ref="P765">XLOOKUP(O765,Agregado!$B$2:$B$1511,Agregado!$G$2:$G$1511)</f>
        <v>#N/A</v>
      </c>
    </row>
    <row r="766" ht="15.75" customHeight="1">
      <c r="B766" s="13" t="s">
        <v>1685</v>
      </c>
      <c r="C766" s="7">
        <v>116179.96500000007</v>
      </c>
      <c r="D766" s="7">
        <v>123179.15300000012</v>
      </c>
      <c r="E766" s="7">
        <v>109834.12999999983</v>
      </c>
      <c r="F766" s="7">
        <f t="shared" si="1"/>
        <v>349193.248</v>
      </c>
      <c r="G766" s="14">
        <f t="shared" si="2"/>
        <v>0.0009595451984</v>
      </c>
      <c r="I766" s="12"/>
      <c r="J766" s="12"/>
      <c r="K766" s="12"/>
      <c r="L766" s="12"/>
      <c r="M766" s="12">
        <v>44210.0</v>
      </c>
      <c r="N766" s="2">
        <v>378.46</v>
      </c>
      <c r="O766" s="3" t="s">
        <v>460</v>
      </c>
      <c r="P766" s="4" t="str">
        <f t="array" ref="P766">XLOOKUP(O766,Agregado!$B$2:$B$1511,Agregado!$G$2:$G$1511)</f>
        <v>#N/A</v>
      </c>
    </row>
    <row r="767" ht="15.75" customHeight="1">
      <c r="B767" s="13" t="s">
        <v>1686</v>
      </c>
      <c r="C767" s="7">
        <v>115363.54800000007</v>
      </c>
      <c r="D767" s="7">
        <v>123274.43400000012</v>
      </c>
      <c r="E767" s="7">
        <v>109915.06899999983</v>
      </c>
      <c r="F767" s="7">
        <f t="shared" si="1"/>
        <v>348553.051</v>
      </c>
      <c r="G767" s="14">
        <f t="shared" si="2"/>
        <v>-0.001835042853</v>
      </c>
      <c r="I767" s="12"/>
      <c r="J767" s="12"/>
      <c r="K767" s="12"/>
      <c r="L767" s="12"/>
      <c r="M767" s="12">
        <v>44211.0</v>
      </c>
      <c r="N767" s="2">
        <v>375.7</v>
      </c>
      <c r="O767" s="3" t="s">
        <v>461</v>
      </c>
      <c r="P767" s="4" t="str">
        <f t="array" ref="P767">XLOOKUP(O767,Agregado!$B$2:$B$1511,Agregado!$G$2:$G$1511)</f>
        <v>#N/A</v>
      </c>
    </row>
    <row r="768" ht="15.75" customHeight="1">
      <c r="B768" s="13" t="s">
        <v>1687</v>
      </c>
      <c r="C768" s="7">
        <v>117387.70000000007</v>
      </c>
      <c r="D768" s="7">
        <v>121033.97700000013</v>
      </c>
      <c r="E768" s="7">
        <v>109770.45299999983</v>
      </c>
      <c r="F768" s="7">
        <f t="shared" si="1"/>
        <v>348192.13</v>
      </c>
      <c r="G768" s="14">
        <f t="shared" si="2"/>
        <v>-0.001036020175</v>
      </c>
      <c r="I768" s="12"/>
      <c r="J768" s="12"/>
      <c r="K768" s="12"/>
      <c r="L768" s="12"/>
      <c r="M768" s="12">
        <v>44215.0</v>
      </c>
      <c r="N768" s="2">
        <v>378.65</v>
      </c>
      <c r="O768" s="3" t="s">
        <v>462</v>
      </c>
      <c r="P768" s="4" t="str">
        <f t="array" ref="P768">XLOOKUP(O768,Agregado!$B$2:$B$1511,Agregado!$G$2:$G$1511)</f>
        <v>#N/A</v>
      </c>
    </row>
    <row r="769" ht="15.75" customHeight="1">
      <c r="B769" s="13" t="s">
        <v>1688</v>
      </c>
      <c r="C769" s="7">
        <v>119510.00300000007</v>
      </c>
      <c r="D769" s="7">
        <v>120864.32100000013</v>
      </c>
      <c r="E769" s="7">
        <v>109856.71499999984</v>
      </c>
      <c r="F769" s="7">
        <f t="shared" si="1"/>
        <v>350231.039</v>
      </c>
      <c r="G769" s="14">
        <f t="shared" si="2"/>
        <v>0.005838623009</v>
      </c>
      <c r="I769" s="12"/>
      <c r="J769" s="12"/>
      <c r="K769" s="12"/>
      <c r="L769" s="12"/>
      <c r="M769" s="12">
        <v>44216.0</v>
      </c>
      <c r="N769" s="2">
        <v>383.89</v>
      </c>
      <c r="O769" s="3" t="s">
        <v>463</v>
      </c>
      <c r="P769" s="4" t="str">
        <f t="array" ref="P769">XLOOKUP(O769,Agregado!$B$2:$B$1511,Agregado!$G$2:$G$1511)</f>
        <v>#N/A</v>
      </c>
    </row>
    <row r="770" ht="15.75" customHeight="1">
      <c r="B770" s="13" t="s">
        <v>1689</v>
      </c>
      <c r="C770" s="7">
        <v>115439.00700000007</v>
      </c>
      <c r="D770" s="7">
        <v>120693.27900000013</v>
      </c>
      <c r="E770" s="7">
        <v>110479.57099999984</v>
      </c>
      <c r="F770" s="7">
        <f t="shared" si="1"/>
        <v>346611.857</v>
      </c>
      <c r="G770" s="14">
        <f t="shared" si="2"/>
        <v>-0.01038746197</v>
      </c>
      <c r="I770" s="12"/>
      <c r="J770" s="12"/>
      <c r="K770" s="12"/>
      <c r="L770" s="12"/>
      <c r="M770" s="12">
        <v>44217.0</v>
      </c>
      <c r="N770" s="2">
        <v>384.24</v>
      </c>
      <c r="O770" s="3" t="s">
        <v>464</v>
      </c>
      <c r="P770" s="4" t="str">
        <f t="array" ref="P770">XLOOKUP(O770,Agregado!$B$2:$B$1511,Agregado!$G$2:$G$1511)</f>
        <v>#N/A</v>
      </c>
    </row>
    <row r="771" ht="15.75" customHeight="1">
      <c r="B771" s="13" t="s">
        <v>1690</v>
      </c>
      <c r="C771" s="7">
        <v>112693.60900000007</v>
      </c>
      <c r="D771" s="7">
        <v>120924.51300000012</v>
      </c>
      <c r="E771" s="7">
        <v>110684.29699999983</v>
      </c>
      <c r="F771" s="7">
        <f t="shared" si="1"/>
        <v>344302.419</v>
      </c>
      <c r="G771" s="14">
        <f t="shared" si="2"/>
        <v>-0.00668518999</v>
      </c>
      <c r="I771" s="12"/>
      <c r="J771" s="12"/>
      <c r="K771" s="12"/>
      <c r="L771" s="12"/>
      <c r="M771" s="12">
        <v>44218.0</v>
      </c>
      <c r="N771" s="2">
        <v>382.88</v>
      </c>
      <c r="O771" s="3" t="s">
        <v>465</v>
      </c>
      <c r="P771" s="4" t="str">
        <f t="array" ref="P771">XLOOKUP(O771,Agregado!$B$2:$B$1511,Agregado!$G$2:$G$1511)</f>
        <v>#N/A</v>
      </c>
    </row>
    <row r="772" ht="15.75" customHeight="1">
      <c r="B772" s="13" t="s">
        <v>1691</v>
      </c>
      <c r="C772" s="7">
        <v>111387.58700000007</v>
      </c>
      <c r="D772" s="7">
        <v>121098.00800000012</v>
      </c>
      <c r="E772" s="7">
        <v>110833.48699999983</v>
      </c>
      <c r="F772" s="7">
        <f t="shared" si="1"/>
        <v>343319.082</v>
      </c>
      <c r="G772" s="14">
        <f t="shared" si="2"/>
        <v>-0.002860113213</v>
      </c>
      <c r="I772" s="12"/>
      <c r="J772" s="12"/>
      <c r="K772" s="12"/>
      <c r="L772" s="12"/>
      <c r="M772" s="12">
        <v>44221.0</v>
      </c>
      <c r="N772" s="2">
        <v>384.39</v>
      </c>
      <c r="O772" s="3" t="s">
        <v>466</v>
      </c>
      <c r="P772" s="4" t="str">
        <f t="array" ref="P772">XLOOKUP(O772,Agregado!$B$2:$B$1511,Agregado!$G$2:$G$1511)</f>
        <v>#N/A</v>
      </c>
    </row>
    <row r="773" ht="15.75" customHeight="1">
      <c r="B773" s="13" t="s">
        <v>1692</v>
      </c>
      <c r="C773" s="7">
        <v>111942.89200000007</v>
      </c>
      <c r="D773" s="7">
        <v>121001.91100000012</v>
      </c>
      <c r="E773" s="7">
        <v>110918.73299999983</v>
      </c>
      <c r="F773" s="7">
        <f t="shared" si="1"/>
        <v>343863.536</v>
      </c>
      <c r="G773" s="14">
        <f t="shared" si="2"/>
        <v>0.001584598037</v>
      </c>
      <c r="I773" s="12"/>
      <c r="J773" s="12"/>
      <c r="K773" s="12"/>
      <c r="L773" s="12"/>
      <c r="M773" s="12">
        <v>44222.0</v>
      </c>
      <c r="N773" s="2">
        <v>383.79</v>
      </c>
      <c r="O773" s="3" t="s">
        <v>467</v>
      </c>
      <c r="P773" s="4" t="str">
        <f t="array" ref="P773">XLOOKUP(O773,Agregado!$B$2:$B$1511,Agregado!$G$2:$G$1511)</f>
        <v>#N/A</v>
      </c>
    </row>
    <row r="774" ht="15.75" customHeight="1">
      <c r="B774" s="13" t="s">
        <v>1693</v>
      </c>
      <c r="C774" s="7">
        <v>111539.32200000006</v>
      </c>
      <c r="D774" s="7">
        <v>120944.04500000013</v>
      </c>
      <c r="E774" s="7">
        <v>110895.44999999984</v>
      </c>
      <c r="F774" s="7">
        <f t="shared" si="1"/>
        <v>343378.817</v>
      </c>
      <c r="G774" s="14">
        <f t="shared" si="2"/>
        <v>-0.001410620513</v>
      </c>
      <c r="I774" s="12"/>
      <c r="J774" s="12"/>
      <c r="K774" s="12"/>
      <c r="L774" s="12"/>
      <c r="M774" s="12">
        <v>44223.0</v>
      </c>
      <c r="N774" s="2">
        <v>374.41</v>
      </c>
      <c r="O774" s="3" t="s">
        <v>468</v>
      </c>
      <c r="P774" s="4" t="str">
        <f t="array" ref="P774">XLOOKUP(O774,Agregado!$B$2:$B$1511,Agregado!$G$2:$G$1511)</f>
        <v>#N/A</v>
      </c>
    </row>
    <row r="775" ht="15.75" customHeight="1">
      <c r="B775" s="13" t="s">
        <v>1694</v>
      </c>
      <c r="C775" s="7">
        <v>110886.89300000005</v>
      </c>
      <c r="D775" s="7">
        <v>121194.42800000013</v>
      </c>
      <c r="E775" s="7">
        <v>110873.69599999984</v>
      </c>
      <c r="F775" s="7">
        <f t="shared" si="1"/>
        <v>342955.017</v>
      </c>
      <c r="G775" s="14">
        <f t="shared" si="2"/>
        <v>-0.001234967687</v>
      </c>
      <c r="I775" s="12"/>
      <c r="J775" s="12"/>
      <c r="K775" s="12"/>
      <c r="L775" s="12"/>
      <c r="M775" s="12">
        <v>44224.0</v>
      </c>
      <c r="N775" s="2">
        <v>377.63</v>
      </c>
      <c r="O775" s="3" t="s">
        <v>469</v>
      </c>
      <c r="P775" s="4" t="str">
        <f t="array" ref="P775">XLOOKUP(O775,Agregado!$B$2:$B$1511,Agregado!$G$2:$G$1511)</f>
        <v>#N/A</v>
      </c>
    </row>
    <row r="776" ht="15.75" customHeight="1">
      <c r="B776" s="13" t="s">
        <v>1695</v>
      </c>
      <c r="C776" s="7">
        <v>108549.81300000005</v>
      </c>
      <c r="D776" s="7">
        <v>121138.13100000012</v>
      </c>
      <c r="E776" s="7">
        <v>111043.33199999983</v>
      </c>
      <c r="F776" s="7">
        <f t="shared" si="1"/>
        <v>340731.276</v>
      </c>
      <c r="G776" s="14">
        <f t="shared" si="2"/>
        <v>-0.006505173102</v>
      </c>
      <c r="I776" s="12"/>
      <c r="J776" s="12"/>
      <c r="K776" s="12"/>
      <c r="L776" s="12"/>
      <c r="M776" s="12">
        <v>44225.0</v>
      </c>
      <c r="N776" s="2">
        <v>370.07</v>
      </c>
      <c r="O776" s="3" t="s">
        <v>470</v>
      </c>
      <c r="P776" s="4" t="str">
        <f t="array" ref="P776">XLOOKUP(O776,Agregado!$B$2:$B$1511,Agregado!$G$2:$G$1511)</f>
        <v>#N/A</v>
      </c>
    </row>
    <row r="777" ht="15.75" customHeight="1">
      <c r="B777" s="13" t="s">
        <v>1696</v>
      </c>
      <c r="C777" s="7">
        <v>106133.06400000006</v>
      </c>
      <c r="D777" s="7">
        <v>121005.47600000013</v>
      </c>
      <c r="E777" s="7">
        <v>111020.99099999983</v>
      </c>
      <c r="F777" s="7">
        <f t="shared" si="1"/>
        <v>338159.531</v>
      </c>
      <c r="G777" s="14">
        <f t="shared" si="2"/>
        <v>-0.00757635035</v>
      </c>
      <c r="I777" s="12"/>
      <c r="J777" s="12"/>
      <c r="K777" s="12"/>
      <c r="L777" s="12"/>
      <c r="M777" s="12">
        <v>44228.0</v>
      </c>
      <c r="N777" s="2">
        <v>376.23</v>
      </c>
      <c r="O777" s="3">
        <v>44198.0</v>
      </c>
      <c r="P777" s="4" t="str">
        <f t="array" ref="P777">XLOOKUP(O777,Agregado!$B$2:$B$1511,Agregado!$G$2:$G$1511)</f>
        <v>#N/A</v>
      </c>
    </row>
    <row r="778" ht="15.75" customHeight="1">
      <c r="B778" s="13" t="s">
        <v>1697</v>
      </c>
      <c r="C778" s="7">
        <v>107151.59800000006</v>
      </c>
      <c r="D778" s="7">
        <v>120968.30100000012</v>
      </c>
      <c r="E778" s="7">
        <v>110954.25699999984</v>
      </c>
      <c r="F778" s="7">
        <f t="shared" si="1"/>
        <v>339074.156</v>
      </c>
      <c r="G778" s="14">
        <f t="shared" si="2"/>
        <v>0.002701063381</v>
      </c>
      <c r="I778" s="12"/>
      <c r="J778" s="12"/>
      <c r="K778" s="12"/>
      <c r="L778" s="12"/>
      <c r="M778" s="12">
        <v>44229.0</v>
      </c>
      <c r="N778" s="2">
        <v>381.55</v>
      </c>
      <c r="O778" s="3">
        <v>44229.0</v>
      </c>
      <c r="P778" s="4" t="str">
        <f t="array" ref="P778">XLOOKUP(O778,Agregado!$B$2:$B$1511,Agregado!$G$2:$G$1511)</f>
        <v>#N/A</v>
      </c>
    </row>
    <row r="779" ht="15.75" customHeight="1">
      <c r="B779" s="13" t="s">
        <v>1698</v>
      </c>
      <c r="C779" s="7">
        <v>103331.99800000005</v>
      </c>
      <c r="D779" s="7">
        <v>120609.47500000012</v>
      </c>
      <c r="E779" s="7">
        <v>110882.04199999984</v>
      </c>
      <c r="F779" s="7">
        <f t="shared" si="1"/>
        <v>334823.515</v>
      </c>
      <c r="G779" s="14">
        <f t="shared" si="2"/>
        <v>-0.01261526061</v>
      </c>
      <c r="I779" s="12"/>
      <c r="J779" s="12"/>
      <c r="K779" s="12"/>
      <c r="L779" s="12"/>
      <c r="M779" s="12">
        <v>44230.0</v>
      </c>
      <c r="N779" s="2">
        <v>381.85</v>
      </c>
      <c r="O779" s="3">
        <v>44257.0</v>
      </c>
      <c r="P779" s="4" t="str">
        <f t="array" ref="P779">XLOOKUP(O779,Agregado!$B$2:$B$1511,Agregado!$G$2:$G$1511)</f>
        <v>#N/A</v>
      </c>
    </row>
    <row r="780" ht="15.75" customHeight="1">
      <c r="B780" s="13" t="s">
        <v>1699</v>
      </c>
      <c r="C780" s="7">
        <v>102568.90900000004</v>
      </c>
      <c r="D780" s="7">
        <v>120456.28900000012</v>
      </c>
      <c r="E780" s="7">
        <v>110877.15199999984</v>
      </c>
      <c r="F780" s="7">
        <f t="shared" si="1"/>
        <v>333902.35</v>
      </c>
      <c r="G780" s="14">
        <f t="shared" si="2"/>
        <v>-0.00275498715</v>
      </c>
      <c r="I780" s="12"/>
      <c r="J780" s="12"/>
      <c r="K780" s="12"/>
      <c r="L780" s="12"/>
      <c r="M780" s="12">
        <v>44231.0</v>
      </c>
      <c r="N780" s="2">
        <v>386.19</v>
      </c>
      <c r="O780" s="3">
        <v>44288.0</v>
      </c>
      <c r="P780" s="4" t="str">
        <f t="array" ref="P780">XLOOKUP(O780,Agregado!$B$2:$B$1511,Agregado!$G$2:$G$1511)</f>
        <v>#N/A</v>
      </c>
    </row>
    <row r="781" ht="15.75" customHeight="1">
      <c r="B781" s="13" t="s">
        <v>1700</v>
      </c>
      <c r="C781" s="7">
        <v>104516.74200000004</v>
      </c>
      <c r="D781" s="7">
        <v>120111.27400000012</v>
      </c>
      <c r="E781" s="7">
        <v>119519.74599999984</v>
      </c>
      <c r="F781" s="7">
        <f t="shared" si="1"/>
        <v>344147.762</v>
      </c>
      <c r="G781" s="14">
        <f t="shared" si="2"/>
        <v>0.03022252088</v>
      </c>
      <c r="I781" s="12"/>
      <c r="J781" s="12"/>
      <c r="K781" s="12"/>
      <c r="L781" s="12"/>
      <c r="M781" s="12">
        <v>44232.0</v>
      </c>
      <c r="N781" s="2">
        <v>387.71</v>
      </c>
      <c r="O781" s="3">
        <v>44318.0</v>
      </c>
      <c r="P781" s="4" t="str">
        <f t="array" ref="P781">XLOOKUP(O781,Agregado!$B$2:$B$1511,Agregado!$G$2:$G$1511)</f>
        <v>#N/A</v>
      </c>
    </row>
    <row r="782" ht="15.75" customHeight="1">
      <c r="B782" s="13" t="s">
        <v>1701</v>
      </c>
      <c r="C782" s="7">
        <v>105404.78800000004</v>
      </c>
      <c r="D782" s="7">
        <v>127726.64700000011</v>
      </c>
      <c r="E782" s="7">
        <v>119685.00799999984</v>
      </c>
      <c r="F782" s="7">
        <f t="shared" si="1"/>
        <v>352816.443</v>
      </c>
      <c r="G782" s="14">
        <f t="shared" si="2"/>
        <v>0.02487682434</v>
      </c>
      <c r="I782" s="12"/>
      <c r="J782" s="12"/>
      <c r="K782" s="12"/>
      <c r="L782" s="12"/>
      <c r="M782" s="12">
        <v>44235.0</v>
      </c>
      <c r="N782" s="2">
        <v>390.51</v>
      </c>
      <c r="O782" s="3">
        <v>44410.0</v>
      </c>
      <c r="P782" s="4" t="str">
        <f t="array" ref="P782">XLOOKUP(O782,Agregado!$B$2:$B$1511,Agregado!$G$2:$G$1511)</f>
        <v>#N/A</v>
      </c>
    </row>
    <row r="783" ht="15.75" customHeight="1">
      <c r="B783" s="13" t="s">
        <v>1702</v>
      </c>
      <c r="C783" s="7">
        <v>105462.93500000004</v>
      </c>
      <c r="D783" s="7">
        <v>127376.45600000011</v>
      </c>
      <c r="E783" s="7">
        <v>119868.22699999984</v>
      </c>
      <c r="F783" s="7">
        <f t="shared" si="1"/>
        <v>352707.618</v>
      </c>
      <c r="G783" s="14">
        <f t="shared" si="2"/>
        <v>-0.000308494088</v>
      </c>
      <c r="I783" s="12"/>
      <c r="J783" s="12"/>
      <c r="K783" s="12"/>
      <c r="L783" s="12"/>
      <c r="M783" s="12">
        <v>44236.0</v>
      </c>
      <c r="N783" s="2">
        <v>390.25</v>
      </c>
      <c r="O783" s="3">
        <v>44441.0</v>
      </c>
      <c r="P783" s="4" t="str">
        <f t="array" ref="P783">XLOOKUP(O783,Agregado!$B$2:$B$1511,Agregado!$G$2:$G$1511)</f>
        <v>#N/A</v>
      </c>
    </row>
    <row r="784" ht="15.75" customHeight="1">
      <c r="B784" s="13" t="s">
        <v>1703</v>
      </c>
      <c r="C784" s="7">
        <v>106868.80900000004</v>
      </c>
      <c r="D784" s="7">
        <v>127337.25700000011</v>
      </c>
      <c r="E784" s="7">
        <v>120149.95199999984</v>
      </c>
      <c r="F784" s="7">
        <f t="shared" si="1"/>
        <v>354356.018</v>
      </c>
      <c r="G784" s="14">
        <f t="shared" si="2"/>
        <v>0.004662672219</v>
      </c>
      <c r="I784" s="12"/>
      <c r="J784" s="12"/>
      <c r="K784" s="12"/>
      <c r="L784" s="12"/>
      <c r="M784" s="12">
        <v>44237.0</v>
      </c>
      <c r="N784" s="2">
        <v>390.08</v>
      </c>
      <c r="O784" s="3">
        <v>44471.0</v>
      </c>
      <c r="P784" s="4" t="str">
        <f t="array" ref="P784">XLOOKUP(O784,Agregado!$B$2:$B$1511,Agregado!$G$2:$G$1511)</f>
        <v>#N/A</v>
      </c>
    </row>
    <row r="785" ht="15.75" customHeight="1">
      <c r="B785" s="13" t="s">
        <v>1704</v>
      </c>
      <c r="C785" s="7">
        <v>107083.39300000004</v>
      </c>
      <c r="D785" s="7">
        <v>127298.09500000012</v>
      </c>
      <c r="E785" s="7">
        <v>120144.17799999984</v>
      </c>
      <c r="F785" s="7">
        <f t="shared" si="1"/>
        <v>354525.666</v>
      </c>
      <c r="G785" s="14">
        <f t="shared" si="2"/>
        <v>0.0004786355948</v>
      </c>
      <c r="I785" s="12"/>
      <c r="J785" s="12"/>
      <c r="K785" s="12"/>
      <c r="L785" s="12"/>
      <c r="M785" s="12">
        <v>44238.0</v>
      </c>
      <c r="N785" s="2">
        <v>390.71</v>
      </c>
      <c r="O785" s="3">
        <v>44502.0</v>
      </c>
      <c r="P785" s="4" t="str">
        <f t="array" ref="P785">XLOOKUP(O785,Agregado!$B$2:$B$1511,Agregado!$G$2:$G$1511)</f>
        <v>#N/A</v>
      </c>
    </row>
    <row r="786" ht="15.75" customHeight="1">
      <c r="B786" s="13" t="s">
        <v>1705</v>
      </c>
      <c r="C786" s="7">
        <v>110125.60600000004</v>
      </c>
      <c r="D786" s="7">
        <v>127337.24400000012</v>
      </c>
      <c r="E786" s="7">
        <v>120213.77799999985</v>
      </c>
      <c r="F786" s="7">
        <f t="shared" si="1"/>
        <v>357676.628</v>
      </c>
      <c r="G786" s="14">
        <f t="shared" si="2"/>
        <v>0.008848560545</v>
      </c>
      <c r="I786" s="12"/>
      <c r="J786" s="12"/>
      <c r="K786" s="12"/>
      <c r="L786" s="12"/>
      <c r="M786" s="12">
        <v>44239.0</v>
      </c>
      <c r="N786" s="2">
        <v>392.64</v>
      </c>
      <c r="O786" s="3">
        <v>44532.0</v>
      </c>
      <c r="P786" s="4" t="str">
        <f t="array" ref="P786">XLOOKUP(O786,Agregado!$B$2:$B$1511,Agregado!$G$2:$G$1511)</f>
        <v>#N/A</v>
      </c>
    </row>
    <row r="787" ht="15.75" customHeight="1">
      <c r="B787" s="13" t="s">
        <v>1706</v>
      </c>
      <c r="C787" s="7">
        <v>111669.07900000004</v>
      </c>
      <c r="D787" s="7">
        <v>127454.91000000012</v>
      </c>
      <c r="E787" s="7">
        <v>120182.38999999984</v>
      </c>
      <c r="F787" s="7">
        <f t="shared" si="1"/>
        <v>359306.379</v>
      </c>
      <c r="G787" s="14">
        <f t="shared" si="2"/>
        <v>0.004546143468</v>
      </c>
      <c r="I787" s="12"/>
      <c r="J787" s="12"/>
      <c r="K787" s="12"/>
      <c r="L787" s="12"/>
      <c r="M787" s="12">
        <v>44243.0</v>
      </c>
      <c r="N787" s="2">
        <v>392.3</v>
      </c>
      <c r="O787" s="3" t="s">
        <v>471</v>
      </c>
      <c r="P787" s="4" t="str">
        <f t="array" ref="P787">XLOOKUP(O787,Agregado!$B$2:$B$1511,Agregado!$G$2:$G$1511)</f>
        <v>#N/A</v>
      </c>
    </row>
    <row r="788" ht="15.75" customHeight="1">
      <c r="B788" s="13" t="s">
        <v>1707</v>
      </c>
      <c r="C788" s="7">
        <v>110000.50300000004</v>
      </c>
      <c r="D788" s="7">
        <v>127454.91000000012</v>
      </c>
      <c r="E788" s="7">
        <v>120267.70899999984</v>
      </c>
      <c r="F788" s="7">
        <f t="shared" si="1"/>
        <v>357723.122</v>
      </c>
      <c r="G788" s="14">
        <f t="shared" si="2"/>
        <v>-0.004416162992</v>
      </c>
      <c r="I788" s="12"/>
      <c r="J788" s="12"/>
      <c r="K788" s="12"/>
      <c r="L788" s="12"/>
      <c r="M788" s="12">
        <v>44244.0</v>
      </c>
      <c r="N788" s="2">
        <v>392.39</v>
      </c>
      <c r="O788" s="3" t="s">
        <v>472</v>
      </c>
      <c r="P788" s="4" t="str">
        <f t="array" ref="P788">XLOOKUP(O788,Agregado!$B$2:$B$1511,Agregado!$G$2:$G$1511)</f>
        <v>#N/A</v>
      </c>
    </row>
    <row r="789" ht="15.75" customHeight="1">
      <c r="B789" s="13" t="s">
        <v>1708</v>
      </c>
      <c r="C789" s="7">
        <v>110314.44800000005</v>
      </c>
      <c r="D789" s="7">
        <v>127336.73700000012</v>
      </c>
      <c r="E789" s="7">
        <v>120991.71199999984</v>
      </c>
      <c r="F789" s="7">
        <f t="shared" si="1"/>
        <v>358642.897</v>
      </c>
      <c r="G789" s="14">
        <f t="shared" si="2"/>
        <v>0.002567892616</v>
      </c>
      <c r="I789" s="12"/>
      <c r="J789" s="12"/>
      <c r="K789" s="12"/>
      <c r="L789" s="12"/>
      <c r="M789" s="12">
        <v>44245.0</v>
      </c>
      <c r="N789" s="2">
        <v>390.72</v>
      </c>
      <c r="O789" s="3" t="s">
        <v>473</v>
      </c>
      <c r="P789" s="4" t="str">
        <f t="array" ref="P789">XLOOKUP(O789,Agregado!$B$2:$B$1511,Agregado!$G$2:$G$1511)</f>
        <v>#N/A</v>
      </c>
    </row>
    <row r="790" ht="15.75" customHeight="1">
      <c r="B790" s="13" t="s">
        <v>1709</v>
      </c>
      <c r="C790" s="7">
        <v>111197.27800000005</v>
      </c>
      <c r="D790" s="7">
        <v>127415.50700000013</v>
      </c>
      <c r="E790" s="7">
        <v>121572.09699999983</v>
      </c>
      <c r="F790" s="7">
        <f t="shared" si="1"/>
        <v>360184.882</v>
      </c>
      <c r="G790" s="14">
        <f t="shared" si="2"/>
        <v>0.004290283181</v>
      </c>
      <c r="I790" s="12"/>
      <c r="J790" s="12"/>
      <c r="K790" s="12"/>
      <c r="L790" s="12"/>
      <c r="M790" s="12">
        <v>44246.0</v>
      </c>
      <c r="N790" s="2">
        <v>390.03</v>
      </c>
      <c r="O790" s="3" t="s">
        <v>474</v>
      </c>
      <c r="P790" s="4" t="str">
        <f t="array" ref="P790">XLOOKUP(O790,Agregado!$B$2:$B$1511,Agregado!$G$2:$G$1511)</f>
        <v>#N/A</v>
      </c>
    </row>
    <row r="791" ht="15.75" customHeight="1">
      <c r="B791" s="13" t="s">
        <v>1710</v>
      </c>
      <c r="C791" s="7">
        <v>111080.08200000005</v>
      </c>
      <c r="D791" s="7">
        <v>129964.31000000013</v>
      </c>
      <c r="E791" s="7">
        <v>121765.35799999983</v>
      </c>
      <c r="F791" s="7">
        <f t="shared" si="1"/>
        <v>362809.75</v>
      </c>
      <c r="G791" s="14">
        <f t="shared" si="2"/>
        <v>0.007261131457</v>
      </c>
      <c r="I791" s="12"/>
      <c r="J791" s="12"/>
      <c r="K791" s="12"/>
      <c r="L791" s="12"/>
      <c r="M791" s="12">
        <v>44249.0</v>
      </c>
      <c r="N791" s="2">
        <v>387.03</v>
      </c>
      <c r="O791" s="3" t="s">
        <v>475</v>
      </c>
      <c r="P791" s="4" t="str">
        <f t="array" ref="P791">XLOOKUP(O791,Agregado!$B$2:$B$1511,Agregado!$G$2:$G$1511)</f>
        <v>#N/A</v>
      </c>
    </row>
    <row r="792" ht="15.75" customHeight="1">
      <c r="B792" s="13" t="s">
        <v>1711</v>
      </c>
      <c r="C792" s="7">
        <v>111898.97600000005</v>
      </c>
      <c r="D792" s="7">
        <v>129925.16800000012</v>
      </c>
      <c r="E792" s="7">
        <v>121886.24099999983</v>
      </c>
      <c r="F792" s="7">
        <f t="shared" si="1"/>
        <v>363710.385</v>
      </c>
      <c r="G792" s="14">
        <f t="shared" si="2"/>
        <v>0.002479313148</v>
      </c>
      <c r="I792" s="12"/>
      <c r="J792" s="12"/>
      <c r="K792" s="12"/>
      <c r="L792" s="12"/>
      <c r="M792" s="12">
        <v>44250.0</v>
      </c>
      <c r="N792" s="2">
        <v>387.5</v>
      </c>
      <c r="O792" s="3" t="s">
        <v>476</v>
      </c>
      <c r="P792" s="4" t="str">
        <f t="array" ref="P792">XLOOKUP(O792,Agregado!$B$2:$B$1511,Agregado!$G$2:$G$1511)</f>
        <v>#N/A</v>
      </c>
    </row>
    <row r="793" ht="15.75" customHeight="1">
      <c r="B793" s="13" t="s">
        <v>1712</v>
      </c>
      <c r="C793" s="7">
        <v>112827.70800000006</v>
      </c>
      <c r="D793" s="7">
        <v>129808.64200000012</v>
      </c>
      <c r="E793" s="7">
        <v>121992.79899999984</v>
      </c>
      <c r="F793" s="7">
        <f t="shared" si="1"/>
        <v>364629.149</v>
      </c>
      <c r="G793" s="14">
        <f t="shared" si="2"/>
        <v>0.002522901599</v>
      </c>
      <c r="I793" s="12"/>
      <c r="J793" s="12"/>
      <c r="K793" s="12"/>
      <c r="L793" s="12"/>
      <c r="M793" s="12">
        <v>44251.0</v>
      </c>
      <c r="N793" s="2">
        <v>391.77</v>
      </c>
      <c r="O793" s="3" t="s">
        <v>477</v>
      </c>
      <c r="P793" s="4" t="str">
        <f t="array" ref="P793">XLOOKUP(O793,Agregado!$B$2:$B$1511,Agregado!$G$2:$G$1511)</f>
        <v>#N/A</v>
      </c>
    </row>
    <row r="794" ht="15.75" customHeight="1">
      <c r="B794" s="13" t="s">
        <v>1713</v>
      </c>
      <c r="C794" s="7">
        <v>112459.61800000006</v>
      </c>
      <c r="D794" s="7">
        <v>129808.64200000012</v>
      </c>
      <c r="E794" s="7">
        <v>121926.88299999984</v>
      </c>
      <c r="F794" s="7">
        <f t="shared" si="1"/>
        <v>364195.143</v>
      </c>
      <c r="G794" s="14">
        <f t="shared" si="2"/>
        <v>-0.001190975811</v>
      </c>
      <c r="I794" s="12"/>
      <c r="J794" s="12"/>
      <c r="K794" s="12"/>
      <c r="L794" s="12"/>
      <c r="M794" s="12">
        <v>44252.0</v>
      </c>
      <c r="N794" s="2">
        <v>382.33</v>
      </c>
      <c r="O794" s="3" t="s">
        <v>478</v>
      </c>
      <c r="P794" s="4" t="str">
        <f t="array" ref="P794">XLOOKUP(O794,Agregado!$B$2:$B$1511,Agregado!$G$2:$G$1511)</f>
        <v>#N/A</v>
      </c>
    </row>
    <row r="795" ht="15.75" customHeight="1">
      <c r="B795" s="13" t="s">
        <v>1714</v>
      </c>
      <c r="C795" s="7">
        <v>111715.09100000006</v>
      </c>
      <c r="D795" s="7">
        <v>129631.64200000012</v>
      </c>
      <c r="E795" s="7">
        <v>122038.28499999984</v>
      </c>
      <c r="F795" s="7">
        <f t="shared" si="1"/>
        <v>363385.018</v>
      </c>
      <c r="G795" s="14">
        <f t="shared" si="2"/>
        <v>-0.002226903311</v>
      </c>
      <c r="I795" s="12"/>
      <c r="J795" s="12"/>
      <c r="K795" s="12"/>
      <c r="L795" s="12"/>
      <c r="M795" s="12">
        <v>44253.0</v>
      </c>
      <c r="N795" s="2">
        <v>380.36</v>
      </c>
      <c r="O795" s="3" t="s">
        <v>479</v>
      </c>
      <c r="P795" s="4" t="str">
        <f t="array" ref="P795">XLOOKUP(O795,Agregado!$B$2:$B$1511,Agregado!$G$2:$G$1511)</f>
        <v>#N/A</v>
      </c>
    </row>
    <row r="796" ht="15.75" customHeight="1">
      <c r="B796" s="13" t="s">
        <v>1715</v>
      </c>
      <c r="C796" s="7">
        <v>112995.92000000006</v>
      </c>
      <c r="D796" s="7">
        <v>129324.63300000012</v>
      </c>
      <c r="E796" s="7">
        <v>122326.21599999984</v>
      </c>
      <c r="F796" s="7">
        <f t="shared" si="1"/>
        <v>364646.769</v>
      </c>
      <c r="G796" s="14">
        <f t="shared" si="2"/>
        <v>0.003466201025</v>
      </c>
      <c r="I796" s="12"/>
      <c r="J796" s="12"/>
      <c r="K796" s="12"/>
      <c r="L796" s="12"/>
      <c r="M796" s="12">
        <v>44256.0</v>
      </c>
      <c r="N796" s="2">
        <v>389.58</v>
      </c>
      <c r="O796" s="3">
        <v>44199.0</v>
      </c>
      <c r="P796" s="4" t="str">
        <f t="array" ref="P796">XLOOKUP(O796,Agregado!$B$2:$B$1511,Agregado!$G$2:$G$1511)</f>
        <v>#N/A</v>
      </c>
    </row>
    <row r="797" ht="15.75" customHeight="1">
      <c r="B797" s="13" t="s">
        <v>1716</v>
      </c>
      <c r="C797" s="7">
        <v>109989.47000000006</v>
      </c>
      <c r="D797" s="7">
        <v>129324.63300000012</v>
      </c>
      <c r="E797" s="7">
        <v>122478.62899999984</v>
      </c>
      <c r="F797" s="7">
        <f t="shared" si="1"/>
        <v>361792.732</v>
      </c>
      <c r="G797" s="14">
        <f t="shared" si="2"/>
        <v>-0.007857644527</v>
      </c>
      <c r="I797" s="12"/>
      <c r="J797" s="12"/>
      <c r="K797" s="12"/>
      <c r="L797" s="12"/>
      <c r="M797" s="12">
        <v>44257.0</v>
      </c>
      <c r="N797" s="2">
        <v>386.54</v>
      </c>
      <c r="O797" s="3">
        <v>44230.0</v>
      </c>
      <c r="P797" s="4" t="str">
        <f t="array" ref="P797">XLOOKUP(O797,Agregado!$B$2:$B$1511,Agregado!$G$2:$G$1511)</f>
        <v>#N/A</v>
      </c>
    </row>
    <row r="798" ht="15.75" customHeight="1">
      <c r="B798" s="13" t="s">
        <v>1717</v>
      </c>
      <c r="C798" s="7">
        <v>109541.42200000006</v>
      </c>
      <c r="D798" s="7">
        <v>129324.63300000012</v>
      </c>
      <c r="E798" s="7">
        <v>122699.41299999984</v>
      </c>
      <c r="F798" s="7">
        <f t="shared" si="1"/>
        <v>361565.468</v>
      </c>
      <c r="G798" s="14">
        <f t="shared" si="2"/>
        <v>-0.0006283581426</v>
      </c>
      <c r="I798" s="12"/>
      <c r="J798" s="12"/>
      <c r="K798" s="12"/>
      <c r="L798" s="12"/>
      <c r="M798" s="12">
        <v>44258.0</v>
      </c>
      <c r="N798" s="2">
        <v>381.42</v>
      </c>
      <c r="O798" s="3">
        <v>44258.0</v>
      </c>
      <c r="P798" s="4" t="str">
        <f t="array" ref="P798">XLOOKUP(O798,Agregado!$B$2:$B$1511,Agregado!$G$2:$G$1511)</f>
        <v>#N/A</v>
      </c>
    </row>
    <row r="799" ht="15.75" customHeight="1">
      <c r="B799" s="13" t="s">
        <v>1718</v>
      </c>
      <c r="C799" s="7">
        <v>108903.75300000007</v>
      </c>
      <c r="D799" s="7">
        <v>129324.63300000012</v>
      </c>
      <c r="E799" s="7">
        <v>122598.23299999985</v>
      </c>
      <c r="F799" s="7">
        <f t="shared" si="1"/>
        <v>360826.619</v>
      </c>
      <c r="G799" s="14">
        <f t="shared" si="2"/>
        <v>-0.002045562987</v>
      </c>
      <c r="I799" s="12"/>
      <c r="J799" s="12"/>
      <c r="K799" s="12"/>
      <c r="L799" s="12"/>
      <c r="M799" s="12">
        <v>44259.0</v>
      </c>
      <c r="N799" s="2">
        <v>376.7</v>
      </c>
      <c r="O799" s="3">
        <v>44289.0</v>
      </c>
      <c r="P799" s="4" t="str">
        <f t="array" ref="P799">XLOOKUP(O799,Agregado!$B$2:$B$1511,Agregado!$G$2:$G$1511)</f>
        <v>#N/A</v>
      </c>
    </row>
    <row r="800" ht="15.75" customHeight="1">
      <c r="B800" s="13" t="s">
        <v>1719</v>
      </c>
      <c r="C800" s="7">
        <v>111421.30700000007</v>
      </c>
      <c r="D800" s="7">
        <v>129630.92600000012</v>
      </c>
      <c r="E800" s="7">
        <v>122808.46999999984</v>
      </c>
      <c r="F800" s="7">
        <f t="shared" si="1"/>
        <v>363860.703</v>
      </c>
      <c r="G800" s="14">
        <f t="shared" si="2"/>
        <v>0.008373547145</v>
      </c>
      <c r="I800" s="12"/>
      <c r="J800" s="12"/>
      <c r="K800" s="12"/>
      <c r="L800" s="12"/>
      <c r="M800" s="12">
        <v>44260.0</v>
      </c>
      <c r="N800" s="2">
        <v>383.63</v>
      </c>
      <c r="O800" s="3">
        <v>44319.0</v>
      </c>
      <c r="P800" s="4" t="str">
        <f t="array" ref="P800">XLOOKUP(O800,Agregado!$B$2:$B$1511,Agregado!$G$2:$G$1511)</f>
        <v>#N/A</v>
      </c>
    </row>
    <row r="801" ht="15.75" customHeight="1">
      <c r="B801" s="13" t="s">
        <v>1720</v>
      </c>
      <c r="C801" s="7">
        <v>108466.50800000007</v>
      </c>
      <c r="D801" s="7">
        <v>130103.17000000013</v>
      </c>
      <c r="E801" s="7">
        <v>123149.12799999984</v>
      </c>
      <c r="F801" s="7">
        <f t="shared" si="1"/>
        <v>361718.806</v>
      </c>
      <c r="G801" s="14">
        <f t="shared" si="2"/>
        <v>-0.005903979357</v>
      </c>
      <c r="I801" s="12"/>
      <c r="J801" s="12"/>
      <c r="K801" s="12"/>
      <c r="L801" s="12"/>
      <c r="M801" s="12">
        <v>44263.0</v>
      </c>
      <c r="N801" s="2">
        <v>381.72</v>
      </c>
      <c r="O801" s="3">
        <v>44411.0</v>
      </c>
      <c r="P801" s="4" t="str">
        <f t="array" ref="P801">XLOOKUP(O801,Agregado!$B$2:$B$1511,Agregado!$G$2:$G$1511)</f>
        <v>#N/A</v>
      </c>
    </row>
    <row r="802" ht="15.75" customHeight="1">
      <c r="B802" s="13" t="s">
        <v>1721</v>
      </c>
      <c r="C802" s="7">
        <v>109521.79800000007</v>
      </c>
      <c r="D802" s="7">
        <v>130584.63800000012</v>
      </c>
      <c r="E802" s="7">
        <v>123767.58699999984</v>
      </c>
      <c r="F802" s="7">
        <f t="shared" si="1"/>
        <v>363874.023</v>
      </c>
      <c r="G802" s="14">
        <f t="shared" si="2"/>
        <v>0.005940586103</v>
      </c>
      <c r="I802" s="12"/>
      <c r="J802" s="12"/>
      <c r="K802" s="12"/>
      <c r="L802" s="12"/>
      <c r="M802" s="12">
        <v>44264.0</v>
      </c>
      <c r="N802" s="2">
        <v>387.17</v>
      </c>
      <c r="O802" s="3">
        <v>44442.0</v>
      </c>
      <c r="P802" s="4" t="str">
        <f t="array" ref="P802">XLOOKUP(O802,Agregado!$B$2:$B$1511,Agregado!$G$2:$G$1511)</f>
        <v>#N/A</v>
      </c>
    </row>
    <row r="803" ht="15.75" customHeight="1">
      <c r="B803" s="13" t="s">
        <v>1722</v>
      </c>
      <c r="C803" s="7">
        <v>110800.47900000006</v>
      </c>
      <c r="D803" s="7">
        <v>130182.36900000012</v>
      </c>
      <c r="E803" s="7">
        <v>124090.05199999984</v>
      </c>
      <c r="F803" s="7">
        <f t="shared" si="1"/>
        <v>365072.9</v>
      </c>
      <c r="G803" s="14">
        <f t="shared" si="2"/>
        <v>0.003289342593</v>
      </c>
      <c r="I803" s="12"/>
      <c r="J803" s="12"/>
      <c r="K803" s="12"/>
      <c r="L803" s="12"/>
      <c r="M803" s="12">
        <v>44265.0</v>
      </c>
      <c r="N803" s="2">
        <v>389.58</v>
      </c>
      <c r="O803" s="3">
        <v>44472.0</v>
      </c>
      <c r="P803" s="4" t="str">
        <f t="array" ref="P803">XLOOKUP(O803,Agregado!$B$2:$B$1511,Agregado!$G$2:$G$1511)</f>
        <v>#N/A</v>
      </c>
    </row>
    <row r="804" ht="15.75" customHeight="1">
      <c r="B804" s="13" t="s">
        <v>1723</v>
      </c>
      <c r="C804" s="7">
        <v>108226.14300000007</v>
      </c>
      <c r="D804" s="7">
        <v>130570.94200000013</v>
      </c>
      <c r="E804" s="7">
        <v>123834.80499999983</v>
      </c>
      <c r="F804" s="7">
        <f t="shared" si="1"/>
        <v>362631.89</v>
      </c>
      <c r="G804" s="14">
        <f t="shared" si="2"/>
        <v>-0.006708817062</v>
      </c>
      <c r="I804" s="12"/>
      <c r="J804" s="12"/>
      <c r="K804" s="12"/>
      <c r="L804" s="12"/>
      <c r="M804" s="12">
        <v>44266.0</v>
      </c>
      <c r="N804" s="2">
        <v>393.53</v>
      </c>
      <c r="O804" s="3">
        <v>44503.0</v>
      </c>
      <c r="P804" s="4" t="str">
        <f t="array" ref="P804">XLOOKUP(O804,Agregado!$B$2:$B$1511,Agregado!$G$2:$G$1511)</f>
        <v>#N/A</v>
      </c>
    </row>
    <row r="805" ht="15.75" customHeight="1">
      <c r="B805" s="13" t="s">
        <v>1724</v>
      </c>
      <c r="C805" s="7">
        <v>107349.84300000007</v>
      </c>
      <c r="D805" s="7">
        <v>130688.22300000013</v>
      </c>
      <c r="E805" s="7">
        <v>123600.18999999983</v>
      </c>
      <c r="F805" s="7">
        <f t="shared" si="1"/>
        <v>361638.256</v>
      </c>
      <c r="G805" s="14">
        <f t="shared" si="2"/>
        <v>-0.002743823224</v>
      </c>
      <c r="I805" s="12"/>
      <c r="J805" s="12"/>
      <c r="K805" s="12"/>
      <c r="L805" s="12"/>
      <c r="M805" s="12">
        <v>44267.0</v>
      </c>
      <c r="N805" s="2">
        <v>394.06</v>
      </c>
      <c r="O805" s="3">
        <v>44533.0</v>
      </c>
      <c r="P805" s="4" t="str">
        <f t="array" ref="P805">XLOOKUP(O805,Agregado!$B$2:$B$1511,Agregado!$G$2:$G$1511)</f>
        <v>#N/A</v>
      </c>
    </row>
    <row r="806" ht="15.75" customHeight="1">
      <c r="B806" s="13" t="s">
        <v>1725</v>
      </c>
      <c r="C806" s="7">
        <v>106503.75600000007</v>
      </c>
      <c r="D806" s="7">
        <v>130628.96900000013</v>
      </c>
      <c r="E806" s="7">
        <v>123124.27799999983</v>
      </c>
      <c r="F806" s="7">
        <f t="shared" si="1"/>
        <v>360257.003</v>
      </c>
      <c r="G806" s="14">
        <f t="shared" si="2"/>
        <v>-0.003826745413</v>
      </c>
      <c r="I806" s="12"/>
      <c r="J806" s="12"/>
      <c r="K806" s="12"/>
      <c r="L806" s="12"/>
      <c r="M806" s="12">
        <v>44270.0</v>
      </c>
      <c r="N806" s="2">
        <v>396.41</v>
      </c>
      <c r="O806" s="3" t="s">
        <v>480</v>
      </c>
      <c r="P806" s="4" t="str">
        <f t="array" ref="P806">XLOOKUP(O806,Agregado!$B$2:$B$1511,Agregado!$G$2:$G$1511)</f>
        <v>#N/A</v>
      </c>
    </row>
    <row r="807" ht="15.75" customHeight="1">
      <c r="B807" s="13" t="s">
        <v>1726</v>
      </c>
      <c r="C807" s="7">
        <v>107035.68600000006</v>
      </c>
      <c r="D807" s="7">
        <v>130668.52100000012</v>
      </c>
      <c r="E807" s="7">
        <v>123319.56499999983</v>
      </c>
      <c r="F807" s="7">
        <f t="shared" si="1"/>
        <v>361023.772</v>
      </c>
      <c r="G807" s="14">
        <f t="shared" si="2"/>
        <v>0.002126132611</v>
      </c>
      <c r="I807" s="12"/>
      <c r="J807" s="12"/>
      <c r="K807" s="12"/>
      <c r="L807" s="12"/>
      <c r="M807" s="12">
        <v>44271.0</v>
      </c>
      <c r="N807" s="2">
        <v>395.91</v>
      </c>
      <c r="O807" s="3" t="s">
        <v>481</v>
      </c>
      <c r="P807" s="4" t="str">
        <f t="array" ref="P807">XLOOKUP(O807,Agregado!$B$2:$B$1511,Agregado!$G$2:$G$1511)</f>
        <v>#N/A</v>
      </c>
    </row>
    <row r="808" ht="15.75" customHeight="1">
      <c r="B808" s="13" t="s">
        <v>1727</v>
      </c>
      <c r="C808" s="7">
        <v>104537.17600000006</v>
      </c>
      <c r="D808" s="7">
        <v>130608.80500000012</v>
      </c>
      <c r="E808" s="7">
        <v>124021.74099999983</v>
      </c>
      <c r="F808" s="7">
        <f t="shared" si="1"/>
        <v>359167.722</v>
      </c>
      <c r="G808" s="14">
        <f t="shared" si="2"/>
        <v>-0.005154334992</v>
      </c>
      <c r="I808" s="12"/>
      <c r="J808" s="12"/>
      <c r="K808" s="12"/>
      <c r="L808" s="12"/>
      <c r="M808" s="12">
        <v>44272.0</v>
      </c>
      <c r="N808" s="2">
        <v>397.26</v>
      </c>
      <c r="O808" s="3" t="s">
        <v>482</v>
      </c>
      <c r="P808" s="4" t="str">
        <f t="array" ref="P808">XLOOKUP(O808,Agregado!$B$2:$B$1511,Agregado!$G$2:$G$1511)</f>
        <v>#N/A</v>
      </c>
    </row>
    <row r="809" ht="15.75" customHeight="1">
      <c r="B809" s="13" t="s">
        <v>1728</v>
      </c>
      <c r="C809" s="7">
        <v>104358.98500000006</v>
      </c>
      <c r="D809" s="7">
        <v>130827.42800000013</v>
      </c>
      <c r="E809" s="7">
        <v>124195.04899999984</v>
      </c>
      <c r="F809" s="7">
        <f t="shared" si="1"/>
        <v>359381.462</v>
      </c>
      <c r="G809" s="14">
        <f t="shared" si="2"/>
        <v>0.0005949210188</v>
      </c>
      <c r="I809" s="12"/>
      <c r="J809" s="12"/>
      <c r="K809" s="12"/>
      <c r="L809" s="12"/>
      <c r="M809" s="12">
        <v>44273.0</v>
      </c>
      <c r="N809" s="2">
        <v>391.48</v>
      </c>
      <c r="O809" s="3" t="s">
        <v>483</v>
      </c>
      <c r="P809" s="4" t="str">
        <f t="array" ref="P809">XLOOKUP(O809,Agregado!$B$2:$B$1511,Agregado!$G$2:$G$1511)</f>
        <v>#N/A</v>
      </c>
    </row>
    <row r="810" ht="15.75" customHeight="1">
      <c r="B810" s="13" t="s">
        <v>1729</v>
      </c>
      <c r="C810" s="7">
        <v>106801.25900000006</v>
      </c>
      <c r="D810" s="7">
        <v>131405.46100000013</v>
      </c>
      <c r="E810" s="7">
        <v>125150.17099999984</v>
      </c>
      <c r="F810" s="7">
        <f t="shared" si="1"/>
        <v>363356.891</v>
      </c>
      <c r="G810" s="14">
        <f t="shared" si="2"/>
        <v>0.01100112946</v>
      </c>
      <c r="I810" s="12"/>
      <c r="J810" s="12"/>
      <c r="K810" s="12"/>
      <c r="L810" s="12"/>
      <c r="M810" s="12">
        <v>44274.0</v>
      </c>
      <c r="N810" s="2">
        <v>389.48</v>
      </c>
      <c r="O810" s="3" t="s">
        <v>484</v>
      </c>
      <c r="P810" s="4" t="str">
        <f t="array" ref="P810">XLOOKUP(O810,Agregado!$B$2:$B$1511,Agregado!$G$2:$G$1511)</f>
        <v>#N/A</v>
      </c>
    </row>
    <row r="811" ht="15.75" customHeight="1">
      <c r="B811" s="13" t="s">
        <v>1730</v>
      </c>
      <c r="C811" s="7">
        <v>111457.64400000006</v>
      </c>
      <c r="D811" s="7">
        <v>131346.54400000014</v>
      </c>
      <c r="E811" s="7">
        <v>125537.90999999984</v>
      </c>
      <c r="F811" s="7">
        <f t="shared" si="1"/>
        <v>368342.098</v>
      </c>
      <c r="G811" s="14">
        <f t="shared" si="2"/>
        <v>0.01362659841</v>
      </c>
      <c r="I811" s="12"/>
      <c r="J811" s="12"/>
      <c r="K811" s="12"/>
      <c r="L811" s="12"/>
      <c r="M811" s="12">
        <v>44277.0</v>
      </c>
      <c r="N811" s="2">
        <v>392.59</v>
      </c>
      <c r="O811" s="3" t="s">
        <v>485</v>
      </c>
      <c r="P811" s="4" t="str">
        <f t="array" ref="P811">XLOOKUP(O811,Agregado!$B$2:$B$1511,Agregado!$G$2:$G$1511)</f>
        <v>#N/A</v>
      </c>
    </row>
    <row r="812" ht="15.75" customHeight="1">
      <c r="B812" s="13" t="s">
        <v>1731</v>
      </c>
      <c r="C812" s="7">
        <v>111574.58900000007</v>
      </c>
      <c r="D812" s="7">
        <v>131680.23900000015</v>
      </c>
      <c r="E812" s="7">
        <v>125460.43599999984</v>
      </c>
      <c r="F812" s="7">
        <f t="shared" si="1"/>
        <v>368715.264</v>
      </c>
      <c r="G812" s="14">
        <f t="shared" si="2"/>
        <v>0.001012583419</v>
      </c>
      <c r="I812" s="12"/>
      <c r="J812" s="12"/>
      <c r="K812" s="12"/>
      <c r="L812" s="12"/>
      <c r="M812" s="12">
        <v>44278.0</v>
      </c>
      <c r="N812" s="2">
        <v>389.5</v>
      </c>
      <c r="O812" s="3" t="s">
        <v>486</v>
      </c>
      <c r="P812" s="4" t="str">
        <f t="array" ref="P812">XLOOKUP(O812,Agregado!$B$2:$B$1511,Agregado!$G$2:$G$1511)</f>
        <v>#N/A</v>
      </c>
    </row>
    <row r="813" ht="15.75" customHeight="1">
      <c r="B813" s="13" t="s">
        <v>1732</v>
      </c>
      <c r="C813" s="7">
        <v>110279.15300000006</v>
      </c>
      <c r="D813" s="7">
        <v>131146.53000000014</v>
      </c>
      <c r="E813" s="7">
        <v>125455.43499999984</v>
      </c>
      <c r="F813" s="7">
        <f t="shared" si="1"/>
        <v>366881.118</v>
      </c>
      <c r="G813" s="14">
        <f t="shared" si="2"/>
        <v>-0.004986837472</v>
      </c>
      <c r="I813" s="12"/>
      <c r="J813" s="12"/>
      <c r="K813" s="12"/>
      <c r="L813" s="12"/>
      <c r="M813" s="12">
        <v>44279.0</v>
      </c>
      <c r="N813" s="2">
        <v>387.52</v>
      </c>
      <c r="O813" s="3" t="s">
        <v>487</v>
      </c>
      <c r="P813" s="4" t="str">
        <f t="array" ref="P813">XLOOKUP(O813,Agregado!$B$2:$B$1511,Agregado!$G$2:$G$1511)</f>
        <v>#N/A</v>
      </c>
    </row>
    <row r="814" ht="15.75" customHeight="1">
      <c r="B814" s="13" t="s">
        <v>1733</v>
      </c>
      <c r="C814" s="7">
        <v>114544.82800000007</v>
      </c>
      <c r="D814" s="7">
        <v>130675.74100000014</v>
      </c>
      <c r="E814" s="7">
        <v>125642.70999999983</v>
      </c>
      <c r="F814" s="7">
        <f t="shared" si="1"/>
        <v>370863.279</v>
      </c>
      <c r="G814" s="14">
        <f t="shared" si="2"/>
        <v>0.01079560805</v>
      </c>
      <c r="I814" s="12"/>
      <c r="J814" s="12"/>
      <c r="K814" s="12"/>
      <c r="L814" s="12"/>
      <c r="M814" s="12">
        <v>44280.0</v>
      </c>
      <c r="N814" s="2">
        <v>389.7</v>
      </c>
      <c r="O814" s="3" t="s">
        <v>488</v>
      </c>
      <c r="P814" s="4" t="str">
        <f t="array" ref="P814">XLOOKUP(O814,Agregado!$B$2:$B$1511,Agregado!$G$2:$G$1511)</f>
        <v>#N/A</v>
      </c>
    </row>
    <row r="815" ht="15.75" customHeight="1">
      <c r="B815" s="13" t="s">
        <v>1734</v>
      </c>
      <c r="C815" s="7">
        <v>115649.06800000007</v>
      </c>
      <c r="D815" s="7">
        <v>130831.82200000015</v>
      </c>
      <c r="E815" s="7">
        <v>125877.28399999983</v>
      </c>
      <c r="F815" s="7">
        <f t="shared" si="1"/>
        <v>372358.174</v>
      </c>
      <c r="G815" s="14">
        <f t="shared" si="2"/>
        <v>0.004022749908</v>
      </c>
      <c r="I815" s="12"/>
      <c r="J815" s="12"/>
      <c r="K815" s="12"/>
      <c r="L815" s="12"/>
      <c r="M815" s="12">
        <v>44281.0</v>
      </c>
      <c r="N815" s="2">
        <v>395.98</v>
      </c>
      <c r="O815" s="3" t="s">
        <v>489</v>
      </c>
      <c r="P815" s="4" t="str">
        <f t="array" ref="P815">XLOOKUP(O815,Agregado!$B$2:$B$1511,Agregado!$G$2:$G$1511)</f>
        <v>#N/A</v>
      </c>
    </row>
    <row r="816" ht="15.75" customHeight="1">
      <c r="B816" s="13" t="s">
        <v>1735</v>
      </c>
      <c r="C816" s="7">
        <v>116311.21000000008</v>
      </c>
      <c r="D816" s="7">
        <v>131300.96100000016</v>
      </c>
      <c r="E816" s="7">
        <v>126380.27599999982</v>
      </c>
      <c r="F816" s="7">
        <f t="shared" si="1"/>
        <v>373992.447</v>
      </c>
      <c r="G816" s="14">
        <f t="shared" si="2"/>
        <v>0.004379377644</v>
      </c>
      <c r="I816" s="12"/>
      <c r="J816" s="12"/>
      <c r="K816" s="12"/>
      <c r="L816" s="12"/>
      <c r="M816" s="12">
        <v>44284.0</v>
      </c>
      <c r="N816" s="2">
        <v>395.78</v>
      </c>
      <c r="O816" s="3" t="s">
        <v>490</v>
      </c>
      <c r="P816" s="4" t="str">
        <f t="array" ref="P816">XLOOKUP(O816,Agregado!$B$2:$B$1511,Agregado!$G$2:$G$1511)</f>
        <v>#N/A</v>
      </c>
    </row>
    <row r="817" ht="15.75" customHeight="1">
      <c r="B817" s="13" t="s">
        <v>1736</v>
      </c>
      <c r="C817" s="7">
        <v>109401.45800000007</v>
      </c>
      <c r="D817" s="7">
        <v>131400.32400000017</v>
      </c>
      <c r="E817" s="7">
        <v>126443.97299999982</v>
      </c>
      <c r="F817" s="7">
        <f t="shared" si="1"/>
        <v>367245.755</v>
      </c>
      <c r="G817" s="14">
        <f t="shared" si="2"/>
        <v>-0.01820434592</v>
      </c>
      <c r="I817" s="12"/>
      <c r="J817" s="12"/>
      <c r="K817" s="12"/>
      <c r="L817" s="12"/>
      <c r="M817" s="12">
        <v>44285.0</v>
      </c>
      <c r="N817" s="2">
        <v>394.73</v>
      </c>
      <c r="O817" s="3" t="s">
        <v>491</v>
      </c>
      <c r="P817" s="4" t="str">
        <f t="array" ref="P817">XLOOKUP(O817,Agregado!$B$2:$B$1511,Agregado!$G$2:$G$1511)</f>
        <v>#N/A</v>
      </c>
    </row>
    <row r="818" ht="15.75" customHeight="1">
      <c r="B818" s="13" t="s">
        <v>1737</v>
      </c>
      <c r="C818" s="7">
        <v>110350.97200000007</v>
      </c>
      <c r="D818" s="7">
        <v>131420.17900000018</v>
      </c>
      <c r="E818" s="7">
        <v>126334.87499999983</v>
      </c>
      <c r="F818" s="7">
        <f t="shared" si="1"/>
        <v>368106.026</v>
      </c>
      <c r="G818" s="14">
        <f t="shared" si="2"/>
        <v>0.002339754699</v>
      </c>
      <c r="I818" s="12"/>
      <c r="J818" s="12"/>
      <c r="K818" s="12"/>
      <c r="L818" s="12"/>
      <c r="M818" s="12">
        <v>44286.0</v>
      </c>
      <c r="N818" s="2">
        <v>396.33</v>
      </c>
      <c r="O818" s="3" t="s">
        <v>492</v>
      </c>
      <c r="P818" s="4" t="str">
        <f t="array" ref="P818">XLOOKUP(O818,Agregado!$B$2:$B$1511,Agregado!$G$2:$G$1511)</f>
        <v>#N/A</v>
      </c>
    </row>
    <row r="819" ht="15.75" customHeight="1">
      <c r="B819" s="13" t="s">
        <v>1738</v>
      </c>
      <c r="C819" s="7">
        <v>112835.82000000007</v>
      </c>
      <c r="D819" s="7">
        <v>132073.4060000002</v>
      </c>
      <c r="E819" s="7">
        <v>126468.22099999983</v>
      </c>
      <c r="F819" s="7">
        <f t="shared" si="1"/>
        <v>371377.447</v>
      </c>
      <c r="G819" s="14">
        <f t="shared" si="2"/>
        <v>0.008847911986</v>
      </c>
      <c r="I819" s="12"/>
      <c r="J819" s="12"/>
      <c r="K819" s="12"/>
      <c r="L819" s="12"/>
      <c r="M819" s="12">
        <v>44287.0</v>
      </c>
      <c r="N819" s="2">
        <v>400.61</v>
      </c>
      <c r="O819" s="3">
        <v>44200.0</v>
      </c>
      <c r="P819" s="4" t="str">
        <f t="array" ref="P819">XLOOKUP(O819,Agregado!$B$2:$B$1511,Agregado!$G$2:$G$1511)</f>
        <v>#N/A</v>
      </c>
    </row>
    <row r="820" ht="15.75" customHeight="1">
      <c r="B820" s="13" t="s">
        <v>1739</v>
      </c>
      <c r="C820" s="7">
        <v>116576.87400000007</v>
      </c>
      <c r="D820" s="7">
        <v>132431.0310000002</v>
      </c>
      <c r="E820" s="7">
        <v>126023.63799999983</v>
      </c>
      <c r="F820" s="7">
        <f t="shared" si="1"/>
        <v>375031.543</v>
      </c>
      <c r="G820" s="14">
        <f t="shared" si="2"/>
        <v>0.009791214311</v>
      </c>
      <c r="I820" s="12"/>
      <c r="J820" s="12"/>
      <c r="K820" s="12"/>
      <c r="L820" s="12"/>
      <c r="M820" s="12">
        <v>44291.0</v>
      </c>
      <c r="N820" s="2">
        <v>406.36</v>
      </c>
      <c r="O820" s="3">
        <v>44320.0</v>
      </c>
      <c r="P820" s="4" t="str">
        <f t="array" ref="P820">XLOOKUP(O820,Agregado!$B$2:$B$1511,Agregado!$G$2:$G$1511)</f>
        <v>#N/A</v>
      </c>
    </row>
    <row r="821" ht="15.75" customHeight="1">
      <c r="B821" s="13" t="s">
        <v>1740</v>
      </c>
      <c r="C821" s="7">
        <v>113192.17400000007</v>
      </c>
      <c r="D821" s="7">
        <v>132692.36900000018</v>
      </c>
      <c r="E821" s="7">
        <v>126193.17499999983</v>
      </c>
      <c r="F821" s="7">
        <f t="shared" si="1"/>
        <v>372077.718</v>
      </c>
      <c r="G821" s="14">
        <f t="shared" si="2"/>
        <v>-0.007907385292</v>
      </c>
      <c r="I821" s="12"/>
      <c r="J821" s="12"/>
      <c r="K821" s="12"/>
      <c r="L821" s="12"/>
      <c r="M821" s="12">
        <v>44292.0</v>
      </c>
      <c r="N821" s="2">
        <v>406.12</v>
      </c>
      <c r="O821" s="3">
        <v>44351.0</v>
      </c>
      <c r="P821" s="4" t="str">
        <f t="array" ref="P821">XLOOKUP(O821,Agregado!$B$2:$B$1511,Agregado!$G$2:$G$1511)</f>
        <v>#N/A</v>
      </c>
    </row>
    <row r="822" ht="15.75" customHeight="1">
      <c r="B822" s="13" t="s">
        <v>1741</v>
      </c>
      <c r="C822" s="7">
        <v>110469.33800000008</v>
      </c>
      <c r="D822" s="7">
        <v>132875.9310000002</v>
      </c>
      <c r="E822" s="7">
        <v>126374.17299999984</v>
      </c>
      <c r="F822" s="7">
        <f t="shared" si="1"/>
        <v>369719.442</v>
      </c>
      <c r="G822" s="14">
        <f t="shared" si="2"/>
        <v>-0.006358298662</v>
      </c>
      <c r="I822" s="12"/>
      <c r="J822" s="12"/>
      <c r="K822" s="12"/>
      <c r="L822" s="12"/>
      <c r="M822" s="12">
        <v>44293.0</v>
      </c>
      <c r="N822" s="2">
        <v>406.59</v>
      </c>
      <c r="O822" s="3">
        <v>44381.0</v>
      </c>
      <c r="P822" s="4" t="str">
        <f t="array" ref="P822">XLOOKUP(O822,Agregado!$B$2:$B$1511,Agregado!$G$2:$G$1511)</f>
        <v>#N/A</v>
      </c>
    </row>
    <row r="823" ht="15.75" customHeight="1">
      <c r="B823" s="13" t="s">
        <v>1742</v>
      </c>
      <c r="C823" s="7">
        <v>111788.88600000007</v>
      </c>
      <c r="D823" s="7">
        <v>133364.97500000018</v>
      </c>
      <c r="E823" s="7">
        <v>126793.83499999983</v>
      </c>
      <c r="F823" s="7">
        <f t="shared" si="1"/>
        <v>371947.696</v>
      </c>
      <c r="G823" s="14">
        <f t="shared" si="2"/>
        <v>0.006008789092</v>
      </c>
      <c r="I823" s="12"/>
      <c r="J823" s="12"/>
      <c r="K823" s="12"/>
      <c r="L823" s="12"/>
      <c r="M823" s="12">
        <v>44294.0</v>
      </c>
      <c r="N823" s="2">
        <v>408.52</v>
      </c>
      <c r="O823" s="3">
        <v>44412.0</v>
      </c>
      <c r="P823" s="4" t="str">
        <f t="array" ref="P823">XLOOKUP(O823,Agregado!$B$2:$B$1511,Agregado!$G$2:$G$1511)</f>
        <v>#N/A</v>
      </c>
    </row>
    <row r="824" ht="15.75" customHeight="1">
      <c r="B824" s="13" t="s">
        <v>1743</v>
      </c>
      <c r="C824" s="7">
        <v>112683.45200000008</v>
      </c>
      <c r="D824" s="7">
        <v>133528.23300000018</v>
      </c>
      <c r="E824" s="7">
        <v>127124.10699999983</v>
      </c>
      <c r="F824" s="7">
        <f t="shared" si="1"/>
        <v>373335.792</v>
      </c>
      <c r="G824" s="14">
        <f t="shared" si="2"/>
        <v>0.003725019076</v>
      </c>
      <c r="I824" s="12"/>
      <c r="J824" s="12"/>
      <c r="K824" s="12"/>
      <c r="L824" s="12"/>
      <c r="M824" s="12">
        <v>44295.0</v>
      </c>
      <c r="N824" s="2">
        <v>411.49</v>
      </c>
      <c r="O824" s="3">
        <v>44443.0</v>
      </c>
      <c r="P824" s="4" t="str">
        <f t="array" ref="P824">XLOOKUP(O824,Agregado!$B$2:$B$1511,Agregado!$G$2:$G$1511)</f>
        <v>#N/A</v>
      </c>
    </row>
    <row r="825" ht="15.75" customHeight="1">
      <c r="B825" s="13" t="s">
        <v>1744</v>
      </c>
      <c r="C825" s="7">
        <v>111478.58500000008</v>
      </c>
      <c r="D825" s="7">
        <v>133651.22200000018</v>
      </c>
      <c r="E825" s="7">
        <v>127549.96899999982</v>
      </c>
      <c r="F825" s="7">
        <f t="shared" si="1"/>
        <v>372679.776</v>
      </c>
      <c r="G825" s="14">
        <f t="shared" si="2"/>
        <v>-0.001758719783</v>
      </c>
      <c r="I825" s="12"/>
      <c r="J825" s="12"/>
      <c r="K825" s="12"/>
      <c r="L825" s="12"/>
      <c r="M825" s="12">
        <v>44298.0</v>
      </c>
      <c r="N825" s="2">
        <v>411.64</v>
      </c>
      <c r="O825" s="3">
        <v>44534.0</v>
      </c>
      <c r="P825" s="4" t="str">
        <f t="array" ref="P825">XLOOKUP(O825,Agregado!$B$2:$B$1511,Agregado!$G$2:$G$1511)</f>
        <v>#N/A</v>
      </c>
    </row>
    <row r="826" ht="15.75" customHeight="1">
      <c r="B826" s="13" t="s">
        <v>1745</v>
      </c>
      <c r="C826" s="7">
        <v>109935.14900000008</v>
      </c>
      <c r="D826" s="7">
        <v>133857.78800000018</v>
      </c>
      <c r="E826" s="7">
        <v>127682.56699999982</v>
      </c>
      <c r="F826" s="7">
        <f t="shared" si="1"/>
        <v>371475.504</v>
      </c>
      <c r="G826" s="14">
        <f t="shared" si="2"/>
        <v>-0.003236617635</v>
      </c>
      <c r="I826" s="12"/>
      <c r="J826" s="12"/>
      <c r="K826" s="12"/>
      <c r="L826" s="12"/>
      <c r="M826" s="12">
        <v>44299.0</v>
      </c>
      <c r="N826" s="2">
        <v>412.86</v>
      </c>
      <c r="O826" s="3" t="s">
        <v>493</v>
      </c>
      <c r="P826" s="4" t="str">
        <f t="array" ref="P826">XLOOKUP(O826,Agregado!$B$2:$B$1511,Agregado!$G$2:$G$1511)</f>
        <v>#N/A</v>
      </c>
    </row>
    <row r="827" ht="15.75" customHeight="1">
      <c r="B827" s="13" t="s">
        <v>1746</v>
      </c>
      <c r="C827" s="7">
        <v>112013.26500000007</v>
      </c>
      <c r="D827" s="7">
        <v>134002.35800000018</v>
      </c>
      <c r="E827" s="7">
        <v>127976.36499999982</v>
      </c>
      <c r="F827" s="7">
        <f t="shared" si="1"/>
        <v>373991.988</v>
      </c>
      <c r="G827" s="14">
        <f t="shared" si="2"/>
        <v>0.00675145083</v>
      </c>
      <c r="I827" s="12"/>
      <c r="J827" s="12"/>
      <c r="K827" s="12"/>
      <c r="L827" s="12"/>
      <c r="M827" s="12">
        <v>44300.0</v>
      </c>
      <c r="N827" s="2">
        <v>411.45</v>
      </c>
      <c r="O827" s="3" t="s">
        <v>494</v>
      </c>
      <c r="P827" s="4" t="str">
        <f t="array" ref="P827">XLOOKUP(O827,Agregado!$B$2:$B$1511,Agregado!$G$2:$G$1511)</f>
        <v>#N/A</v>
      </c>
    </row>
    <row r="828" ht="15.75" customHeight="1">
      <c r="B828" s="13" t="s">
        <v>1747</v>
      </c>
      <c r="C828" s="7">
        <v>112343.55400000008</v>
      </c>
      <c r="D828" s="7">
        <v>132841.9900000002</v>
      </c>
      <c r="E828" s="7">
        <v>128056.74099999982</v>
      </c>
      <c r="F828" s="7">
        <f t="shared" si="1"/>
        <v>373242.285</v>
      </c>
      <c r="G828" s="14">
        <f t="shared" si="2"/>
        <v>-0.002006608312</v>
      </c>
      <c r="I828" s="12"/>
      <c r="J828" s="12"/>
      <c r="K828" s="12"/>
      <c r="L828" s="12"/>
      <c r="M828" s="12">
        <v>44301.0</v>
      </c>
      <c r="N828" s="2">
        <v>415.87</v>
      </c>
      <c r="O828" s="3" t="s">
        <v>495</v>
      </c>
      <c r="P828" s="4" t="str">
        <f t="array" ref="P828">XLOOKUP(O828,Agregado!$B$2:$B$1511,Agregado!$G$2:$G$1511)</f>
        <v>#N/A</v>
      </c>
    </row>
    <row r="829" ht="15.75" customHeight="1">
      <c r="B829" s="13" t="s">
        <v>1748</v>
      </c>
      <c r="C829" s="7">
        <v>113268.80700000007</v>
      </c>
      <c r="D829" s="7">
        <v>132821.3510000002</v>
      </c>
      <c r="E829" s="7">
        <v>128448.84899999981</v>
      </c>
      <c r="F829" s="7">
        <f t="shared" si="1"/>
        <v>374539.007</v>
      </c>
      <c r="G829" s="14">
        <f t="shared" si="2"/>
        <v>0.003468188663</v>
      </c>
      <c r="I829" s="12"/>
      <c r="J829" s="12"/>
      <c r="K829" s="12"/>
      <c r="L829" s="12"/>
      <c r="M829" s="12">
        <v>44302.0</v>
      </c>
      <c r="N829" s="2">
        <v>417.26</v>
      </c>
      <c r="O829" s="3" t="s">
        <v>496</v>
      </c>
      <c r="P829" s="4" t="str">
        <f t="array" ref="P829">XLOOKUP(O829,Agregado!$B$2:$B$1511,Agregado!$G$2:$G$1511)</f>
        <v>#N/A</v>
      </c>
    </row>
    <row r="830" ht="15.75" customHeight="1">
      <c r="B830" s="13" t="s">
        <v>1749</v>
      </c>
      <c r="C830" s="7">
        <v>114079.60000000008</v>
      </c>
      <c r="D830" s="7">
        <v>132403.9900000002</v>
      </c>
      <c r="E830" s="7">
        <v>128703.51199999981</v>
      </c>
      <c r="F830" s="7">
        <f t="shared" si="1"/>
        <v>375187.102</v>
      </c>
      <c r="G830" s="14">
        <f t="shared" si="2"/>
        <v>0.001728885132</v>
      </c>
      <c r="I830" s="12"/>
      <c r="J830" s="12"/>
      <c r="K830" s="12"/>
      <c r="L830" s="12"/>
      <c r="M830" s="12">
        <v>44305.0</v>
      </c>
      <c r="N830" s="2">
        <v>415.21</v>
      </c>
      <c r="O830" s="3" t="s">
        <v>497</v>
      </c>
      <c r="P830" s="4" t="str">
        <f t="array" ref="P830">XLOOKUP(O830,Agregado!$B$2:$B$1511,Agregado!$G$2:$G$1511)</f>
        <v>#N/A</v>
      </c>
    </row>
    <row r="831" ht="15.75" customHeight="1">
      <c r="B831" s="13" t="s">
        <v>1750</v>
      </c>
      <c r="C831" s="7">
        <v>114914.17400000007</v>
      </c>
      <c r="D831" s="7">
        <v>132299.2740000002</v>
      </c>
      <c r="E831" s="7">
        <v>129098.11299999981</v>
      </c>
      <c r="F831" s="7">
        <f t="shared" si="1"/>
        <v>376311.561</v>
      </c>
      <c r="G831" s="14">
        <f t="shared" si="2"/>
        <v>0.002992579746</v>
      </c>
      <c r="I831" s="12"/>
      <c r="J831" s="12"/>
      <c r="K831" s="12"/>
      <c r="L831" s="12"/>
      <c r="M831" s="12">
        <v>44306.0</v>
      </c>
      <c r="N831" s="2">
        <v>412.17</v>
      </c>
      <c r="O831" s="3" t="s">
        <v>498</v>
      </c>
      <c r="P831" s="4" t="str">
        <f t="array" ref="P831">XLOOKUP(O831,Agregado!$B$2:$B$1511,Agregado!$G$2:$G$1511)</f>
        <v>#N/A</v>
      </c>
    </row>
    <row r="832" ht="15.75" customHeight="1">
      <c r="B832" s="13" t="s">
        <v>1751</v>
      </c>
      <c r="C832" s="7">
        <v>113938.75200000007</v>
      </c>
      <c r="D832" s="7">
        <v>132653.4190000002</v>
      </c>
      <c r="E832" s="7">
        <v>129268.2109999998</v>
      </c>
      <c r="F832" s="7">
        <f t="shared" si="1"/>
        <v>375860.382</v>
      </c>
      <c r="G832" s="14">
        <f t="shared" si="2"/>
        <v>-0.001199669991</v>
      </c>
      <c r="I832" s="12"/>
      <c r="J832" s="12"/>
      <c r="K832" s="12"/>
      <c r="L832" s="12"/>
      <c r="M832" s="12">
        <v>44307.0</v>
      </c>
      <c r="N832" s="2">
        <v>416.07</v>
      </c>
      <c r="O832" s="3" t="s">
        <v>499</v>
      </c>
      <c r="P832" s="4" t="str">
        <f t="array" ref="P832">XLOOKUP(O832,Agregado!$B$2:$B$1511,Agregado!$G$2:$G$1511)</f>
        <v>#N/A</v>
      </c>
    </row>
    <row r="833" ht="15.75" customHeight="1">
      <c r="B833" s="13" t="s">
        <v>1752</v>
      </c>
      <c r="C833" s="7">
        <v>114948.79900000007</v>
      </c>
      <c r="D833" s="7">
        <v>133294.8430000002</v>
      </c>
      <c r="E833" s="7">
        <v>129512.4719999998</v>
      </c>
      <c r="F833" s="7">
        <f t="shared" si="1"/>
        <v>377756.114</v>
      </c>
      <c r="G833" s="14">
        <f t="shared" si="2"/>
        <v>0.005031036366</v>
      </c>
      <c r="I833" s="12"/>
      <c r="J833" s="12"/>
      <c r="K833" s="12"/>
      <c r="L833" s="12"/>
      <c r="M833" s="12">
        <v>44308.0</v>
      </c>
      <c r="N833" s="2">
        <v>412.27</v>
      </c>
      <c r="O833" s="3" t="s">
        <v>500</v>
      </c>
      <c r="P833" s="4" t="str">
        <f t="array" ref="P833">XLOOKUP(O833,Agregado!$B$2:$B$1511,Agregado!$G$2:$G$1511)</f>
        <v>#N/A</v>
      </c>
    </row>
    <row r="834" ht="15.75" customHeight="1">
      <c r="B834" s="13" t="s">
        <v>1753</v>
      </c>
      <c r="C834" s="7">
        <v>111183.12100000007</v>
      </c>
      <c r="D834" s="7">
        <v>133399.2610000002</v>
      </c>
      <c r="E834" s="7">
        <v>129575.5429999998</v>
      </c>
      <c r="F834" s="7">
        <f t="shared" si="1"/>
        <v>374157.925</v>
      </c>
      <c r="G834" s="14">
        <f t="shared" si="2"/>
        <v>-0.009570818683</v>
      </c>
      <c r="I834" s="12"/>
      <c r="J834" s="12"/>
      <c r="K834" s="12"/>
      <c r="L834" s="12"/>
      <c r="M834" s="12">
        <v>44309.0</v>
      </c>
      <c r="N834" s="2">
        <v>416.74</v>
      </c>
      <c r="O834" s="3" t="s">
        <v>501</v>
      </c>
      <c r="P834" s="4" t="str">
        <f t="array" ref="P834">XLOOKUP(O834,Agregado!$B$2:$B$1511,Agregado!$G$2:$G$1511)</f>
        <v>#N/A</v>
      </c>
    </row>
    <row r="835" ht="15.75" customHeight="1">
      <c r="B835" s="13" t="s">
        <v>1754</v>
      </c>
      <c r="C835" s="7">
        <v>108997.92900000008</v>
      </c>
      <c r="D835" s="7">
        <v>134164.90100000022</v>
      </c>
      <c r="E835" s="7">
        <v>129855.0699999998</v>
      </c>
      <c r="F835" s="7">
        <f t="shared" si="1"/>
        <v>373017.9</v>
      </c>
      <c r="G835" s="14">
        <f t="shared" si="2"/>
        <v>-0.003051559878</v>
      </c>
      <c r="I835" s="12"/>
      <c r="J835" s="12"/>
      <c r="K835" s="12"/>
      <c r="L835" s="12"/>
      <c r="M835" s="12">
        <v>44312.0</v>
      </c>
      <c r="N835" s="2">
        <v>417.61</v>
      </c>
      <c r="O835" s="3" t="s">
        <v>502</v>
      </c>
      <c r="P835" s="4" t="str">
        <f t="array" ref="P835">XLOOKUP(O835,Agregado!$B$2:$B$1511,Agregado!$G$2:$G$1511)</f>
        <v>#N/A</v>
      </c>
    </row>
    <row r="836" ht="15.75" customHeight="1">
      <c r="B836" s="13" t="s">
        <v>1755</v>
      </c>
      <c r="C836" s="7">
        <v>106226.12800000007</v>
      </c>
      <c r="D836" s="7">
        <v>134164.90100000022</v>
      </c>
      <c r="E836" s="7">
        <v>129566.94999999981</v>
      </c>
      <c r="F836" s="7">
        <f t="shared" si="1"/>
        <v>369957.979</v>
      </c>
      <c r="G836" s="14">
        <f t="shared" si="2"/>
        <v>-0.00823697885</v>
      </c>
      <c r="I836" s="12"/>
      <c r="J836" s="12"/>
      <c r="K836" s="12"/>
      <c r="L836" s="12"/>
      <c r="M836" s="12">
        <v>44313.0</v>
      </c>
      <c r="N836" s="2">
        <v>417.52</v>
      </c>
      <c r="O836" s="3" t="s">
        <v>503</v>
      </c>
      <c r="P836" s="4" t="str">
        <f t="array" ref="P836">XLOOKUP(O836,Agregado!$B$2:$B$1511,Agregado!$G$2:$G$1511)</f>
        <v>#N/A</v>
      </c>
    </row>
    <row r="837" ht="15.75" customHeight="1">
      <c r="B837" s="13" t="s">
        <v>1756</v>
      </c>
      <c r="C837" s="7">
        <v>108877.58800000008</v>
      </c>
      <c r="D837" s="7">
        <v>134018.20200000022</v>
      </c>
      <c r="E837" s="7">
        <v>129581.8659999998</v>
      </c>
      <c r="F837" s="7">
        <f t="shared" si="1"/>
        <v>372477.656</v>
      </c>
      <c r="G837" s="14">
        <f t="shared" si="2"/>
        <v>0.006787623209</v>
      </c>
      <c r="I837" s="12"/>
      <c r="J837" s="12"/>
      <c r="K837" s="12"/>
      <c r="L837" s="12"/>
      <c r="M837" s="12">
        <v>44314.0</v>
      </c>
      <c r="N837" s="2">
        <v>417.4</v>
      </c>
      <c r="O837" s="3" t="s">
        <v>504</v>
      </c>
      <c r="P837" s="4" t="str">
        <f t="array" ref="P837">XLOOKUP(O837,Agregado!$B$2:$B$1511,Agregado!$G$2:$G$1511)</f>
        <v>#N/A</v>
      </c>
    </row>
    <row r="838" ht="15.75" customHeight="1">
      <c r="B838" s="13" t="s">
        <v>1757</v>
      </c>
      <c r="C838" s="7">
        <v>110317.84300000008</v>
      </c>
      <c r="D838" s="7">
        <v>134081.06000000023</v>
      </c>
      <c r="E838" s="7">
        <v>129673.9289999998</v>
      </c>
      <c r="F838" s="7">
        <f t="shared" si="1"/>
        <v>374072.832</v>
      </c>
      <c r="G838" s="14">
        <f t="shared" si="2"/>
        <v>0.004273464296</v>
      </c>
      <c r="I838" s="12"/>
      <c r="J838" s="12"/>
      <c r="K838" s="12"/>
      <c r="L838" s="12"/>
      <c r="M838" s="12">
        <v>44315.0</v>
      </c>
      <c r="N838" s="2">
        <v>420.06</v>
      </c>
      <c r="O838" s="3" t="s">
        <v>505</v>
      </c>
      <c r="P838" s="4" t="str">
        <f t="array" ref="P838">XLOOKUP(O838,Agregado!$B$2:$B$1511,Agregado!$G$2:$G$1511)</f>
        <v>#N/A</v>
      </c>
    </row>
    <row r="839" ht="15.75" customHeight="1">
      <c r="B839" s="13" t="s">
        <v>1758</v>
      </c>
      <c r="C839" s="7">
        <v>110234.42000000009</v>
      </c>
      <c r="D839" s="7">
        <v>134290.41000000024</v>
      </c>
      <c r="E839" s="7">
        <v>129688.0689999998</v>
      </c>
      <c r="F839" s="7">
        <f t="shared" si="1"/>
        <v>374212.899</v>
      </c>
      <c r="G839" s="14">
        <f t="shared" si="2"/>
        <v>0.0003743676936</v>
      </c>
      <c r="I839" s="12"/>
      <c r="J839" s="12"/>
      <c r="K839" s="12"/>
      <c r="L839" s="12"/>
      <c r="M839" s="12">
        <v>44316.0</v>
      </c>
      <c r="N839" s="2">
        <v>417.3</v>
      </c>
      <c r="O839" s="3" t="s">
        <v>506</v>
      </c>
      <c r="P839" s="4" t="str">
        <f t="array" ref="P839">XLOOKUP(O839,Agregado!$B$2:$B$1511,Agregado!$G$2:$G$1511)</f>
        <v>#N/A</v>
      </c>
    </row>
    <row r="840" ht="15.75" customHeight="1">
      <c r="B840" s="13" t="s">
        <v>1759</v>
      </c>
      <c r="C840" s="7">
        <v>113426.08200000008</v>
      </c>
      <c r="D840" s="7">
        <v>135028.12900000025</v>
      </c>
      <c r="E840" s="7">
        <v>129770.9689999998</v>
      </c>
      <c r="F840" s="7">
        <f t="shared" si="1"/>
        <v>378225.18</v>
      </c>
      <c r="G840" s="14">
        <f t="shared" si="2"/>
        <v>0.01066484842</v>
      </c>
      <c r="I840" s="12"/>
      <c r="J840" s="12"/>
      <c r="K840" s="12"/>
      <c r="L840" s="12"/>
      <c r="M840" s="12">
        <v>44319.0</v>
      </c>
      <c r="N840" s="2">
        <v>418.2</v>
      </c>
      <c r="O840" s="3">
        <v>44260.0</v>
      </c>
      <c r="P840" s="4" t="str">
        <f t="array" ref="P840">XLOOKUP(O840,Agregado!$B$2:$B$1511,Agregado!$G$2:$G$1511)</f>
        <v>#N/A</v>
      </c>
    </row>
    <row r="841" ht="15.75" customHeight="1">
      <c r="B841" s="13" t="s">
        <v>1760</v>
      </c>
      <c r="C841" s="7">
        <v>116553.34700000008</v>
      </c>
      <c r="D841" s="7">
        <v>135028.12900000025</v>
      </c>
      <c r="E841" s="7">
        <v>129997.40299999979</v>
      </c>
      <c r="F841" s="7">
        <f t="shared" si="1"/>
        <v>381578.879</v>
      </c>
      <c r="G841" s="14">
        <f t="shared" si="2"/>
        <v>0.008827856972</v>
      </c>
      <c r="I841" s="12"/>
      <c r="J841" s="12"/>
      <c r="K841" s="12"/>
      <c r="L841" s="12"/>
      <c r="M841" s="12">
        <v>44320.0</v>
      </c>
      <c r="N841" s="2">
        <v>415.62</v>
      </c>
      <c r="O841" s="3">
        <v>44291.0</v>
      </c>
      <c r="P841" s="4" t="str">
        <f t="array" ref="P841">XLOOKUP(O841,Agregado!$B$2:$B$1511,Agregado!$G$2:$G$1511)</f>
        <v>#N/A</v>
      </c>
    </row>
    <row r="842" ht="15.75" customHeight="1">
      <c r="B842" s="13" t="s">
        <v>1761</v>
      </c>
      <c r="C842" s="7">
        <v>119103.83200000008</v>
      </c>
      <c r="D842" s="7">
        <v>135237.98200000025</v>
      </c>
      <c r="E842" s="7">
        <v>130064.20599999979</v>
      </c>
      <c r="F842" s="7">
        <f t="shared" si="1"/>
        <v>384406.02</v>
      </c>
      <c r="G842" s="14">
        <f t="shared" si="2"/>
        <v>0.007381748234</v>
      </c>
      <c r="I842" s="12"/>
      <c r="J842" s="12"/>
      <c r="K842" s="12"/>
      <c r="L842" s="12"/>
      <c r="M842" s="12">
        <v>44321.0</v>
      </c>
      <c r="N842" s="2">
        <v>415.75</v>
      </c>
      <c r="O842" s="3">
        <v>44321.0</v>
      </c>
      <c r="P842" s="4" t="str">
        <f t="array" ref="P842">XLOOKUP(O842,Agregado!$B$2:$B$1511,Agregado!$G$2:$G$1511)</f>
        <v>#N/A</v>
      </c>
    </row>
    <row r="843" ht="15.75" customHeight="1">
      <c r="B843" s="13" t="s">
        <v>1762</v>
      </c>
      <c r="C843" s="7">
        <v>113600.81800000009</v>
      </c>
      <c r="D843" s="7">
        <v>135300.51700000025</v>
      </c>
      <c r="E843" s="7">
        <v>130406.71299999979</v>
      </c>
      <c r="F843" s="7">
        <f t="shared" si="1"/>
        <v>379308.048</v>
      </c>
      <c r="G843" s="14">
        <f t="shared" si="2"/>
        <v>-0.01335067124</v>
      </c>
      <c r="I843" s="12"/>
      <c r="J843" s="12"/>
      <c r="K843" s="12"/>
      <c r="L843" s="12"/>
      <c r="M843" s="12">
        <v>44322.0</v>
      </c>
      <c r="N843" s="2">
        <v>419.07</v>
      </c>
      <c r="O843" s="3">
        <v>44352.0</v>
      </c>
      <c r="P843" s="4" t="str">
        <f t="array" ref="P843">XLOOKUP(O843,Agregado!$B$2:$B$1511,Agregado!$G$2:$G$1511)</f>
        <v>#N/A</v>
      </c>
    </row>
    <row r="844" ht="15.75" customHeight="1">
      <c r="B844" s="13" t="s">
        <v>1763</v>
      </c>
      <c r="C844" s="7">
        <v>112457.87700000008</v>
      </c>
      <c r="D844" s="7">
        <v>135071.05900000024</v>
      </c>
      <c r="E844" s="7">
        <v>130121.72299999978</v>
      </c>
      <c r="F844" s="7">
        <f t="shared" si="1"/>
        <v>377650.659</v>
      </c>
      <c r="G844" s="14">
        <f t="shared" si="2"/>
        <v>-0.004379080743</v>
      </c>
      <c r="I844" s="12"/>
      <c r="J844" s="12"/>
      <c r="K844" s="12"/>
      <c r="L844" s="12"/>
      <c r="M844" s="12">
        <v>44323.0</v>
      </c>
      <c r="N844" s="2">
        <v>422.12</v>
      </c>
      <c r="O844" s="3">
        <v>44382.0</v>
      </c>
      <c r="P844" s="4" t="str">
        <f t="array" ref="P844">XLOOKUP(O844,Agregado!$B$2:$B$1511,Agregado!$G$2:$G$1511)</f>
        <v>#N/A</v>
      </c>
    </row>
    <row r="845" ht="15.75" customHeight="1">
      <c r="B845" s="13" t="s">
        <v>1764</v>
      </c>
      <c r="C845" s="7">
        <v>112101.66600000008</v>
      </c>
      <c r="D845" s="7">
        <v>134986.92500000025</v>
      </c>
      <c r="E845" s="7">
        <v>130099.78699999978</v>
      </c>
      <c r="F845" s="7">
        <f t="shared" si="1"/>
        <v>377188.378</v>
      </c>
      <c r="G845" s="14">
        <f t="shared" si="2"/>
        <v>-0.001224846716</v>
      </c>
      <c r="I845" s="12"/>
      <c r="J845" s="12"/>
      <c r="K845" s="12"/>
      <c r="L845" s="12"/>
      <c r="M845" s="12">
        <v>44326.0</v>
      </c>
      <c r="N845" s="2">
        <v>417.94</v>
      </c>
      <c r="O845" s="3">
        <v>44474.0</v>
      </c>
      <c r="P845" s="4" t="str">
        <f t="array" ref="P845">XLOOKUP(O845,Agregado!$B$2:$B$1511,Agregado!$G$2:$G$1511)</f>
        <v>#N/A</v>
      </c>
    </row>
    <row r="846" ht="15.75" customHeight="1">
      <c r="B846" s="13" t="s">
        <v>1765</v>
      </c>
      <c r="C846" s="7">
        <v>111573.88500000008</v>
      </c>
      <c r="D846" s="7">
        <v>134944.54100000026</v>
      </c>
      <c r="E846" s="7">
        <v>130279.56499999978</v>
      </c>
      <c r="F846" s="7">
        <f t="shared" si="1"/>
        <v>376797.991</v>
      </c>
      <c r="G846" s="14">
        <f t="shared" si="2"/>
        <v>-0.001035528097</v>
      </c>
      <c r="I846" s="12"/>
      <c r="J846" s="12"/>
      <c r="K846" s="12"/>
      <c r="L846" s="12"/>
      <c r="M846" s="12">
        <v>44327.0</v>
      </c>
      <c r="N846" s="2">
        <v>414.21</v>
      </c>
      <c r="O846" s="3">
        <v>44505.0</v>
      </c>
      <c r="P846" s="4" t="str">
        <f t="array" ref="P846">XLOOKUP(O846,Agregado!$B$2:$B$1511,Agregado!$G$2:$G$1511)</f>
        <v>#N/A</v>
      </c>
    </row>
    <row r="847" ht="15.75" customHeight="1">
      <c r="B847" s="13" t="s">
        <v>1766</v>
      </c>
      <c r="C847" s="7">
        <v>112973.62300000008</v>
      </c>
      <c r="D847" s="7">
        <v>134609.00000000026</v>
      </c>
      <c r="E847" s="7">
        <v>130773.13299999978</v>
      </c>
      <c r="F847" s="7">
        <f t="shared" si="1"/>
        <v>378355.756</v>
      </c>
      <c r="G847" s="14">
        <f t="shared" si="2"/>
        <v>0.004125695505</v>
      </c>
      <c r="I847" s="12"/>
      <c r="J847" s="12"/>
      <c r="K847" s="12"/>
      <c r="L847" s="12"/>
      <c r="M847" s="12">
        <v>44328.0</v>
      </c>
      <c r="N847" s="2">
        <v>405.41</v>
      </c>
      <c r="O847" s="3">
        <v>44535.0</v>
      </c>
      <c r="P847" s="4" t="str">
        <f t="array" ref="P847">XLOOKUP(O847,Agregado!$B$2:$B$1511,Agregado!$G$2:$G$1511)</f>
        <v>#N/A</v>
      </c>
    </row>
    <row r="848" ht="15.75" customHeight="1">
      <c r="B848" s="13" t="s">
        <v>1767</v>
      </c>
      <c r="C848" s="7">
        <v>113843.48100000007</v>
      </c>
      <c r="D848" s="7">
        <v>134193.20600000027</v>
      </c>
      <c r="E848" s="7">
        <v>131221.01499999978</v>
      </c>
      <c r="F848" s="7">
        <f t="shared" si="1"/>
        <v>379257.702</v>
      </c>
      <c r="G848" s="14">
        <f t="shared" si="2"/>
        <v>0.002381020075</v>
      </c>
      <c r="I848" s="12"/>
      <c r="J848" s="12"/>
      <c r="K848" s="12"/>
      <c r="L848" s="12"/>
      <c r="M848" s="12">
        <v>44329.0</v>
      </c>
      <c r="N848" s="2">
        <v>410.28</v>
      </c>
      <c r="O848" s="3" t="s">
        <v>507</v>
      </c>
      <c r="P848" s="4" t="str">
        <f t="array" ref="P848">XLOOKUP(O848,Agregado!$B$2:$B$1511,Agregado!$G$2:$G$1511)</f>
        <v>#N/A</v>
      </c>
    </row>
    <row r="849" ht="15.75" customHeight="1">
      <c r="B849" s="13" t="s">
        <v>1768</v>
      </c>
      <c r="C849" s="7">
        <v>113640.78100000008</v>
      </c>
      <c r="D849" s="7">
        <v>134233.89900000027</v>
      </c>
      <c r="E849" s="7">
        <v>131674.6149999998</v>
      </c>
      <c r="F849" s="7">
        <f t="shared" si="1"/>
        <v>379549.295</v>
      </c>
      <c r="G849" s="14">
        <f t="shared" si="2"/>
        <v>0.0007685564722</v>
      </c>
      <c r="I849" s="12"/>
      <c r="J849" s="12"/>
      <c r="K849" s="12"/>
      <c r="L849" s="12"/>
      <c r="M849" s="12">
        <v>44330.0</v>
      </c>
      <c r="N849" s="2">
        <v>416.58</v>
      </c>
      <c r="O849" s="3" t="s">
        <v>508</v>
      </c>
      <c r="P849" s="4" t="str">
        <f t="array" ref="P849">XLOOKUP(O849,Agregado!$B$2:$B$1511,Agregado!$G$2:$G$1511)</f>
        <v>#N/A</v>
      </c>
    </row>
    <row r="850" ht="15.75" customHeight="1">
      <c r="B850" s="13" t="s">
        <v>1769</v>
      </c>
      <c r="C850" s="7">
        <v>113353.50300000007</v>
      </c>
      <c r="D850" s="7">
        <v>134460.47300000026</v>
      </c>
      <c r="E850" s="7">
        <v>131914.28999999978</v>
      </c>
      <c r="F850" s="7">
        <f t="shared" si="1"/>
        <v>379728.266</v>
      </c>
      <c r="G850" s="14">
        <f t="shared" si="2"/>
        <v>0.00047142445</v>
      </c>
      <c r="I850" s="12"/>
      <c r="J850" s="12"/>
      <c r="K850" s="12"/>
      <c r="L850" s="12"/>
      <c r="M850" s="12">
        <v>44333.0</v>
      </c>
      <c r="N850" s="2">
        <v>415.52</v>
      </c>
      <c r="O850" s="3" t="s">
        <v>509</v>
      </c>
      <c r="P850" s="4" t="str">
        <f t="array" ref="P850">XLOOKUP(O850,Agregado!$B$2:$B$1511,Agregado!$G$2:$G$1511)</f>
        <v>#N/A</v>
      </c>
    </row>
    <row r="851" ht="15.75" customHeight="1">
      <c r="B851" s="13" t="s">
        <v>1770</v>
      </c>
      <c r="C851" s="7">
        <v>110416.90600000008</v>
      </c>
      <c r="D851" s="7">
        <v>134460.47300000026</v>
      </c>
      <c r="E851" s="7">
        <v>132262.39099999977</v>
      </c>
      <c r="F851" s="7">
        <f t="shared" si="1"/>
        <v>377139.77</v>
      </c>
      <c r="G851" s="14">
        <f t="shared" si="2"/>
        <v>-0.006840046003</v>
      </c>
      <c r="I851" s="12"/>
      <c r="J851" s="12"/>
      <c r="K851" s="12"/>
      <c r="L851" s="12"/>
      <c r="M851" s="12">
        <v>44334.0</v>
      </c>
      <c r="N851" s="2">
        <v>411.94</v>
      </c>
      <c r="O851" s="3" t="s">
        <v>510</v>
      </c>
      <c r="P851" s="4" t="str">
        <f t="array" ref="P851">XLOOKUP(O851,Agregado!$B$2:$B$1511,Agregado!$G$2:$G$1511)</f>
        <v>#N/A</v>
      </c>
    </row>
    <row r="852" ht="15.75" customHeight="1">
      <c r="B852" s="13" t="s">
        <v>1771</v>
      </c>
      <c r="C852" s="7">
        <v>108464.12300000008</v>
      </c>
      <c r="D852" s="7">
        <v>134627.30200000026</v>
      </c>
      <c r="E852" s="7">
        <v>132351.92899999977</v>
      </c>
      <c r="F852" s="7">
        <f t="shared" si="1"/>
        <v>375443.354</v>
      </c>
      <c r="G852" s="14">
        <f t="shared" si="2"/>
        <v>-0.004508256481</v>
      </c>
      <c r="I852" s="12"/>
      <c r="J852" s="12"/>
      <c r="K852" s="12"/>
      <c r="L852" s="12"/>
      <c r="M852" s="12">
        <v>44335.0</v>
      </c>
      <c r="N852" s="2">
        <v>410.86</v>
      </c>
      <c r="O852" s="3" t="s">
        <v>511</v>
      </c>
      <c r="P852" s="4" t="str">
        <f t="array" ref="P852">XLOOKUP(O852,Agregado!$B$2:$B$1511,Agregado!$G$2:$G$1511)</f>
        <v>#N/A</v>
      </c>
    </row>
    <row r="853" ht="15.75" customHeight="1">
      <c r="B853" s="13" t="s">
        <v>1772</v>
      </c>
      <c r="C853" s="7">
        <v>107701.92000000009</v>
      </c>
      <c r="D853" s="7">
        <v>134668.65900000025</v>
      </c>
      <c r="E853" s="7">
        <v>132479.82099999976</v>
      </c>
      <c r="F853" s="7">
        <f t="shared" si="1"/>
        <v>374850.4</v>
      </c>
      <c r="G853" s="14">
        <f t="shared" si="2"/>
        <v>-0.001580591922</v>
      </c>
      <c r="I853" s="12"/>
      <c r="J853" s="12"/>
      <c r="K853" s="12"/>
      <c r="L853" s="12"/>
      <c r="M853" s="12">
        <v>44336.0</v>
      </c>
      <c r="N853" s="2">
        <v>415.28</v>
      </c>
      <c r="O853" s="3" t="s">
        <v>512</v>
      </c>
      <c r="P853" s="4" t="str">
        <f t="array" ref="P853">XLOOKUP(O853,Agregado!$B$2:$B$1511,Agregado!$G$2:$G$1511)</f>
        <v>#N/A</v>
      </c>
    </row>
    <row r="854" ht="15.75" customHeight="1">
      <c r="B854" s="13" t="s">
        <v>1773</v>
      </c>
      <c r="C854" s="7">
        <v>104312.41700000009</v>
      </c>
      <c r="D854" s="7">
        <v>134586.17700000026</v>
      </c>
      <c r="E854" s="7">
        <v>132712.35099999976</v>
      </c>
      <c r="F854" s="7">
        <f t="shared" si="1"/>
        <v>371610.945</v>
      </c>
      <c r="G854" s="14">
        <f t="shared" si="2"/>
        <v>-0.008679552822</v>
      </c>
      <c r="I854" s="12"/>
      <c r="J854" s="12"/>
      <c r="K854" s="12"/>
      <c r="L854" s="12"/>
      <c r="M854" s="12">
        <v>44337.0</v>
      </c>
      <c r="N854" s="2">
        <v>414.94</v>
      </c>
      <c r="O854" s="3" t="s">
        <v>513</v>
      </c>
      <c r="P854" s="4" t="str">
        <f t="array" ref="P854">XLOOKUP(O854,Agregado!$B$2:$B$1511,Agregado!$G$2:$G$1511)</f>
        <v>#N/A</v>
      </c>
    </row>
    <row r="855" ht="15.75" customHeight="1">
      <c r="B855" s="13" t="s">
        <v>1774</v>
      </c>
      <c r="C855" s="7">
        <v>106471.52400000009</v>
      </c>
      <c r="D855" s="7">
        <v>134523.65700000027</v>
      </c>
      <c r="E855" s="7">
        <v>132657.78699999975</v>
      </c>
      <c r="F855" s="7">
        <f t="shared" si="1"/>
        <v>373652.968</v>
      </c>
      <c r="G855" s="14">
        <f t="shared" si="2"/>
        <v>0.005480013388</v>
      </c>
      <c r="I855" s="12"/>
      <c r="J855" s="12"/>
      <c r="K855" s="12"/>
      <c r="L855" s="12"/>
      <c r="M855" s="12">
        <v>44340.0</v>
      </c>
      <c r="N855" s="2">
        <v>419.17</v>
      </c>
      <c r="O855" s="3" t="s">
        <v>514</v>
      </c>
      <c r="P855" s="4" t="str">
        <f t="array" ref="P855">XLOOKUP(O855,Agregado!$B$2:$B$1511,Agregado!$G$2:$G$1511)</f>
        <v>#N/A</v>
      </c>
    </row>
    <row r="856" ht="15.75" customHeight="1">
      <c r="B856" s="13" t="s">
        <v>1775</v>
      </c>
      <c r="C856" s="7">
        <v>105185.32900000009</v>
      </c>
      <c r="D856" s="7">
        <v>134419.53400000028</v>
      </c>
      <c r="E856" s="7">
        <v>132878.92899999974</v>
      </c>
      <c r="F856" s="7">
        <f t="shared" si="1"/>
        <v>372483.792</v>
      </c>
      <c r="G856" s="14">
        <f t="shared" si="2"/>
        <v>-0.003133948144</v>
      </c>
      <c r="I856" s="12"/>
      <c r="J856" s="12"/>
      <c r="K856" s="12"/>
      <c r="L856" s="12"/>
      <c r="M856" s="12">
        <v>44341.0</v>
      </c>
      <c r="N856" s="2">
        <v>418.24</v>
      </c>
      <c r="O856" s="3" t="s">
        <v>515</v>
      </c>
      <c r="P856" s="4" t="str">
        <f t="array" ref="P856">XLOOKUP(O856,Agregado!$B$2:$B$1511,Agregado!$G$2:$G$1511)</f>
        <v>#N/A</v>
      </c>
    </row>
    <row r="857" ht="15.75" customHeight="1">
      <c r="B857" s="13" t="s">
        <v>1776</v>
      </c>
      <c r="C857" s="7">
        <v>105122.47200000008</v>
      </c>
      <c r="D857" s="7">
        <v>134419.53400000028</v>
      </c>
      <c r="E857" s="7">
        <v>133046.49399999974</v>
      </c>
      <c r="F857" s="7">
        <f t="shared" si="1"/>
        <v>372588.5</v>
      </c>
      <c r="G857" s="14">
        <f t="shared" si="2"/>
        <v>0.0002810680301</v>
      </c>
      <c r="I857" s="12"/>
      <c r="J857" s="12"/>
      <c r="K857" s="12"/>
      <c r="L857" s="12"/>
      <c r="M857" s="12">
        <v>44342.0</v>
      </c>
      <c r="N857" s="2">
        <v>419.07</v>
      </c>
      <c r="O857" s="3" t="s">
        <v>516</v>
      </c>
      <c r="P857" s="4" t="str">
        <f t="array" ref="P857">XLOOKUP(O857,Agregado!$B$2:$B$1511,Agregado!$G$2:$G$1511)</f>
        <v>#N/A</v>
      </c>
    </row>
    <row r="858" ht="15.75" customHeight="1">
      <c r="B858" s="13" t="s">
        <v>1777</v>
      </c>
      <c r="C858" s="7">
        <v>106878.75200000008</v>
      </c>
      <c r="D858" s="7">
        <v>134335.5790000003</v>
      </c>
      <c r="E858" s="7">
        <v>133354.69799999974</v>
      </c>
      <c r="F858" s="7">
        <f t="shared" si="1"/>
        <v>374569.029</v>
      </c>
      <c r="G858" s="14">
        <f t="shared" si="2"/>
        <v>0.005301515576</v>
      </c>
      <c r="I858" s="12"/>
      <c r="J858" s="12"/>
      <c r="K858" s="12"/>
      <c r="L858" s="12"/>
      <c r="M858" s="12">
        <v>44343.0</v>
      </c>
      <c r="N858" s="2">
        <v>419.29</v>
      </c>
      <c r="O858" s="3" t="s">
        <v>517</v>
      </c>
      <c r="P858" s="4" t="str">
        <f t="array" ref="P858">XLOOKUP(O858,Agregado!$B$2:$B$1511,Agregado!$G$2:$G$1511)</f>
        <v>#N/A</v>
      </c>
    </row>
    <row r="859" ht="15.75" customHeight="1">
      <c r="B859" s="13" t="s">
        <v>1778</v>
      </c>
      <c r="C859" s="7">
        <v>107318.64800000007</v>
      </c>
      <c r="D859" s="7">
        <v>134083.2390000003</v>
      </c>
      <c r="E859" s="7">
        <v>133493.95499999975</v>
      </c>
      <c r="F859" s="7">
        <f t="shared" si="1"/>
        <v>374895.842</v>
      </c>
      <c r="G859" s="14">
        <f t="shared" si="2"/>
        <v>0.0008721236535</v>
      </c>
      <c r="I859" s="12"/>
      <c r="J859" s="12"/>
      <c r="K859" s="12"/>
      <c r="L859" s="12"/>
      <c r="M859" s="12">
        <v>44344.0</v>
      </c>
      <c r="N859" s="2">
        <v>420.04</v>
      </c>
      <c r="O859" s="3" t="s">
        <v>518</v>
      </c>
      <c r="P859" s="4" t="str">
        <f t="array" ref="P859">XLOOKUP(O859,Agregado!$B$2:$B$1511,Agregado!$G$2:$G$1511)</f>
        <v>#N/A</v>
      </c>
    </row>
    <row r="860" ht="15.75" customHeight="1">
      <c r="B860" s="13" t="s">
        <v>1779</v>
      </c>
      <c r="C860" s="7">
        <v>109038.48200000008</v>
      </c>
      <c r="D860" s="7">
        <v>134230.6220000003</v>
      </c>
      <c r="E860" s="7">
        <v>133549.28899999976</v>
      </c>
      <c r="F860" s="7">
        <f t="shared" si="1"/>
        <v>376818.393</v>
      </c>
      <c r="G860" s="14">
        <f t="shared" si="2"/>
        <v>0.005115122482</v>
      </c>
      <c r="I860" s="12"/>
      <c r="J860" s="12"/>
      <c r="K860" s="12"/>
      <c r="L860" s="12"/>
      <c r="M860" s="12">
        <v>44348.0</v>
      </c>
      <c r="N860" s="2">
        <v>419.67</v>
      </c>
      <c r="O860" s="3">
        <v>44202.0</v>
      </c>
      <c r="P860" s="4" t="str">
        <f t="array" ref="P860">XLOOKUP(O860,Agregado!$B$2:$B$1511,Agregado!$G$2:$G$1511)</f>
        <v>#N/A</v>
      </c>
    </row>
    <row r="861" ht="15.75" customHeight="1">
      <c r="B861" s="13" t="s">
        <v>1780</v>
      </c>
      <c r="C861" s="7">
        <v>105973.64300000007</v>
      </c>
      <c r="D861" s="7">
        <v>134441.3560000003</v>
      </c>
      <c r="E861" s="7">
        <v>133572.49599999975</v>
      </c>
      <c r="F861" s="7">
        <f t="shared" si="1"/>
        <v>373987.495</v>
      </c>
      <c r="G861" s="14">
        <f t="shared" si="2"/>
        <v>-0.007540994178</v>
      </c>
      <c r="I861" s="12"/>
      <c r="J861" s="12"/>
      <c r="K861" s="12"/>
      <c r="L861" s="12"/>
      <c r="M861" s="12">
        <v>44349.0</v>
      </c>
      <c r="N861" s="2">
        <v>420.33</v>
      </c>
      <c r="O861" s="3">
        <v>44233.0</v>
      </c>
      <c r="P861" s="4" t="str">
        <f t="array" ref="P861">XLOOKUP(O861,Agregado!$B$2:$B$1511,Agregado!$G$2:$G$1511)</f>
        <v>#N/A</v>
      </c>
    </row>
    <row r="862" ht="15.75" customHeight="1">
      <c r="B862" s="13" t="s">
        <v>1781</v>
      </c>
      <c r="C862" s="7">
        <v>108470.54200000007</v>
      </c>
      <c r="D862" s="7">
        <v>134546.6740000003</v>
      </c>
      <c r="E862" s="7">
        <v>133489.79099999976</v>
      </c>
      <c r="F862" s="7">
        <f t="shared" si="1"/>
        <v>376507.007</v>
      </c>
      <c r="G862" s="14">
        <f t="shared" si="2"/>
        <v>0.00671429693</v>
      </c>
      <c r="I862" s="12"/>
      <c r="J862" s="12"/>
      <c r="K862" s="12"/>
      <c r="L862" s="12"/>
      <c r="M862" s="12">
        <v>44350.0</v>
      </c>
      <c r="N862" s="2">
        <v>418.77</v>
      </c>
      <c r="O862" s="3">
        <v>44261.0</v>
      </c>
      <c r="P862" s="4" t="str">
        <f t="array" ref="P862">XLOOKUP(O862,Agregado!$B$2:$B$1511,Agregado!$G$2:$G$1511)</f>
        <v>#N/A</v>
      </c>
    </row>
    <row r="863" ht="15.75" customHeight="1">
      <c r="B863" s="13" t="s">
        <v>1782</v>
      </c>
      <c r="C863" s="7">
        <v>106327.03900000008</v>
      </c>
      <c r="D863" s="7">
        <v>134609.96300000028</v>
      </c>
      <c r="E863" s="7">
        <v>133609.21799999976</v>
      </c>
      <c r="F863" s="7">
        <f t="shared" si="1"/>
        <v>374546.22</v>
      </c>
      <c r="G863" s="14">
        <f t="shared" si="2"/>
        <v>-0.005221444724</v>
      </c>
      <c r="I863" s="12"/>
      <c r="J863" s="12"/>
      <c r="K863" s="12"/>
      <c r="L863" s="12"/>
      <c r="M863" s="12">
        <v>44351.0</v>
      </c>
      <c r="N863" s="2">
        <v>422.6</v>
      </c>
      <c r="O863" s="3">
        <v>44292.0</v>
      </c>
      <c r="P863" s="4" t="str">
        <f t="array" ref="P863">XLOOKUP(O863,Agregado!$B$2:$B$1511,Agregado!$G$2:$G$1511)</f>
        <v>#N/A</v>
      </c>
    </row>
    <row r="864" ht="15.75" customHeight="1">
      <c r="B864" s="13" t="s">
        <v>1783</v>
      </c>
      <c r="C864" s="7">
        <v>108400.30100000008</v>
      </c>
      <c r="D864" s="7">
        <v>134588.9400000003</v>
      </c>
      <c r="E864" s="7">
        <v>133705.49499999976</v>
      </c>
      <c r="F864" s="7">
        <f t="shared" si="1"/>
        <v>376694.736</v>
      </c>
      <c r="G864" s="14">
        <f t="shared" si="2"/>
        <v>0.005719927383</v>
      </c>
      <c r="I864" s="12"/>
      <c r="J864" s="12"/>
      <c r="K864" s="12"/>
      <c r="L864" s="12"/>
      <c r="M864" s="12">
        <v>44354.0</v>
      </c>
      <c r="N864" s="2">
        <v>422.19</v>
      </c>
      <c r="O864" s="3">
        <v>44383.0</v>
      </c>
      <c r="P864" s="4" t="str">
        <f t="array" ref="P864">XLOOKUP(O864,Agregado!$B$2:$B$1511,Agregado!$G$2:$G$1511)</f>
        <v>#N/A</v>
      </c>
    </row>
    <row r="865" ht="15.75" customHeight="1">
      <c r="B865" s="13" t="s">
        <v>1784</v>
      </c>
      <c r="C865" s="7">
        <v>107470.73000000008</v>
      </c>
      <c r="D865" s="7">
        <v>134610.1490000003</v>
      </c>
      <c r="E865" s="7">
        <v>133508.27299999975</v>
      </c>
      <c r="F865" s="7">
        <f t="shared" si="1"/>
        <v>375589.152</v>
      </c>
      <c r="G865" s="14">
        <f t="shared" si="2"/>
        <v>-0.002939275488</v>
      </c>
      <c r="I865" s="12"/>
      <c r="J865" s="12"/>
      <c r="K865" s="12"/>
      <c r="L865" s="12"/>
      <c r="M865" s="12">
        <v>44355.0</v>
      </c>
      <c r="N865" s="2">
        <v>422.28</v>
      </c>
      <c r="O865" s="3">
        <v>44414.0</v>
      </c>
      <c r="P865" s="4" t="str">
        <f t="array" ref="P865">XLOOKUP(O865,Agregado!$B$2:$B$1511,Agregado!$G$2:$G$1511)</f>
        <v>#N/A</v>
      </c>
    </row>
    <row r="866" ht="15.75" customHeight="1">
      <c r="B866" s="13" t="s">
        <v>1785</v>
      </c>
      <c r="C866" s="7">
        <v>106309.66600000008</v>
      </c>
      <c r="D866" s="7">
        <v>133126.6650000003</v>
      </c>
      <c r="E866" s="7">
        <v>134280.38199999975</v>
      </c>
      <c r="F866" s="7">
        <f t="shared" si="1"/>
        <v>373716.713</v>
      </c>
      <c r="G866" s="14">
        <f t="shared" si="2"/>
        <v>-0.004997806597</v>
      </c>
      <c r="I866" s="12"/>
      <c r="J866" s="12"/>
      <c r="K866" s="12"/>
      <c r="L866" s="12"/>
      <c r="M866" s="12">
        <v>44356.0</v>
      </c>
      <c r="N866" s="2">
        <v>421.65</v>
      </c>
      <c r="O866" s="3">
        <v>44445.0</v>
      </c>
      <c r="P866" s="4" t="str">
        <f t="array" ref="P866">XLOOKUP(O866,Agregado!$B$2:$B$1511,Agregado!$G$2:$G$1511)</f>
        <v>#N/A</v>
      </c>
    </row>
    <row r="867" ht="15.75" customHeight="1">
      <c r="B867" s="13" t="s">
        <v>1786</v>
      </c>
      <c r="C867" s="7">
        <v>106689.72400000009</v>
      </c>
      <c r="D867" s="7">
        <v>132321.1890000003</v>
      </c>
      <c r="E867" s="7">
        <v>134512.16999999975</v>
      </c>
      <c r="F867" s="7">
        <f t="shared" si="1"/>
        <v>373523.083</v>
      </c>
      <c r="G867" s="14">
        <f t="shared" si="2"/>
        <v>-0.0005182539939</v>
      </c>
      <c r="I867" s="12"/>
      <c r="J867" s="12"/>
      <c r="K867" s="12"/>
      <c r="L867" s="12"/>
      <c r="M867" s="12">
        <v>44357.0</v>
      </c>
      <c r="N867" s="2">
        <v>423.61</v>
      </c>
      <c r="O867" s="3">
        <v>44475.0</v>
      </c>
      <c r="P867" s="4" t="str">
        <f t="array" ref="P867">XLOOKUP(O867,Agregado!$B$2:$B$1511,Agregado!$G$2:$G$1511)</f>
        <v>#N/A</v>
      </c>
    </row>
    <row r="868" ht="15.75" customHeight="1">
      <c r="B868" s="13" t="s">
        <v>1787</v>
      </c>
      <c r="C868" s="7">
        <v>108902.77400000009</v>
      </c>
      <c r="D868" s="7">
        <v>132469.3010000003</v>
      </c>
      <c r="E868" s="7">
        <v>134660.14999999976</v>
      </c>
      <c r="F868" s="7">
        <f t="shared" si="1"/>
        <v>376032.225</v>
      </c>
      <c r="G868" s="14">
        <f t="shared" si="2"/>
        <v>0.006695039967</v>
      </c>
      <c r="I868" s="12"/>
      <c r="J868" s="12"/>
      <c r="K868" s="12"/>
      <c r="L868" s="12"/>
      <c r="M868" s="12">
        <v>44358.0</v>
      </c>
      <c r="N868" s="2">
        <v>424.31</v>
      </c>
      <c r="O868" s="3">
        <v>44506.0</v>
      </c>
      <c r="P868" s="4" t="str">
        <f t="array" ref="P868">XLOOKUP(O868,Agregado!$B$2:$B$1511,Agregado!$G$2:$G$1511)</f>
        <v>#N/A</v>
      </c>
    </row>
    <row r="869" ht="15.75" customHeight="1">
      <c r="B869" s="13" t="s">
        <v>1788</v>
      </c>
      <c r="C869" s="7">
        <v>107611.0700000001</v>
      </c>
      <c r="D869" s="7">
        <v>132469.3010000003</v>
      </c>
      <c r="E869" s="7">
        <v>134843.35499999975</v>
      </c>
      <c r="F869" s="7">
        <f t="shared" si="1"/>
        <v>374923.726</v>
      </c>
      <c r="G869" s="14">
        <f t="shared" si="2"/>
        <v>-0.002952236556</v>
      </c>
      <c r="I869" s="12"/>
      <c r="J869" s="12"/>
      <c r="K869" s="12"/>
      <c r="L869" s="12"/>
      <c r="M869" s="12">
        <v>44361.0</v>
      </c>
      <c r="N869" s="2">
        <v>425.26</v>
      </c>
      <c r="O869" s="3" t="s">
        <v>519</v>
      </c>
      <c r="P869" s="4" t="str">
        <f t="array" ref="P869">XLOOKUP(O869,Agregado!$B$2:$B$1511,Agregado!$G$2:$G$1511)</f>
        <v>#N/A</v>
      </c>
    </row>
    <row r="870" ht="15.75" customHeight="1">
      <c r="B870" s="13" t="s">
        <v>1789</v>
      </c>
      <c r="C870" s="7">
        <v>106910.91000000009</v>
      </c>
      <c r="D870" s="7">
        <v>132511.7790000003</v>
      </c>
      <c r="E870" s="7">
        <v>135081.60899999973</v>
      </c>
      <c r="F870" s="7">
        <f t="shared" si="1"/>
        <v>374504.298</v>
      </c>
      <c r="G870" s="14">
        <f t="shared" si="2"/>
        <v>-0.001119328422</v>
      </c>
      <c r="I870" s="12"/>
      <c r="J870" s="12"/>
      <c r="K870" s="12"/>
      <c r="L870" s="12"/>
      <c r="M870" s="12">
        <v>44362.0</v>
      </c>
      <c r="N870" s="2">
        <v>424.48</v>
      </c>
      <c r="O870" s="3" t="s">
        <v>520</v>
      </c>
      <c r="P870" s="4" t="str">
        <f t="array" ref="P870">XLOOKUP(O870,Agregado!$B$2:$B$1511,Agregado!$G$2:$G$1511)</f>
        <v>#N/A</v>
      </c>
    </row>
    <row r="871" ht="15.75" customHeight="1">
      <c r="B871" s="13" t="s">
        <v>1790</v>
      </c>
      <c r="C871" s="7">
        <v>107973.93700000009</v>
      </c>
      <c r="D871" s="7">
        <v>134640.0380000003</v>
      </c>
      <c r="E871" s="7">
        <v>134176.08899999975</v>
      </c>
      <c r="F871" s="7">
        <f t="shared" si="1"/>
        <v>376790.064</v>
      </c>
      <c r="G871" s="14">
        <f t="shared" si="2"/>
        <v>0.006084893401</v>
      </c>
      <c r="I871" s="12"/>
      <c r="J871" s="12"/>
      <c r="K871" s="12"/>
      <c r="L871" s="12"/>
      <c r="M871" s="12">
        <v>44363.0</v>
      </c>
      <c r="N871" s="2">
        <v>422.11</v>
      </c>
      <c r="O871" s="3" t="s">
        <v>521</v>
      </c>
      <c r="P871" s="4" t="str">
        <f t="array" ref="P871">XLOOKUP(O871,Agregado!$B$2:$B$1511,Agregado!$G$2:$G$1511)</f>
        <v>#N/A</v>
      </c>
    </row>
    <row r="872" ht="15.75" customHeight="1">
      <c r="B872" s="13" t="s">
        <v>1791</v>
      </c>
      <c r="C872" s="7">
        <v>107146.4120000001</v>
      </c>
      <c r="D872" s="7">
        <v>135022.3690000003</v>
      </c>
      <c r="E872" s="7">
        <v>134286.15699999974</v>
      </c>
      <c r="F872" s="7">
        <f t="shared" si="1"/>
        <v>376454.938</v>
      </c>
      <c r="G872" s="14">
        <f t="shared" si="2"/>
        <v>-0.0008898194378</v>
      </c>
      <c r="I872" s="12"/>
      <c r="J872" s="12"/>
      <c r="K872" s="12"/>
      <c r="L872" s="12"/>
      <c r="M872" s="12">
        <v>44364.0</v>
      </c>
      <c r="N872" s="2">
        <v>421.97</v>
      </c>
      <c r="O872" s="3" t="s">
        <v>522</v>
      </c>
      <c r="P872" s="4" t="str">
        <f t="array" ref="P872">XLOOKUP(O872,Agregado!$B$2:$B$1511,Agregado!$G$2:$G$1511)</f>
        <v>#N/A</v>
      </c>
    </row>
    <row r="873" ht="15.75" customHeight="1">
      <c r="B873" s="13" t="s">
        <v>1792</v>
      </c>
      <c r="C873" s="7">
        <v>106513.2630000001</v>
      </c>
      <c r="D873" s="7">
        <v>134937.8630000003</v>
      </c>
      <c r="E873" s="7">
        <v>134968.16899999973</v>
      </c>
      <c r="F873" s="7">
        <f t="shared" si="1"/>
        <v>376419.295</v>
      </c>
      <c r="G873" s="14">
        <f t="shared" si="2"/>
        <v>-0.00009468513721</v>
      </c>
      <c r="I873" s="12"/>
      <c r="J873" s="12"/>
      <c r="K873" s="12"/>
      <c r="L873" s="12"/>
      <c r="M873" s="12">
        <v>44365.0</v>
      </c>
      <c r="N873" s="2">
        <v>414.92</v>
      </c>
      <c r="O873" s="3" t="s">
        <v>523</v>
      </c>
      <c r="P873" s="4" t="str">
        <f t="array" ref="P873">XLOOKUP(O873,Agregado!$B$2:$B$1511,Agregado!$G$2:$G$1511)</f>
        <v>#N/A</v>
      </c>
    </row>
    <row r="874" ht="15.75" customHeight="1">
      <c r="B874" s="13" t="s">
        <v>1793</v>
      </c>
      <c r="C874" s="7">
        <v>107336.01900000009</v>
      </c>
      <c r="D874" s="7">
        <v>135064.5690000003</v>
      </c>
      <c r="E874" s="7">
        <v>135144.20999999973</v>
      </c>
      <c r="F874" s="7">
        <f t="shared" si="1"/>
        <v>377544.798</v>
      </c>
      <c r="G874" s="14">
        <f t="shared" si="2"/>
        <v>0.002985563494</v>
      </c>
      <c r="I874" s="12"/>
      <c r="J874" s="12"/>
      <c r="K874" s="12"/>
      <c r="L874" s="12"/>
      <c r="M874" s="12">
        <v>44368.0</v>
      </c>
      <c r="N874" s="2">
        <v>420.86</v>
      </c>
      <c r="O874" s="3" t="s">
        <v>524</v>
      </c>
      <c r="P874" s="4" t="str">
        <f t="array" ref="P874">XLOOKUP(O874,Agregado!$B$2:$B$1511,Agregado!$G$2:$G$1511)</f>
        <v>#N/A</v>
      </c>
    </row>
    <row r="875" ht="15.75" customHeight="1">
      <c r="B875" s="13" t="s">
        <v>1794</v>
      </c>
      <c r="C875" s="7">
        <v>104368.42900000009</v>
      </c>
      <c r="D875" s="7">
        <v>135398.03300000032</v>
      </c>
      <c r="E875" s="7">
        <v>134636.43599999973</v>
      </c>
      <c r="F875" s="7">
        <f t="shared" si="1"/>
        <v>374402.898</v>
      </c>
      <c r="G875" s="14">
        <f t="shared" si="2"/>
        <v>-0.008356746889</v>
      </c>
      <c r="I875" s="12"/>
      <c r="J875" s="12"/>
      <c r="K875" s="12"/>
      <c r="L875" s="12"/>
      <c r="M875" s="12">
        <v>44369.0</v>
      </c>
      <c r="N875" s="2">
        <v>423.11</v>
      </c>
      <c r="O875" s="3" t="s">
        <v>525</v>
      </c>
      <c r="P875" s="4" t="str">
        <f t="array" ref="P875">XLOOKUP(O875,Agregado!$B$2:$B$1511,Agregado!$G$2:$G$1511)</f>
        <v>#N/A</v>
      </c>
    </row>
    <row r="876" ht="15.75" customHeight="1">
      <c r="B876" s="13" t="s">
        <v>1795</v>
      </c>
      <c r="C876" s="7">
        <v>106767.42900000009</v>
      </c>
      <c r="D876" s="7">
        <v>135736.1810000003</v>
      </c>
      <c r="E876" s="7">
        <v>134853.27999999974</v>
      </c>
      <c r="F876" s="7">
        <f t="shared" si="1"/>
        <v>377356.89</v>
      </c>
      <c r="G876" s="14">
        <f t="shared" si="2"/>
        <v>0.007858912517</v>
      </c>
      <c r="I876" s="12"/>
      <c r="J876" s="12"/>
      <c r="K876" s="12"/>
      <c r="L876" s="12"/>
      <c r="M876" s="12">
        <v>44370.0</v>
      </c>
      <c r="N876" s="2">
        <v>422.6</v>
      </c>
      <c r="O876" s="3" t="s">
        <v>526</v>
      </c>
      <c r="P876" s="4" t="str">
        <f t="array" ref="P876">XLOOKUP(O876,Agregado!$B$2:$B$1511,Agregado!$G$2:$G$1511)</f>
        <v>#N/A</v>
      </c>
    </row>
    <row r="877" ht="15.75" customHeight="1">
      <c r="B877" s="13" t="s">
        <v>1796</v>
      </c>
      <c r="C877" s="7">
        <v>110045.93600000009</v>
      </c>
      <c r="D877" s="7">
        <v>135162.6340000003</v>
      </c>
      <c r="E877" s="7">
        <v>135011.29099999974</v>
      </c>
      <c r="F877" s="7">
        <f t="shared" si="1"/>
        <v>380219.861</v>
      </c>
      <c r="G877" s="14">
        <f t="shared" si="2"/>
        <v>0.007558269511</v>
      </c>
      <c r="I877" s="12"/>
      <c r="J877" s="12"/>
      <c r="K877" s="12"/>
      <c r="L877" s="12"/>
      <c r="M877" s="12">
        <v>44371.0</v>
      </c>
      <c r="N877" s="2">
        <v>425.1</v>
      </c>
      <c r="O877" s="3" t="s">
        <v>527</v>
      </c>
      <c r="P877" s="4" t="str">
        <f t="array" ref="P877">XLOOKUP(O877,Agregado!$B$2:$B$1511,Agregado!$G$2:$G$1511)</f>
        <v>#N/A</v>
      </c>
    </row>
    <row r="878" ht="15.75" customHeight="1">
      <c r="B878" s="13" t="s">
        <v>1797</v>
      </c>
      <c r="C878" s="7">
        <v>111271.40100000009</v>
      </c>
      <c r="D878" s="7">
        <v>135162.6340000003</v>
      </c>
      <c r="E878" s="7">
        <v>135239.89499999973</v>
      </c>
      <c r="F878" s="7">
        <f t="shared" si="1"/>
        <v>381673.93</v>
      </c>
      <c r="G878" s="14">
        <f t="shared" si="2"/>
        <v>0.003816990721</v>
      </c>
      <c r="I878" s="12"/>
      <c r="J878" s="12"/>
      <c r="K878" s="12"/>
      <c r="L878" s="12"/>
      <c r="M878" s="12">
        <v>44372.0</v>
      </c>
      <c r="N878" s="2">
        <v>426.61</v>
      </c>
      <c r="O878" s="3" t="s">
        <v>528</v>
      </c>
      <c r="P878" s="4" t="str">
        <f t="array" ref="P878">XLOOKUP(O878,Agregado!$B$2:$B$1511,Agregado!$G$2:$G$1511)</f>
        <v>#N/A</v>
      </c>
    </row>
    <row r="879" ht="15.75" customHeight="1">
      <c r="B879" s="13" t="s">
        <v>1798</v>
      </c>
      <c r="C879" s="7">
        <v>111760.22700000009</v>
      </c>
      <c r="D879" s="7">
        <v>135290.7020000003</v>
      </c>
      <c r="E879" s="7">
        <v>135331.60299999974</v>
      </c>
      <c r="F879" s="7">
        <f t="shared" si="1"/>
        <v>382382.532</v>
      </c>
      <c r="G879" s="14">
        <f t="shared" si="2"/>
        <v>0.001854842511</v>
      </c>
      <c r="I879" s="12"/>
      <c r="J879" s="12"/>
      <c r="K879" s="12"/>
      <c r="L879" s="12"/>
      <c r="M879" s="12">
        <v>44375.0</v>
      </c>
      <c r="N879" s="2">
        <v>427.47</v>
      </c>
      <c r="O879" s="3" t="s">
        <v>529</v>
      </c>
      <c r="P879" s="4" t="str">
        <f t="array" ref="P879">XLOOKUP(O879,Agregado!$B$2:$B$1511,Agregado!$G$2:$G$1511)</f>
        <v>#N/A</v>
      </c>
    </row>
    <row r="880" ht="15.75" customHeight="1">
      <c r="B880" s="13" t="s">
        <v>1799</v>
      </c>
      <c r="C880" s="7">
        <v>113636.76700000008</v>
      </c>
      <c r="D880" s="7">
        <v>135097.95700000032</v>
      </c>
      <c r="E880" s="7">
        <v>135431.30099999974</v>
      </c>
      <c r="F880" s="7">
        <f t="shared" si="1"/>
        <v>384166.025</v>
      </c>
      <c r="G880" s="14">
        <f t="shared" si="2"/>
        <v>0.004653315702</v>
      </c>
      <c r="I880" s="12"/>
      <c r="J880" s="12"/>
      <c r="K880" s="12"/>
      <c r="L880" s="12"/>
      <c r="M880" s="12">
        <v>44376.0</v>
      </c>
      <c r="N880" s="2">
        <v>427.7</v>
      </c>
      <c r="O880" s="3" t="s">
        <v>530</v>
      </c>
      <c r="P880" s="4" t="str">
        <f t="array" ref="P880">XLOOKUP(O880,Agregado!$B$2:$B$1511,Agregado!$G$2:$G$1511)</f>
        <v>#N/A</v>
      </c>
    </row>
    <row r="881" ht="15.75" customHeight="1">
      <c r="B881" s="13" t="s">
        <v>1800</v>
      </c>
      <c r="C881" s="7">
        <v>112418.47000000007</v>
      </c>
      <c r="D881" s="7">
        <v>135527.26900000032</v>
      </c>
      <c r="E881" s="7">
        <v>135826.18399999975</v>
      </c>
      <c r="F881" s="7">
        <f t="shared" si="1"/>
        <v>383771.923</v>
      </c>
      <c r="G881" s="14">
        <f t="shared" si="2"/>
        <v>-0.001026390311</v>
      </c>
      <c r="I881" s="12"/>
      <c r="J881" s="12"/>
      <c r="K881" s="12"/>
      <c r="L881" s="12"/>
      <c r="M881" s="12">
        <v>44377.0</v>
      </c>
      <c r="N881" s="2">
        <v>428.06</v>
      </c>
      <c r="O881" s="3" t="s">
        <v>531</v>
      </c>
      <c r="P881" s="4" t="str">
        <f t="array" ref="P881">XLOOKUP(O881,Agregado!$B$2:$B$1511,Agregado!$G$2:$G$1511)</f>
        <v>#N/A</v>
      </c>
    </row>
    <row r="882" ht="15.75" customHeight="1">
      <c r="B882" s="13" t="s">
        <v>1801</v>
      </c>
      <c r="C882" s="7">
        <v>113915.16900000007</v>
      </c>
      <c r="D882" s="7">
        <v>135827.89700000032</v>
      </c>
      <c r="E882" s="7">
        <v>135993.39299999975</v>
      </c>
      <c r="F882" s="7">
        <f t="shared" si="1"/>
        <v>385736.459</v>
      </c>
      <c r="G882" s="14">
        <f t="shared" si="2"/>
        <v>0.005105961973</v>
      </c>
      <c r="I882" s="12"/>
      <c r="J882" s="12"/>
      <c r="K882" s="12"/>
      <c r="L882" s="12"/>
      <c r="M882" s="12">
        <v>44378.0</v>
      </c>
      <c r="N882" s="2">
        <v>430.43</v>
      </c>
      <c r="O882" s="3">
        <v>44203.0</v>
      </c>
      <c r="P882" s="4" t="str">
        <f t="array" ref="P882">XLOOKUP(O882,Agregado!$B$2:$B$1511,Agregado!$G$2:$G$1511)</f>
        <v>#N/A</v>
      </c>
    </row>
    <row r="883" ht="15.75" customHeight="1">
      <c r="B883" s="13" t="s">
        <v>1802</v>
      </c>
      <c r="C883" s="7">
        <v>116570.05400000006</v>
      </c>
      <c r="D883" s="7">
        <v>135096.8110000003</v>
      </c>
      <c r="E883" s="7">
        <v>136111.48499999975</v>
      </c>
      <c r="F883" s="7">
        <f t="shared" si="1"/>
        <v>387778.35</v>
      </c>
      <c r="G883" s="14">
        <f t="shared" si="2"/>
        <v>0.005279525923</v>
      </c>
      <c r="I883" s="12"/>
      <c r="J883" s="12"/>
      <c r="K883" s="12"/>
      <c r="L883" s="12"/>
      <c r="M883" s="12">
        <v>44379.0</v>
      </c>
      <c r="N883" s="2">
        <v>433.72</v>
      </c>
      <c r="O883" s="3">
        <v>44234.0</v>
      </c>
      <c r="P883" s="4" t="str">
        <f t="array" ref="P883">XLOOKUP(O883,Agregado!$B$2:$B$1511,Agregado!$G$2:$G$1511)</f>
        <v>#N/A</v>
      </c>
    </row>
    <row r="884" ht="15.75" customHeight="1">
      <c r="B884" s="13" t="s">
        <v>1803</v>
      </c>
      <c r="C884" s="7">
        <v>116505.48300000007</v>
      </c>
      <c r="D884" s="7">
        <v>135356.2060000003</v>
      </c>
      <c r="E884" s="7">
        <v>136400.42499999976</v>
      </c>
      <c r="F884" s="7">
        <f t="shared" si="1"/>
        <v>388262.114</v>
      </c>
      <c r="G884" s="14">
        <f t="shared" si="2"/>
        <v>0.001246749584</v>
      </c>
      <c r="I884" s="12"/>
      <c r="J884" s="12"/>
      <c r="K884" s="12"/>
      <c r="L884" s="12"/>
      <c r="M884" s="12">
        <v>44380.0</v>
      </c>
      <c r="N884" s="2">
        <v>433.72</v>
      </c>
      <c r="P884" s="4" t="str">
        <f t="array" ref="P884">XLOOKUP(O884,Agregado!$B$2:$B$1511,Agregado!$G$2:$G$1511)</f>
        <v>#N/A</v>
      </c>
    </row>
    <row r="885" ht="15.75" customHeight="1">
      <c r="B885" s="13" t="s">
        <v>1804</v>
      </c>
      <c r="C885" s="7">
        <v>116722.35800000007</v>
      </c>
      <c r="D885" s="7">
        <v>135661.14200000028</v>
      </c>
      <c r="E885" s="7">
        <v>136901.36099999974</v>
      </c>
      <c r="F885" s="7">
        <f t="shared" si="1"/>
        <v>389284.861</v>
      </c>
      <c r="G885" s="14">
        <f t="shared" si="2"/>
        <v>0.002630703026</v>
      </c>
      <c r="I885" s="12"/>
      <c r="J885" s="12"/>
      <c r="K885" s="12"/>
      <c r="L885" s="12"/>
      <c r="M885" s="12">
        <v>44381.0</v>
      </c>
      <c r="N885" s="2">
        <v>433.72</v>
      </c>
      <c r="P885" s="4" t="str">
        <f t="array" ref="P885">XLOOKUP(O885,Agregado!$B$2:$B$1511,Agregado!$G$2:$G$1511)</f>
        <v>#N/A</v>
      </c>
    </row>
    <row r="886" ht="15.75" customHeight="1">
      <c r="B886" s="13" t="s">
        <v>1805</v>
      </c>
      <c r="C886" s="7">
        <v>116982.09300000007</v>
      </c>
      <c r="D886" s="7">
        <v>135726.3560000003</v>
      </c>
      <c r="E886" s="7">
        <v>137441.44199999975</v>
      </c>
      <c r="F886" s="7">
        <f t="shared" si="1"/>
        <v>390149.891</v>
      </c>
      <c r="G886" s="14">
        <f t="shared" si="2"/>
        <v>0.00221963507</v>
      </c>
      <c r="I886" s="12"/>
      <c r="J886" s="12"/>
      <c r="K886" s="12"/>
      <c r="L886" s="12"/>
      <c r="M886" s="12">
        <v>44382.0</v>
      </c>
      <c r="N886" s="2">
        <v>433.72</v>
      </c>
      <c r="P886" s="4" t="str">
        <f t="array" ref="P886">XLOOKUP(O886,Agregado!$B$2:$B$1511,Agregado!$G$2:$G$1511)</f>
        <v>#N/A</v>
      </c>
    </row>
    <row r="887" ht="15.75" customHeight="1">
      <c r="B887" s="13" t="s">
        <v>1806</v>
      </c>
      <c r="C887" s="7">
        <v>113094.69900000007</v>
      </c>
      <c r="D887" s="7">
        <v>135791.78900000028</v>
      </c>
      <c r="E887" s="7">
        <v>137712.28899999976</v>
      </c>
      <c r="F887" s="7">
        <f t="shared" si="1"/>
        <v>386598.777</v>
      </c>
      <c r="G887" s="14">
        <f t="shared" si="2"/>
        <v>-0.00914359789</v>
      </c>
      <c r="I887" s="12"/>
      <c r="J887" s="12"/>
      <c r="K887" s="12"/>
      <c r="L887" s="12"/>
      <c r="M887" s="12">
        <v>44383.0</v>
      </c>
      <c r="N887" s="2">
        <v>432.93</v>
      </c>
      <c r="O887" s="3">
        <v>44354.0</v>
      </c>
      <c r="P887" s="4" t="str">
        <f t="array" ref="P887">XLOOKUP(O887,Agregado!$B$2:$B$1511,Agregado!$G$2:$G$1511)</f>
        <v>#N/A</v>
      </c>
    </row>
    <row r="888" ht="15.75" customHeight="1">
      <c r="B888" s="13" t="s">
        <v>1807</v>
      </c>
      <c r="C888" s="7">
        <v>115980.46600000007</v>
      </c>
      <c r="D888" s="7">
        <v>135878.3040000003</v>
      </c>
      <c r="E888" s="7">
        <v>137776.88499999975</v>
      </c>
      <c r="F888" s="7">
        <f t="shared" si="1"/>
        <v>389635.655</v>
      </c>
      <c r="G888" s="14">
        <f t="shared" si="2"/>
        <v>0.007824681229</v>
      </c>
      <c r="I888" s="12"/>
      <c r="J888" s="12"/>
      <c r="K888" s="12"/>
      <c r="L888" s="12"/>
      <c r="M888" s="12">
        <v>44384.0</v>
      </c>
      <c r="N888" s="2">
        <v>434.46</v>
      </c>
      <c r="O888" s="3">
        <v>44384.0</v>
      </c>
      <c r="P888" s="4" t="str">
        <f t="array" ref="P888">XLOOKUP(O888,Agregado!$B$2:$B$1511,Agregado!$G$2:$G$1511)</f>
        <v>#N/A</v>
      </c>
    </row>
    <row r="889" ht="15.75" customHeight="1">
      <c r="B889" s="13" t="s">
        <v>1808</v>
      </c>
      <c r="C889" s="7">
        <v>116808.04700000008</v>
      </c>
      <c r="D889" s="7">
        <v>136009.5410000003</v>
      </c>
      <c r="E889" s="7">
        <v>137838.55499999976</v>
      </c>
      <c r="F889" s="7">
        <f t="shared" si="1"/>
        <v>390656.143</v>
      </c>
      <c r="G889" s="14">
        <f t="shared" si="2"/>
        <v>0.002615658871</v>
      </c>
      <c r="I889" s="12"/>
      <c r="J889" s="12"/>
      <c r="K889" s="12"/>
      <c r="L889" s="12"/>
      <c r="M889" s="12">
        <v>44385.0</v>
      </c>
      <c r="N889" s="2">
        <v>430.92</v>
      </c>
      <c r="O889" s="3">
        <v>44415.0</v>
      </c>
      <c r="P889" s="4" t="str">
        <f t="array" ref="P889">XLOOKUP(O889,Agregado!$B$2:$B$1511,Agregado!$G$2:$G$1511)</f>
        <v>#N/A</v>
      </c>
    </row>
    <row r="890" ht="15.75" customHeight="1">
      <c r="B890" s="13" t="s">
        <v>1809</v>
      </c>
      <c r="C890" s="7">
        <v>116480.24500000008</v>
      </c>
      <c r="D890" s="7">
        <v>136141.2310000003</v>
      </c>
      <c r="E890" s="7">
        <v>138039.32899999977</v>
      </c>
      <c r="F890" s="7">
        <f t="shared" si="1"/>
        <v>390660.805</v>
      </c>
      <c r="G890" s="14">
        <f t="shared" si="2"/>
        <v>0.00001193369736</v>
      </c>
      <c r="I890" s="12"/>
      <c r="J890" s="12"/>
      <c r="K890" s="12"/>
      <c r="L890" s="12"/>
      <c r="M890" s="12">
        <v>44386.0</v>
      </c>
      <c r="N890" s="2">
        <v>435.52</v>
      </c>
      <c r="O890" s="3">
        <v>44446.0</v>
      </c>
      <c r="P890" s="4" t="str">
        <f t="array" ref="P890">XLOOKUP(O890,Agregado!$B$2:$B$1511,Agregado!$G$2:$G$1511)</f>
        <v>#N/A</v>
      </c>
    </row>
    <row r="891" ht="15.75" customHeight="1">
      <c r="B891" s="13" t="s">
        <v>1810</v>
      </c>
      <c r="C891" s="7">
        <v>116502.02200000008</v>
      </c>
      <c r="D891" s="7">
        <v>136206.8440000003</v>
      </c>
      <c r="E891" s="7">
        <v>138356.45699999976</v>
      </c>
      <c r="F891" s="7">
        <f t="shared" si="1"/>
        <v>391065.323</v>
      </c>
      <c r="G891" s="14">
        <f t="shared" si="2"/>
        <v>0.001034935437</v>
      </c>
      <c r="I891" s="12"/>
      <c r="J891" s="12"/>
      <c r="K891" s="12"/>
      <c r="L891" s="12"/>
      <c r="M891" s="12">
        <v>44389.0</v>
      </c>
      <c r="N891" s="2">
        <v>437.08</v>
      </c>
      <c r="O891" s="3">
        <v>44537.0</v>
      </c>
      <c r="P891" s="4" t="str">
        <f t="array" ref="P891">XLOOKUP(O891,Agregado!$B$2:$B$1511,Agregado!$G$2:$G$1511)</f>
        <v>#N/A</v>
      </c>
    </row>
    <row r="892" ht="15.75" customHeight="1">
      <c r="B892" s="13" t="s">
        <v>1811</v>
      </c>
      <c r="C892" s="7">
        <v>117592.25400000009</v>
      </c>
      <c r="D892" s="7">
        <v>136382.0380000003</v>
      </c>
      <c r="E892" s="7">
        <v>138759.37799999976</v>
      </c>
      <c r="F892" s="7">
        <f t="shared" si="1"/>
        <v>392733.67</v>
      </c>
      <c r="G892" s="14">
        <f t="shared" si="2"/>
        <v>0.004257085131</v>
      </c>
      <c r="I892" s="12"/>
      <c r="J892" s="12"/>
      <c r="K892" s="12"/>
      <c r="L892" s="12"/>
      <c r="M892" s="12">
        <v>44390.0</v>
      </c>
      <c r="N892" s="2">
        <v>435.59</v>
      </c>
      <c r="O892" s="3" t="s">
        <v>532</v>
      </c>
      <c r="P892" s="4" t="str">
        <f t="array" ref="P892">XLOOKUP(O892,Agregado!$B$2:$B$1511,Agregado!$G$2:$G$1511)</f>
        <v>#N/A</v>
      </c>
    </row>
    <row r="893" ht="15.75" customHeight="1">
      <c r="B893" s="13" t="s">
        <v>1812</v>
      </c>
      <c r="C893" s="7">
        <v>115527.52300000009</v>
      </c>
      <c r="D893" s="7">
        <v>136382.0380000003</v>
      </c>
      <c r="E893" s="7">
        <v>139181.68299999976</v>
      </c>
      <c r="F893" s="7">
        <f t="shared" si="1"/>
        <v>391091.244</v>
      </c>
      <c r="G893" s="14">
        <f t="shared" si="2"/>
        <v>-0.004190804284</v>
      </c>
      <c r="I893" s="12"/>
      <c r="J893" s="12"/>
      <c r="K893" s="12"/>
      <c r="L893" s="12"/>
      <c r="M893" s="12">
        <v>44391.0</v>
      </c>
      <c r="N893" s="2">
        <v>436.24</v>
      </c>
      <c r="O893" s="3" t="s">
        <v>533</v>
      </c>
      <c r="P893" s="4" t="str">
        <f t="array" ref="P893">XLOOKUP(O893,Agregado!$B$2:$B$1511,Agregado!$G$2:$G$1511)</f>
        <v>#N/A</v>
      </c>
    </row>
    <row r="894" ht="15.75" customHeight="1">
      <c r="B894" s="13" t="s">
        <v>1813</v>
      </c>
      <c r="C894" s="7">
        <v>113392.07900000009</v>
      </c>
      <c r="D894" s="7">
        <v>136447.0290000003</v>
      </c>
      <c r="E894" s="7">
        <v>140325.61099999977</v>
      </c>
      <c r="F894" s="7">
        <f t="shared" si="1"/>
        <v>390164.719</v>
      </c>
      <c r="G894" s="14">
        <f t="shared" si="2"/>
        <v>-0.002371887008</v>
      </c>
      <c r="I894" s="12"/>
      <c r="J894" s="12"/>
      <c r="K894" s="12"/>
      <c r="L894" s="12"/>
      <c r="M894" s="12">
        <v>44392.0</v>
      </c>
      <c r="N894" s="2">
        <v>434.75</v>
      </c>
      <c r="O894" s="3" t="s">
        <v>534</v>
      </c>
      <c r="P894" s="4" t="str">
        <f t="array" ref="P894">XLOOKUP(O894,Agregado!$B$2:$B$1511,Agregado!$G$2:$G$1511)</f>
        <v>#N/A</v>
      </c>
    </row>
    <row r="895" ht="15.75" customHeight="1">
      <c r="B895" s="13" t="s">
        <v>1814</v>
      </c>
      <c r="C895" s="7">
        <v>115154.03900000009</v>
      </c>
      <c r="D895" s="7">
        <v>136361.7480000003</v>
      </c>
      <c r="E895" s="7">
        <v>140963.94299999977</v>
      </c>
      <c r="F895" s="7">
        <f t="shared" si="1"/>
        <v>392479.73</v>
      </c>
      <c r="G895" s="14">
        <f t="shared" si="2"/>
        <v>0.00591588621</v>
      </c>
      <c r="I895" s="12"/>
      <c r="J895" s="12"/>
      <c r="K895" s="12"/>
      <c r="L895" s="12"/>
      <c r="M895" s="12">
        <v>44393.0</v>
      </c>
      <c r="N895" s="2">
        <v>431.34</v>
      </c>
      <c r="O895" s="3" t="s">
        <v>535</v>
      </c>
      <c r="P895" s="4" t="str">
        <f t="array" ref="P895">XLOOKUP(O895,Agregado!$B$2:$B$1511,Agregado!$G$2:$G$1511)</f>
        <v>#N/A</v>
      </c>
    </row>
    <row r="896" ht="15.75" customHeight="1">
      <c r="B896" s="13" t="s">
        <v>1815</v>
      </c>
      <c r="C896" s="7">
        <v>112761.9220000001</v>
      </c>
      <c r="D896" s="7">
        <v>137617.1040000003</v>
      </c>
      <c r="E896" s="7">
        <v>140537.71699999977</v>
      </c>
      <c r="F896" s="7">
        <f t="shared" si="1"/>
        <v>390916.743</v>
      </c>
      <c r="G896" s="14">
        <f t="shared" si="2"/>
        <v>-0.003990288769</v>
      </c>
      <c r="I896" s="12"/>
      <c r="J896" s="12"/>
      <c r="K896" s="12"/>
      <c r="L896" s="12"/>
      <c r="M896" s="12">
        <v>44396.0</v>
      </c>
      <c r="N896" s="2">
        <v>424.97</v>
      </c>
      <c r="O896" s="3" t="s">
        <v>536</v>
      </c>
      <c r="P896" s="4" t="str">
        <f t="array" ref="P896">XLOOKUP(O896,Agregado!$B$2:$B$1511,Agregado!$G$2:$G$1511)</f>
        <v>#N/A</v>
      </c>
    </row>
    <row r="897" ht="15.75" customHeight="1">
      <c r="B897" s="13" t="s">
        <v>1816</v>
      </c>
      <c r="C897" s="7">
        <v>111458.2410000001</v>
      </c>
      <c r="D897" s="7">
        <v>138337.24500000032</v>
      </c>
      <c r="E897" s="7">
        <v>140588.47599999976</v>
      </c>
      <c r="F897" s="7">
        <f t="shared" si="1"/>
        <v>390383.962</v>
      </c>
      <c r="G897" s="14">
        <f t="shared" si="2"/>
        <v>-0.001363831056</v>
      </c>
      <c r="I897" s="12"/>
      <c r="J897" s="12"/>
      <c r="K897" s="12"/>
      <c r="L897" s="12"/>
      <c r="M897" s="12">
        <v>44397.0</v>
      </c>
      <c r="N897" s="2">
        <v>431.06</v>
      </c>
      <c r="O897" s="3" t="s">
        <v>537</v>
      </c>
      <c r="P897" s="4" t="str">
        <f t="array" ref="P897">XLOOKUP(O897,Agregado!$B$2:$B$1511,Agregado!$G$2:$G$1511)</f>
        <v>#N/A</v>
      </c>
    </row>
    <row r="898" ht="15.75" customHeight="1">
      <c r="B898" s="13" t="s">
        <v>1817</v>
      </c>
      <c r="C898" s="7">
        <v>110064.74300000009</v>
      </c>
      <c r="D898" s="7">
        <v>138009.22300000032</v>
      </c>
      <c r="E898" s="7">
        <v>140631.45299999978</v>
      </c>
      <c r="F898" s="7">
        <f t="shared" si="1"/>
        <v>388705.419</v>
      </c>
      <c r="G898" s="14">
        <f t="shared" si="2"/>
        <v>-0.004308993649</v>
      </c>
      <c r="I898" s="12"/>
      <c r="J898" s="12"/>
      <c r="K898" s="12"/>
      <c r="L898" s="12"/>
      <c r="M898" s="12">
        <v>44398.0</v>
      </c>
      <c r="N898" s="2">
        <v>434.55</v>
      </c>
      <c r="O898" s="3" t="s">
        <v>538</v>
      </c>
      <c r="P898" s="4" t="str">
        <f t="array" ref="P898">XLOOKUP(O898,Agregado!$B$2:$B$1511,Agregado!$G$2:$G$1511)</f>
        <v>#N/A</v>
      </c>
    </row>
    <row r="899" ht="15.75" customHeight="1">
      <c r="B899" s="13" t="s">
        <v>1818</v>
      </c>
      <c r="C899" s="7">
        <v>109734.81800000009</v>
      </c>
      <c r="D899" s="7">
        <v>137545.31300000031</v>
      </c>
      <c r="E899" s="7">
        <v>140828.90099999978</v>
      </c>
      <c r="F899" s="7">
        <f t="shared" si="1"/>
        <v>388109.032</v>
      </c>
      <c r="G899" s="14">
        <f t="shared" si="2"/>
        <v>-0.001535468647</v>
      </c>
      <c r="I899" s="12"/>
      <c r="J899" s="12"/>
      <c r="K899" s="12"/>
      <c r="L899" s="12"/>
      <c r="M899" s="12">
        <v>44399.0</v>
      </c>
      <c r="N899" s="2">
        <v>435.46</v>
      </c>
      <c r="O899" s="3" t="s">
        <v>539</v>
      </c>
      <c r="P899" s="4" t="str">
        <f t="array" ref="P899">XLOOKUP(O899,Agregado!$B$2:$B$1511,Agregado!$G$2:$G$1511)</f>
        <v>#N/A</v>
      </c>
    </row>
    <row r="900" ht="15.75" customHeight="1">
      <c r="B900" s="13" t="s">
        <v>1819</v>
      </c>
      <c r="C900" s="7">
        <v>109602.53300000008</v>
      </c>
      <c r="D900" s="7">
        <v>137213.1560000003</v>
      </c>
      <c r="E900" s="7">
        <v>140836.1829999998</v>
      </c>
      <c r="F900" s="7">
        <f t="shared" si="1"/>
        <v>387651.872</v>
      </c>
      <c r="G900" s="14">
        <f t="shared" si="2"/>
        <v>-0.001178610705</v>
      </c>
      <c r="I900" s="12"/>
      <c r="J900" s="12"/>
      <c r="K900" s="12"/>
      <c r="L900" s="12"/>
      <c r="M900" s="12">
        <v>44400.0</v>
      </c>
      <c r="N900" s="2">
        <v>439.94</v>
      </c>
      <c r="O900" s="3" t="s">
        <v>540</v>
      </c>
      <c r="P900" s="4" t="str">
        <f t="array" ref="P900">XLOOKUP(O900,Agregado!$B$2:$B$1511,Agregado!$G$2:$G$1511)</f>
        <v>#N/A</v>
      </c>
    </row>
    <row r="901" ht="15.75" customHeight="1">
      <c r="B901" s="13" t="s">
        <v>1820</v>
      </c>
      <c r="C901" s="7">
        <v>113157.41800000008</v>
      </c>
      <c r="D901" s="7">
        <v>137169.0770000003</v>
      </c>
      <c r="E901" s="7">
        <v>140904.2309999998</v>
      </c>
      <c r="F901" s="7">
        <f t="shared" si="1"/>
        <v>391230.726</v>
      </c>
      <c r="G901" s="14">
        <f t="shared" si="2"/>
        <v>0.009189778269</v>
      </c>
      <c r="I901" s="12"/>
      <c r="J901" s="12"/>
      <c r="K901" s="12"/>
      <c r="L901" s="12"/>
      <c r="M901" s="12">
        <v>44403.0</v>
      </c>
      <c r="N901" s="2">
        <v>441.02</v>
      </c>
      <c r="O901" s="3" t="s">
        <v>541</v>
      </c>
      <c r="P901" s="4" t="str">
        <f t="array" ref="P901">XLOOKUP(O901,Agregado!$B$2:$B$1511,Agregado!$G$2:$G$1511)</f>
        <v>#N/A</v>
      </c>
    </row>
    <row r="902" ht="15.75" customHeight="1">
      <c r="B902" s="13" t="s">
        <v>1821</v>
      </c>
      <c r="C902" s="7">
        <v>112938.02100000008</v>
      </c>
      <c r="D902" s="7">
        <v>137345.3620000003</v>
      </c>
      <c r="E902" s="7">
        <v>141034.1679999998</v>
      </c>
      <c r="F902" s="7">
        <f t="shared" si="1"/>
        <v>391317.551</v>
      </c>
      <c r="G902" s="14">
        <f t="shared" si="2"/>
        <v>0.0002219032433</v>
      </c>
      <c r="I902" s="12"/>
      <c r="J902" s="12"/>
      <c r="K902" s="12"/>
      <c r="L902" s="12"/>
      <c r="M902" s="12">
        <v>44404.0</v>
      </c>
      <c r="N902" s="2">
        <v>439.01</v>
      </c>
      <c r="O902" s="3" t="s">
        <v>542</v>
      </c>
      <c r="P902" s="4" t="str">
        <f t="array" ref="P902">XLOOKUP(O902,Agregado!$B$2:$B$1511,Agregado!$G$2:$G$1511)</f>
        <v>#N/A</v>
      </c>
    </row>
    <row r="903" ht="15.75" customHeight="1">
      <c r="B903" s="13" t="s">
        <v>1822</v>
      </c>
      <c r="C903" s="7">
        <v>113510.91700000007</v>
      </c>
      <c r="D903" s="7">
        <v>136947.0070000003</v>
      </c>
      <c r="E903" s="7">
        <v>141097.7409999998</v>
      </c>
      <c r="F903" s="7">
        <f t="shared" si="1"/>
        <v>391555.665</v>
      </c>
      <c r="G903" s="14">
        <f t="shared" si="2"/>
        <v>0.0006083079673</v>
      </c>
      <c r="I903" s="12"/>
      <c r="J903" s="12"/>
      <c r="K903" s="12"/>
      <c r="L903" s="12"/>
      <c r="M903" s="12">
        <v>44405.0</v>
      </c>
      <c r="N903" s="2">
        <v>438.83</v>
      </c>
      <c r="O903" s="3" t="s">
        <v>543</v>
      </c>
      <c r="P903" s="4" t="str">
        <f t="array" ref="P903">XLOOKUP(O903,Agregado!$B$2:$B$1511,Agregado!$G$2:$G$1511)</f>
        <v>#N/A</v>
      </c>
    </row>
    <row r="904" ht="15.75" customHeight="1">
      <c r="B904" s="13" t="s">
        <v>1823</v>
      </c>
      <c r="C904" s="7">
        <v>115286.20100000007</v>
      </c>
      <c r="D904" s="7">
        <v>136880.9680000003</v>
      </c>
      <c r="E904" s="7">
        <v>141441.5489999998</v>
      </c>
      <c r="F904" s="7">
        <f t="shared" si="1"/>
        <v>393608.718</v>
      </c>
      <c r="G904" s="14">
        <f t="shared" si="2"/>
        <v>0.005229625091</v>
      </c>
      <c r="I904" s="12"/>
      <c r="J904" s="12"/>
      <c r="K904" s="12"/>
      <c r="L904" s="12"/>
      <c r="M904" s="12">
        <v>44406.0</v>
      </c>
      <c r="N904" s="2">
        <v>440.65</v>
      </c>
      <c r="O904" s="3" t="s">
        <v>544</v>
      </c>
      <c r="P904" s="4" t="str">
        <f t="array" ref="P904">XLOOKUP(O904,Agregado!$B$2:$B$1511,Agregado!$G$2:$G$1511)</f>
        <v>#N/A</v>
      </c>
    </row>
    <row r="905" ht="15.75" customHeight="1">
      <c r="B905" s="13" t="s">
        <v>1824</v>
      </c>
      <c r="C905" s="7">
        <v>113754.83300000007</v>
      </c>
      <c r="D905" s="7">
        <v>136858.9960000003</v>
      </c>
      <c r="E905" s="7">
        <v>142287.5019999998</v>
      </c>
      <c r="F905" s="7">
        <f t="shared" si="1"/>
        <v>392901.331</v>
      </c>
      <c r="G905" s="14">
        <f t="shared" si="2"/>
        <v>-0.001798800134</v>
      </c>
      <c r="I905" s="12"/>
      <c r="J905" s="12"/>
      <c r="K905" s="12"/>
      <c r="L905" s="12"/>
      <c r="M905" s="12">
        <v>44407.0</v>
      </c>
      <c r="N905" s="2">
        <v>438.51</v>
      </c>
      <c r="O905" s="3" t="s">
        <v>545</v>
      </c>
      <c r="P905" s="4" t="str">
        <f t="array" ref="P905">XLOOKUP(O905,Agregado!$B$2:$B$1511,Agregado!$G$2:$G$1511)</f>
        <v>#N/A</v>
      </c>
    </row>
    <row r="906" ht="15.75" customHeight="1">
      <c r="B906" s="13" t="s">
        <v>1825</v>
      </c>
      <c r="C906" s="7">
        <v>113181.37600000008</v>
      </c>
      <c r="D906" s="7">
        <v>136969.7590000003</v>
      </c>
      <c r="E906" s="7">
        <v>142239.5149999998</v>
      </c>
      <c r="F906" s="7">
        <f t="shared" si="1"/>
        <v>392390.65</v>
      </c>
      <c r="G906" s="14">
        <f t="shared" si="2"/>
        <v>-0.001300614509</v>
      </c>
      <c r="I906" s="12"/>
      <c r="J906" s="12"/>
      <c r="K906" s="12"/>
      <c r="L906" s="12"/>
      <c r="M906" s="12">
        <v>44410.0</v>
      </c>
      <c r="N906" s="2">
        <v>437.59</v>
      </c>
      <c r="O906" s="3">
        <v>44235.0</v>
      </c>
      <c r="P906" s="4" t="str">
        <f t="array" ref="P906">XLOOKUP(O906,Agregado!$B$2:$B$1511,Agregado!$G$2:$G$1511)</f>
        <v>#N/A</v>
      </c>
    </row>
    <row r="907" ht="15.75" customHeight="1">
      <c r="B907" s="13" t="s">
        <v>1826</v>
      </c>
      <c r="C907" s="7">
        <v>111227.45400000007</v>
      </c>
      <c r="D907" s="7">
        <v>136881.5590000003</v>
      </c>
      <c r="E907" s="7">
        <v>142123.13099999982</v>
      </c>
      <c r="F907" s="7">
        <f t="shared" si="1"/>
        <v>390232.144</v>
      </c>
      <c r="G907" s="14">
        <f t="shared" si="2"/>
        <v>-0.005516096617</v>
      </c>
      <c r="I907" s="12"/>
      <c r="J907" s="12"/>
      <c r="K907" s="12"/>
      <c r="L907" s="12"/>
      <c r="M907" s="12">
        <v>44411.0</v>
      </c>
      <c r="N907" s="2">
        <v>441.15</v>
      </c>
      <c r="O907" s="3">
        <v>44263.0</v>
      </c>
      <c r="P907" s="4" t="str">
        <f t="array" ref="P907">XLOOKUP(O907,Agregado!$B$2:$B$1511,Agregado!$G$2:$G$1511)</f>
        <v>#N/A</v>
      </c>
    </row>
    <row r="908" ht="15.75" customHeight="1">
      <c r="B908" s="13" t="s">
        <v>1827</v>
      </c>
      <c r="C908" s="7">
        <v>110763.62000000007</v>
      </c>
      <c r="D908" s="7">
        <v>136948.1110000003</v>
      </c>
      <c r="E908" s="7">
        <v>142618.6669999998</v>
      </c>
      <c r="F908" s="7">
        <f t="shared" si="1"/>
        <v>390330.398</v>
      </c>
      <c r="G908" s="14">
        <f t="shared" si="2"/>
        <v>0.0002517517694</v>
      </c>
      <c r="I908" s="12"/>
      <c r="J908" s="12"/>
      <c r="K908" s="12"/>
      <c r="L908" s="12"/>
      <c r="M908" s="12">
        <v>44412.0</v>
      </c>
      <c r="N908" s="2">
        <v>438.98</v>
      </c>
      <c r="O908" s="3">
        <v>44294.0</v>
      </c>
      <c r="P908" s="4" t="str">
        <f t="array" ref="P908">XLOOKUP(O908,Agregado!$B$2:$B$1511,Agregado!$G$2:$G$1511)</f>
        <v>#N/A</v>
      </c>
    </row>
    <row r="909" ht="15.75" customHeight="1">
      <c r="B909" s="13" t="s">
        <v>1828</v>
      </c>
      <c r="C909" s="7">
        <v>112356.74100000007</v>
      </c>
      <c r="D909" s="7">
        <v>137059.2300000003</v>
      </c>
      <c r="E909" s="7">
        <v>142671.79699999982</v>
      </c>
      <c r="F909" s="7">
        <f t="shared" si="1"/>
        <v>392087.768</v>
      </c>
      <c r="G909" s="14">
        <f t="shared" si="2"/>
        <v>0.004492157855</v>
      </c>
      <c r="I909" s="12"/>
      <c r="J909" s="12"/>
      <c r="K909" s="12"/>
      <c r="L909" s="12"/>
      <c r="M909" s="12">
        <v>44413.0</v>
      </c>
      <c r="N909" s="2">
        <v>441.76</v>
      </c>
      <c r="O909" s="3">
        <v>44324.0</v>
      </c>
      <c r="P909" s="4" t="str">
        <f t="array" ref="P909">XLOOKUP(O909,Agregado!$B$2:$B$1511,Agregado!$G$2:$G$1511)</f>
        <v>#N/A</v>
      </c>
    </row>
    <row r="910" ht="15.75" customHeight="1">
      <c r="B910" s="13" t="s">
        <v>1829</v>
      </c>
      <c r="C910" s="7">
        <v>112931.54100000007</v>
      </c>
      <c r="D910" s="7">
        <v>137059.2300000003</v>
      </c>
      <c r="E910" s="7">
        <v>142775.3249999998</v>
      </c>
      <c r="F910" s="7">
        <f t="shared" si="1"/>
        <v>392766.096</v>
      </c>
      <c r="G910" s="14">
        <f t="shared" si="2"/>
        <v>0.001728546421</v>
      </c>
      <c r="I910" s="12"/>
      <c r="J910" s="12"/>
      <c r="K910" s="12"/>
      <c r="L910" s="12"/>
      <c r="M910" s="12">
        <v>44414.0</v>
      </c>
      <c r="N910" s="2">
        <v>442.49</v>
      </c>
      <c r="O910" s="3">
        <v>44355.0</v>
      </c>
      <c r="P910" s="4" t="str">
        <f t="array" ref="P910">XLOOKUP(O910,Agregado!$B$2:$B$1511,Agregado!$G$2:$G$1511)</f>
        <v>#N/A</v>
      </c>
    </row>
    <row r="911" ht="15.75" customHeight="1">
      <c r="B911" s="13" t="s">
        <v>1830</v>
      </c>
      <c r="C911" s="7">
        <v>113197.09500000007</v>
      </c>
      <c r="D911" s="7">
        <v>137125.9090000003</v>
      </c>
      <c r="E911" s="7">
        <v>142885.3469999998</v>
      </c>
      <c r="F911" s="7">
        <f t="shared" si="1"/>
        <v>393208.351</v>
      </c>
      <c r="G911" s="14">
        <f t="shared" si="2"/>
        <v>0.001125367493</v>
      </c>
      <c r="I911" s="12"/>
      <c r="J911" s="12"/>
      <c r="K911" s="12"/>
      <c r="L911" s="12"/>
      <c r="M911" s="12">
        <v>44415.0</v>
      </c>
      <c r="N911" s="2">
        <v>442.49</v>
      </c>
      <c r="P911" s="4" t="str">
        <f t="array" ref="P911">XLOOKUP(O911,Agregado!$B$2:$B$1511,Agregado!$G$2:$G$1511)</f>
        <v>#N/A</v>
      </c>
    </row>
    <row r="912" ht="15.75" customHeight="1">
      <c r="B912" s="13" t="s">
        <v>1831</v>
      </c>
      <c r="C912" s="7">
        <v>113463.31300000007</v>
      </c>
      <c r="D912" s="7">
        <v>137281.8840000003</v>
      </c>
      <c r="E912" s="7">
        <v>143336.2649999998</v>
      </c>
      <c r="F912" s="7">
        <f t="shared" si="1"/>
        <v>394081.462</v>
      </c>
      <c r="G912" s="14">
        <f t="shared" si="2"/>
        <v>0.002218017669</v>
      </c>
      <c r="I912" s="12"/>
      <c r="J912" s="12"/>
      <c r="K912" s="12"/>
      <c r="L912" s="12"/>
      <c r="M912" s="12">
        <v>44416.0</v>
      </c>
      <c r="N912" s="2">
        <v>442.49</v>
      </c>
      <c r="P912" s="4" t="str">
        <f t="array" ref="P912">XLOOKUP(O912,Agregado!$B$2:$B$1511,Agregado!$G$2:$G$1511)</f>
        <v>#N/A</v>
      </c>
    </row>
    <row r="913" ht="15.75" customHeight="1">
      <c r="B913" s="13" t="s">
        <v>1832</v>
      </c>
      <c r="C913" s="7">
        <v>113908.43400000007</v>
      </c>
      <c r="D913" s="7">
        <v>137639.54300000033</v>
      </c>
      <c r="E913" s="7">
        <v>143377.8259999998</v>
      </c>
      <c r="F913" s="7">
        <f t="shared" si="1"/>
        <v>394925.803</v>
      </c>
      <c r="G913" s="14">
        <f t="shared" si="2"/>
        <v>0.002140262479</v>
      </c>
      <c r="I913" s="12"/>
      <c r="J913" s="12"/>
      <c r="K913" s="12"/>
      <c r="L913" s="12"/>
      <c r="M913" s="12">
        <v>44417.0</v>
      </c>
      <c r="N913" s="2">
        <v>442.13</v>
      </c>
      <c r="O913" s="3">
        <v>44447.0</v>
      </c>
      <c r="P913" s="4" t="str">
        <f t="array" ref="P913">XLOOKUP(O913,Agregado!$B$2:$B$1511,Agregado!$G$2:$G$1511)</f>
        <v>#N/A</v>
      </c>
    </row>
    <row r="914" ht="15.75" customHeight="1">
      <c r="B914" s="13" t="s">
        <v>1833</v>
      </c>
      <c r="C914" s="7">
        <v>114666.37900000007</v>
      </c>
      <c r="D914" s="7">
        <v>137482.81000000032</v>
      </c>
      <c r="E914" s="7">
        <v>143482.5259999998</v>
      </c>
      <c r="F914" s="7">
        <f t="shared" si="1"/>
        <v>395631.715</v>
      </c>
      <c r="G914" s="14">
        <f t="shared" si="2"/>
        <v>0.001785859148</v>
      </c>
      <c r="I914" s="12"/>
      <c r="J914" s="12"/>
      <c r="K914" s="12"/>
      <c r="L914" s="12"/>
      <c r="M914" s="12">
        <v>44418.0</v>
      </c>
      <c r="N914" s="2">
        <v>442.68</v>
      </c>
      <c r="O914" s="3">
        <v>44477.0</v>
      </c>
      <c r="P914" s="4" t="str">
        <f t="array" ref="P914">XLOOKUP(O914,Agregado!$B$2:$B$1511,Agregado!$G$2:$G$1511)</f>
        <v>#N/A</v>
      </c>
    </row>
    <row r="915" ht="15.75" customHeight="1">
      <c r="B915" s="13" t="s">
        <v>1834</v>
      </c>
      <c r="C915" s="7">
        <v>120701.27100000007</v>
      </c>
      <c r="D915" s="7">
        <v>137303.21200000032</v>
      </c>
      <c r="E915" s="7">
        <v>143653.99499999982</v>
      </c>
      <c r="F915" s="7">
        <f t="shared" si="1"/>
        <v>401658.478</v>
      </c>
      <c r="G915" s="14">
        <f t="shared" si="2"/>
        <v>0.01511840443</v>
      </c>
      <c r="I915" s="12"/>
      <c r="J915" s="12"/>
      <c r="K915" s="12"/>
      <c r="L915" s="12"/>
      <c r="M915" s="12">
        <v>44419.0</v>
      </c>
      <c r="N915" s="2">
        <v>443.78</v>
      </c>
      <c r="O915" s="3">
        <v>44508.0</v>
      </c>
      <c r="P915" s="4" t="str">
        <f t="array" ref="P915">XLOOKUP(O915,Agregado!$B$2:$B$1511,Agregado!$G$2:$G$1511)</f>
        <v>#N/A</v>
      </c>
    </row>
    <row r="916" ht="15.75" customHeight="1">
      <c r="B916" s="13" t="s">
        <v>1835</v>
      </c>
      <c r="C916" s="7">
        <v>121566.88700000006</v>
      </c>
      <c r="D916" s="7">
        <v>136946.52900000033</v>
      </c>
      <c r="E916" s="7">
        <v>143892.2269999998</v>
      </c>
      <c r="F916" s="7">
        <f t="shared" si="1"/>
        <v>402405.643</v>
      </c>
      <c r="G916" s="14">
        <f t="shared" si="2"/>
        <v>0.00185847172</v>
      </c>
      <c r="I916" s="12"/>
      <c r="J916" s="12"/>
      <c r="K916" s="12"/>
      <c r="L916" s="12"/>
      <c r="M916" s="12">
        <v>44420.0</v>
      </c>
      <c r="N916" s="2">
        <v>445.11</v>
      </c>
      <c r="O916" s="3">
        <v>44538.0</v>
      </c>
      <c r="P916" s="4" t="str">
        <f t="array" ref="P916">XLOOKUP(O916,Agregado!$B$2:$B$1511,Agregado!$G$2:$G$1511)</f>
        <v>#N/A</v>
      </c>
    </row>
    <row r="917" ht="15.75" customHeight="1">
      <c r="B917" s="13" t="s">
        <v>1836</v>
      </c>
      <c r="C917" s="7">
        <v>118711.92200000006</v>
      </c>
      <c r="D917" s="7">
        <v>137012.70100000032</v>
      </c>
      <c r="E917" s="7">
        <v>144151.77499999982</v>
      </c>
      <c r="F917" s="7">
        <f t="shared" si="1"/>
        <v>399876.398</v>
      </c>
      <c r="G917" s="14">
        <f t="shared" si="2"/>
        <v>-0.006305147691</v>
      </c>
      <c r="I917" s="12"/>
      <c r="J917" s="12"/>
      <c r="K917" s="12"/>
      <c r="L917" s="12"/>
      <c r="M917" s="12">
        <v>44421.0</v>
      </c>
      <c r="N917" s="2">
        <v>445.92</v>
      </c>
      <c r="O917" s="3" t="s">
        <v>546</v>
      </c>
      <c r="P917" s="4" t="str">
        <f t="array" ref="P917">XLOOKUP(O917,Agregado!$B$2:$B$1511,Agregado!$G$2:$G$1511)</f>
        <v>#N/A</v>
      </c>
    </row>
    <row r="918" ht="15.75" customHeight="1">
      <c r="B918" s="13" t="s">
        <v>1837</v>
      </c>
      <c r="C918" s="7">
        <v>119019.78600000007</v>
      </c>
      <c r="D918" s="7">
        <v>137145.22000000032</v>
      </c>
      <c r="E918" s="7">
        <v>144381.75599999982</v>
      </c>
      <c r="F918" s="7">
        <f t="shared" si="1"/>
        <v>400546.762</v>
      </c>
      <c r="G918" s="14">
        <f t="shared" si="2"/>
        <v>0.001675024388</v>
      </c>
      <c r="I918" s="12"/>
      <c r="J918" s="12"/>
      <c r="K918" s="12"/>
      <c r="L918" s="12"/>
      <c r="M918" s="12">
        <v>44424.0</v>
      </c>
      <c r="N918" s="2">
        <v>446.97</v>
      </c>
      <c r="O918" s="3" t="s">
        <v>547</v>
      </c>
      <c r="P918" s="4" t="str">
        <f t="array" ref="P918">XLOOKUP(O918,Agregado!$B$2:$B$1511,Agregado!$G$2:$G$1511)</f>
        <v>#N/A</v>
      </c>
    </row>
    <row r="919" ht="15.75" customHeight="1">
      <c r="B919" s="13" t="s">
        <v>1838</v>
      </c>
      <c r="C919" s="7">
        <v>117201.85900000007</v>
      </c>
      <c r="D919" s="7">
        <v>137456.9630000003</v>
      </c>
      <c r="E919" s="7">
        <v>144398.5879999998</v>
      </c>
      <c r="F919" s="7">
        <f t="shared" si="1"/>
        <v>399057.41</v>
      </c>
      <c r="G919" s="14">
        <f t="shared" si="2"/>
        <v>-0.003725227493</v>
      </c>
      <c r="I919" s="12"/>
      <c r="J919" s="12"/>
      <c r="K919" s="12"/>
      <c r="L919" s="12"/>
      <c r="M919" s="12">
        <v>44425.0</v>
      </c>
      <c r="N919" s="2">
        <v>444.04</v>
      </c>
      <c r="O919" s="3" t="s">
        <v>548</v>
      </c>
      <c r="P919" s="4" t="str">
        <f t="array" ref="P919">XLOOKUP(O919,Agregado!$B$2:$B$1511,Agregado!$G$2:$G$1511)</f>
        <v>#N/A</v>
      </c>
    </row>
    <row r="920" ht="15.75" customHeight="1">
      <c r="B920" s="13" t="s">
        <v>1839</v>
      </c>
      <c r="C920" s="7">
        <v>117022.97600000007</v>
      </c>
      <c r="D920" s="7">
        <v>137501.8810000003</v>
      </c>
      <c r="E920" s="7">
        <v>144672.5859999998</v>
      </c>
      <c r="F920" s="7">
        <f t="shared" si="1"/>
        <v>399197.443</v>
      </c>
      <c r="G920" s="14">
        <f t="shared" si="2"/>
        <v>0.0003508478549</v>
      </c>
      <c r="I920" s="12"/>
      <c r="J920" s="12"/>
      <c r="K920" s="12"/>
      <c r="L920" s="12"/>
      <c r="M920" s="12">
        <v>44426.0</v>
      </c>
      <c r="N920" s="2">
        <v>439.18</v>
      </c>
      <c r="O920" s="3" t="s">
        <v>549</v>
      </c>
      <c r="P920" s="4" t="str">
        <f t="array" ref="P920">XLOOKUP(O920,Agregado!$B$2:$B$1511,Agregado!$G$2:$G$1511)</f>
        <v>#N/A</v>
      </c>
    </row>
    <row r="921" ht="15.75" customHeight="1">
      <c r="B921" s="13" t="s">
        <v>1840</v>
      </c>
      <c r="C921" s="7">
        <v>116239.19500000007</v>
      </c>
      <c r="D921" s="7">
        <v>137794.2890000003</v>
      </c>
      <c r="E921" s="7">
        <v>144933.9549999998</v>
      </c>
      <c r="F921" s="7">
        <f t="shared" si="1"/>
        <v>398967.439</v>
      </c>
      <c r="G921" s="14">
        <f t="shared" si="2"/>
        <v>-0.0005763320626</v>
      </c>
      <c r="I921" s="12"/>
      <c r="J921" s="12"/>
      <c r="K921" s="12"/>
      <c r="L921" s="12"/>
      <c r="M921" s="12">
        <v>44427.0</v>
      </c>
      <c r="N921" s="2">
        <v>439.86</v>
      </c>
      <c r="O921" s="3" t="s">
        <v>550</v>
      </c>
      <c r="P921" s="4" t="str">
        <f t="array" ref="P921">XLOOKUP(O921,Agregado!$B$2:$B$1511,Agregado!$G$2:$G$1511)</f>
        <v>#N/A</v>
      </c>
    </row>
    <row r="922" ht="15.75" customHeight="1">
      <c r="B922" s="13" t="s">
        <v>1841</v>
      </c>
      <c r="C922" s="7">
        <v>116014.75900000006</v>
      </c>
      <c r="D922" s="7">
        <v>137952.09000000032</v>
      </c>
      <c r="E922" s="7">
        <v>145207.3899999998</v>
      </c>
      <c r="F922" s="7">
        <f t="shared" si="1"/>
        <v>399174.239</v>
      </c>
      <c r="G922" s="14">
        <f t="shared" si="2"/>
        <v>0.0005182037484</v>
      </c>
      <c r="I922" s="12"/>
      <c r="J922" s="12"/>
      <c r="K922" s="12"/>
      <c r="L922" s="12"/>
      <c r="M922" s="12">
        <v>44428.0</v>
      </c>
      <c r="N922" s="2">
        <v>443.36</v>
      </c>
      <c r="O922" s="3" t="s">
        <v>551</v>
      </c>
      <c r="P922" s="4" t="str">
        <f t="array" ref="P922">XLOOKUP(O922,Agregado!$B$2:$B$1511,Agregado!$G$2:$G$1511)</f>
        <v>#N/A</v>
      </c>
    </row>
    <row r="923" ht="15.75" customHeight="1">
      <c r="B923" s="13" t="s">
        <v>1842</v>
      </c>
      <c r="C923" s="7">
        <v>115992.44500000007</v>
      </c>
      <c r="D923" s="7">
        <v>138131.39100000032</v>
      </c>
      <c r="E923" s="7">
        <v>145512.04099999982</v>
      </c>
      <c r="F923" s="7">
        <f t="shared" si="1"/>
        <v>399635.877</v>
      </c>
      <c r="G923" s="14">
        <f t="shared" si="2"/>
        <v>0.001155814235</v>
      </c>
      <c r="I923" s="12"/>
      <c r="J923" s="12"/>
      <c r="K923" s="12"/>
      <c r="L923" s="12"/>
      <c r="M923" s="12">
        <v>44431.0</v>
      </c>
      <c r="N923" s="2">
        <v>447.26</v>
      </c>
      <c r="O923" s="3" t="s">
        <v>552</v>
      </c>
      <c r="P923" s="4" t="str">
        <f t="array" ref="P923">XLOOKUP(O923,Agregado!$B$2:$B$1511,Agregado!$G$2:$G$1511)</f>
        <v>#N/A</v>
      </c>
    </row>
    <row r="924" ht="15.75" customHeight="1">
      <c r="B924" s="13" t="s">
        <v>1843</v>
      </c>
      <c r="C924" s="7">
        <v>116465.16700000006</v>
      </c>
      <c r="D924" s="7">
        <v>138312.27600000033</v>
      </c>
      <c r="E924" s="7">
        <v>145607.08899999983</v>
      </c>
      <c r="F924" s="7">
        <f t="shared" si="1"/>
        <v>400384.532</v>
      </c>
      <c r="G924" s="14">
        <f t="shared" si="2"/>
        <v>0.0018715903</v>
      </c>
      <c r="I924" s="12"/>
      <c r="J924" s="12"/>
      <c r="K924" s="12"/>
      <c r="L924" s="12"/>
      <c r="M924" s="12">
        <v>44432.0</v>
      </c>
      <c r="N924" s="2">
        <v>447.97</v>
      </c>
      <c r="O924" s="3" t="s">
        <v>553</v>
      </c>
      <c r="P924" s="4" t="str">
        <f t="array" ref="P924">XLOOKUP(O924,Agregado!$B$2:$B$1511,Agregado!$G$2:$G$1511)</f>
        <v>#N/A</v>
      </c>
    </row>
    <row r="925" ht="15.75" customHeight="1">
      <c r="B925" s="13" t="s">
        <v>1844</v>
      </c>
      <c r="C925" s="7">
        <v>118635.60600000006</v>
      </c>
      <c r="D925" s="7">
        <v>138312.27600000033</v>
      </c>
      <c r="E925" s="7">
        <v>145984.78999999983</v>
      </c>
      <c r="F925" s="7">
        <f t="shared" si="1"/>
        <v>402932.672</v>
      </c>
      <c r="G925" s="14">
        <f t="shared" si="2"/>
        <v>0.006344065666</v>
      </c>
      <c r="I925" s="12"/>
      <c r="J925" s="12"/>
      <c r="K925" s="12"/>
      <c r="L925" s="12"/>
      <c r="M925" s="12">
        <v>44433.0</v>
      </c>
      <c r="N925" s="2">
        <v>448.91</v>
      </c>
      <c r="O925" s="3" t="s">
        <v>554</v>
      </c>
      <c r="P925" s="4" t="str">
        <f t="array" ref="P925">XLOOKUP(O925,Agregado!$B$2:$B$1511,Agregado!$G$2:$G$1511)</f>
        <v>#N/A</v>
      </c>
    </row>
    <row r="926" ht="15.75" customHeight="1">
      <c r="B926" s="13" t="s">
        <v>1845</v>
      </c>
      <c r="C926" s="7">
        <v>123106.60000000006</v>
      </c>
      <c r="D926" s="7">
        <v>138584.45300000033</v>
      </c>
      <c r="E926" s="7">
        <v>146271.79599999983</v>
      </c>
      <c r="F926" s="7">
        <f t="shared" si="1"/>
        <v>407962.849</v>
      </c>
      <c r="G926" s="14">
        <f t="shared" si="2"/>
        <v>0.01240663289</v>
      </c>
      <c r="I926" s="12"/>
      <c r="J926" s="12"/>
      <c r="K926" s="12"/>
      <c r="L926" s="12"/>
      <c r="M926" s="12">
        <v>44434.0</v>
      </c>
      <c r="N926" s="2">
        <v>446.26</v>
      </c>
      <c r="O926" s="3" t="s">
        <v>555</v>
      </c>
      <c r="P926" s="4" t="str">
        <f t="array" ref="P926">XLOOKUP(O926,Agregado!$B$2:$B$1511,Agregado!$G$2:$G$1511)</f>
        <v>#N/A</v>
      </c>
    </row>
    <row r="927" ht="15.75" customHeight="1">
      <c r="B927" s="13" t="s">
        <v>1846</v>
      </c>
      <c r="C927" s="7">
        <v>121163.92300000007</v>
      </c>
      <c r="D927" s="7">
        <v>138856.73300000033</v>
      </c>
      <c r="E927" s="7">
        <v>146292.68299999982</v>
      </c>
      <c r="F927" s="7">
        <f t="shared" si="1"/>
        <v>406313.339</v>
      </c>
      <c r="G927" s="14">
        <f t="shared" si="2"/>
        <v>-0.00405148101</v>
      </c>
      <c r="I927" s="12"/>
      <c r="J927" s="12"/>
      <c r="K927" s="12"/>
      <c r="L927" s="12"/>
      <c r="M927" s="12">
        <v>44435.0</v>
      </c>
      <c r="N927" s="2">
        <v>450.25</v>
      </c>
      <c r="O927" s="3" t="s">
        <v>556</v>
      </c>
      <c r="P927" s="4" t="str">
        <f t="array" ref="P927">XLOOKUP(O927,Agregado!$B$2:$B$1511,Agregado!$G$2:$G$1511)</f>
        <v>#N/A</v>
      </c>
    </row>
    <row r="928" ht="15.75" customHeight="1">
      <c r="B928" s="13" t="s">
        <v>1847</v>
      </c>
      <c r="C928" s="7">
        <v>121911.59700000007</v>
      </c>
      <c r="D928" s="7">
        <v>139243.61900000033</v>
      </c>
      <c r="E928" s="7">
        <v>146359.34499999983</v>
      </c>
      <c r="F928" s="7">
        <f t="shared" si="1"/>
        <v>407514.561</v>
      </c>
      <c r="G928" s="14">
        <f t="shared" si="2"/>
        <v>0.002952031682</v>
      </c>
      <c r="I928" s="12"/>
      <c r="J928" s="12"/>
      <c r="K928" s="12"/>
      <c r="L928" s="12"/>
      <c r="M928" s="12">
        <v>44438.0</v>
      </c>
      <c r="N928" s="2">
        <v>452.23</v>
      </c>
      <c r="O928" s="3" t="s">
        <v>557</v>
      </c>
      <c r="P928" s="4" t="str">
        <f t="array" ref="P928">XLOOKUP(O928,Agregado!$B$2:$B$1511,Agregado!$G$2:$G$1511)</f>
        <v>#N/A</v>
      </c>
    </row>
    <row r="929" ht="15.75" customHeight="1">
      <c r="B929" s="13" t="s">
        <v>1848</v>
      </c>
      <c r="C929" s="7">
        <v>122341.94000000006</v>
      </c>
      <c r="D929" s="7">
        <v>139402.87600000034</v>
      </c>
      <c r="E929" s="7">
        <v>146457.01599999983</v>
      </c>
      <c r="F929" s="7">
        <f t="shared" si="1"/>
        <v>408201.832</v>
      </c>
      <c r="G929" s="14">
        <f t="shared" si="2"/>
        <v>0.001685073804</v>
      </c>
      <c r="I929" s="12"/>
      <c r="J929" s="12"/>
      <c r="K929" s="12"/>
      <c r="L929" s="12"/>
      <c r="M929" s="12">
        <v>44439.0</v>
      </c>
      <c r="N929" s="2">
        <v>451.56</v>
      </c>
      <c r="O929" s="3" t="s">
        <v>558</v>
      </c>
      <c r="P929" s="4" t="str">
        <f t="array" ref="P929">XLOOKUP(O929,Agregado!$B$2:$B$1511,Agregado!$G$2:$G$1511)</f>
        <v>#N/A</v>
      </c>
    </row>
    <row r="930" ht="15.75" customHeight="1">
      <c r="B930" s="13" t="s">
        <v>1849</v>
      </c>
      <c r="C930" s="7">
        <v>126969.51600000006</v>
      </c>
      <c r="D930" s="7">
        <v>139584.27100000033</v>
      </c>
      <c r="E930" s="7">
        <v>146544.27099999983</v>
      </c>
      <c r="F930" s="7">
        <f t="shared" si="1"/>
        <v>413098.058</v>
      </c>
      <c r="G930" s="14">
        <f t="shared" si="2"/>
        <v>0.01192325499</v>
      </c>
      <c r="I930" s="12"/>
      <c r="J930" s="12"/>
      <c r="K930" s="12"/>
      <c r="L930" s="12"/>
      <c r="M930" s="12">
        <v>44440.0</v>
      </c>
      <c r="N930" s="2">
        <v>451.8</v>
      </c>
      <c r="O930" s="3">
        <v>44205.0</v>
      </c>
      <c r="P930" s="4" t="str">
        <f t="array" ref="P930">XLOOKUP(O930,Agregado!$B$2:$B$1511,Agregado!$G$2:$G$1511)</f>
        <v>#N/A</v>
      </c>
    </row>
    <row r="931" ht="15.75" customHeight="1">
      <c r="B931" s="13" t="s">
        <v>1850</v>
      </c>
      <c r="C931" s="7">
        <v>122618.41600000006</v>
      </c>
      <c r="D931" s="7">
        <v>139856.01400000032</v>
      </c>
      <c r="E931" s="7">
        <v>146495.78499999983</v>
      </c>
      <c r="F931" s="7">
        <f t="shared" si="1"/>
        <v>408970.215</v>
      </c>
      <c r="G931" s="14">
        <f t="shared" si="2"/>
        <v>-0.01004266392</v>
      </c>
      <c r="I931" s="12"/>
      <c r="J931" s="12"/>
      <c r="K931" s="12"/>
      <c r="L931" s="12"/>
      <c r="M931" s="12">
        <v>44441.0</v>
      </c>
      <c r="N931" s="2">
        <v>453.19</v>
      </c>
      <c r="O931" s="3">
        <v>44236.0</v>
      </c>
      <c r="P931" s="4" t="str">
        <f t="array" ref="P931">XLOOKUP(O931,Agregado!$B$2:$B$1511,Agregado!$G$2:$G$1511)</f>
        <v>#N/A</v>
      </c>
    </row>
    <row r="932" ht="15.75" customHeight="1">
      <c r="B932" s="13" t="s">
        <v>1851</v>
      </c>
      <c r="C932" s="7">
        <v>123381.47100000005</v>
      </c>
      <c r="D932" s="7">
        <v>139878.55700000032</v>
      </c>
      <c r="E932" s="7">
        <v>146652.36699999982</v>
      </c>
      <c r="F932" s="7">
        <f t="shared" si="1"/>
        <v>409912.395</v>
      </c>
      <c r="G932" s="14">
        <f t="shared" si="2"/>
        <v>0.002301136706</v>
      </c>
      <c r="I932" s="12"/>
      <c r="J932" s="12"/>
      <c r="K932" s="12"/>
      <c r="L932" s="12"/>
      <c r="M932" s="12">
        <v>44442.0</v>
      </c>
      <c r="N932" s="2">
        <v>453.08</v>
      </c>
      <c r="O932" s="3">
        <v>44264.0</v>
      </c>
      <c r="P932" s="4" t="str">
        <f t="array" ref="P932">XLOOKUP(O932,Agregado!$B$2:$B$1511,Agregado!$G$2:$G$1511)</f>
        <v>#N/A</v>
      </c>
    </row>
    <row r="933" ht="15.75" customHeight="1">
      <c r="B933" s="13" t="s">
        <v>1852</v>
      </c>
      <c r="C933" s="7">
        <v>125719.90800000005</v>
      </c>
      <c r="D933" s="7">
        <v>139878.55700000032</v>
      </c>
      <c r="E933" s="7">
        <v>146865.52599999984</v>
      </c>
      <c r="F933" s="7">
        <f t="shared" si="1"/>
        <v>412463.991</v>
      </c>
      <c r="G933" s="14">
        <f t="shared" si="2"/>
        <v>0.006205441283</v>
      </c>
      <c r="I933" s="12"/>
      <c r="J933" s="12"/>
      <c r="K933" s="12"/>
      <c r="L933" s="12"/>
      <c r="M933" s="12">
        <v>44446.0</v>
      </c>
      <c r="N933" s="2">
        <v>451.46</v>
      </c>
      <c r="O933" s="3">
        <v>44386.0</v>
      </c>
      <c r="P933" s="4" t="str">
        <f t="array" ref="P933">XLOOKUP(O933,Agregado!$B$2:$B$1511,Agregado!$G$2:$G$1511)</f>
        <v>#N/A</v>
      </c>
    </row>
    <row r="934" ht="15.75" customHeight="1">
      <c r="B934" s="13" t="s">
        <v>1853</v>
      </c>
      <c r="C934" s="7">
        <v>128443.13700000006</v>
      </c>
      <c r="D934" s="7">
        <v>139945.82000000033</v>
      </c>
      <c r="E934" s="7">
        <v>146911.99999999983</v>
      </c>
      <c r="F934" s="7">
        <f t="shared" si="1"/>
        <v>415300.957</v>
      </c>
      <c r="G934" s="14">
        <f t="shared" si="2"/>
        <v>0.006854547573</v>
      </c>
      <c r="I934" s="12"/>
      <c r="J934" s="12"/>
      <c r="K934" s="12"/>
      <c r="L934" s="12"/>
      <c r="M934" s="12">
        <v>44447.0</v>
      </c>
      <c r="N934" s="2">
        <v>450.91</v>
      </c>
      <c r="O934" s="3">
        <v>44417.0</v>
      </c>
      <c r="P934" s="4" t="str">
        <f t="array" ref="P934">XLOOKUP(O934,Agregado!$B$2:$B$1511,Agregado!$G$2:$G$1511)</f>
        <v>#N/A</v>
      </c>
    </row>
    <row r="935" ht="15.75" customHeight="1">
      <c r="B935" s="13" t="s">
        <v>1854</v>
      </c>
      <c r="C935" s="7">
        <v>129886.09700000007</v>
      </c>
      <c r="D935" s="7">
        <v>139968.11800000034</v>
      </c>
      <c r="E935" s="7">
        <v>147159.81399999984</v>
      </c>
      <c r="F935" s="7">
        <f t="shared" si="1"/>
        <v>417014.029</v>
      </c>
      <c r="G935" s="14">
        <f t="shared" si="2"/>
        <v>0.004116408926</v>
      </c>
      <c r="I935" s="12"/>
      <c r="J935" s="12"/>
      <c r="K935" s="12"/>
      <c r="L935" s="12"/>
      <c r="M935" s="12">
        <v>44448.0</v>
      </c>
      <c r="N935" s="2">
        <v>448.98</v>
      </c>
      <c r="O935" s="3">
        <v>44448.0</v>
      </c>
      <c r="P935" s="4" t="str">
        <f t="array" ref="P935">XLOOKUP(O935,Agregado!$B$2:$B$1511,Agregado!$G$2:$G$1511)</f>
        <v>#N/A</v>
      </c>
    </row>
    <row r="936" ht="15.75" customHeight="1">
      <c r="B936" s="13" t="s">
        <v>1855</v>
      </c>
      <c r="C936" s="7">
        <v>133199.44300000006</v>
      </c>
      <c r="D936" s="7">
        <v>141047.50200000033</v>
      </c>
      <c r="E936" s="7">
        <v>148305.77499999985</v>
      </c>
      <c r="F936" s="7">
        <f t="shared" si="1"/>
        <v>422552.72</v>
      </c>
      <c r="G936" s="14">
        <f t="shared" si="2"/>
        <v>0.01319435616</v>
      </c>
      <c r="I936" s="12"/>
      <c r="J936" s="12"/>
      <c r="K936" s="12"/>
      <c r="L936" s="12"/>
      <c r="M936" s="12">
        <v>44449.0</v>
      </c>
      <c r="N936" s="2">
        <v>445.44</v>
      </c>
      <c r="O936" s="3">
        <v>44478.0</v>
      </c>
      <c r="P936" s="4" t="str">
        <f t="array" ref="P936">XLOOKUP(O936,Agregado!$B$2:$B$1511,Agregado!$G$2:$G$1511)</f>
        <v>#N/A</v>
      </c>
    </row>
    <row r="937" ht="15.75" customHeight="1">
      <c r="B937" s="13" t="s">
        <v>1856</v>
      </c>
      <c r="C937" s="7">
        <v>132797.08000000005</v>
      </c>
      <c r="D937" s="7">
        <v>141047.50200000033</v>
      </c>
      <c r="E937" s="7">
        <v>148359.51799999984</v>
      </c>
      <c r="F937" s="7">
        <f t="shared" si="1"/>
        <v>422204.1</v>
      </c>
      <c r="G937" s="14">
        <f t="shared" si="2"/>
        <v>-0.0008253736733</v>
      </c>
      <c r="I937" s="12"/>
      <c r="J937" s="12"/>
      <c r="K937" s="12"/>
      <c r="L937" s="12"/>
      <c r="M937" s="12">
        <v>44452.0</v>
      </c>
      <c r="N937" s="2">
        <v>446.58</v>
      </c>
      <c r="O937" s="3" t="s">
        <v>559</v>
      </c>
      <c r="P937" s="4" t="str">
        <f t="array" ref="P937">XLOOKUP(O937,Agregado!$B$2:$B$1511,Agregado!$G$2:$G$1511)</f>
        <v>#N/A</v>
      </c>
    </row>
    <row r="938" ht="15.75" customHeight="1">
      <c r="B938" s="13" t="s">
        <v>1857</v>
      </c>
      <c r="C938" s="7">
        <v>130346.31800000004</v>
      </c>
      <c r="D938" s="7">
        <v>141047.50200000033</v>
      </c>
      <c r="E938" s="7">
        <v>147608.94999999984</v>
      </c>
      <c r="F938" s="7">
        <f t="shared" si="1"/>
        <v>419002.77</v>
      </c>
      <c r="G938" s="14">
        <f t="shared" si="2"/>
        <v>-0.007611315526</v>
      </c>
      <c r="I938" s="12"/>
      <c r="J938" s="12"/>
      <c r="K938" s="12"/>
      <c r="L938" s="12"/>
      <c r="M938" s="12">
        <v>44453.0</v>
      </c>
      <c r="N938" s="2">
        <v>444.17</v>
      </c>
      <c r="O938" s="3" t="s">
        <v>560</v>
      </c>
      <c r="P938" s="4" t="str">
        <f t="array" ref="P938">XLOOKUP(O938,Agregado!$B$2:$B$1511,Agregado!$G$2:$G$1511)</f>
        <v>#N/A</v>
      </c>
    </row>
    <row r="939" ht="15.75" customHeight="1">
      <c r="B939" s="13" t="s">
        <v>1858</v>
      </c>
      <c r="C939" s="7">
        <v>127286.04300000005</v>
      </c>
      <c r="D939" s="7">
        <v>141550.53100000034</v>
      </c>
      <c r="E939" s="7">
        <v>148062.65399999983</v>
      </c>
      <c r="F939" s="7">
        <f t="shared" si="1"/>
        <v>416899.228</v>
      </c>
      <c r="G939" s="14">
        <f t="shared" si="2"/>
        <v>-0.005032997757</v>
      </c>
      <c r="I939" s="12"/>
      <c r="J939" s="12"/>
      <c r="K939" s="12"/>
      <c r="L939" s="12"/>
      <c r="M939" s="12">
        <v>44454.0</v>
      </c>
      <c r="N939" s="2">
        <v>447.88</v>
      </c>
      <c r="O939" s="3" t="s">
        <v>561</v>
      </c>
      <c r="P939" s="4" t="str">
        <f t="array" ref="P939">XLOOKUP(O939,Agregado!$B$2:$B$1511,Agregado!$G$2:$G$1511)</f>
        <v>#N/A</v>
      </c>
    </row>
    <row r="940" ht="15.75" customHeight="1">
      <c r="B940" s="13" t="s">
        <v>1859</v>
      </c>
      <c r="C940" s="7">
        <v>127286.04300000005</v>
      </c>
      <c r="D940" s="7">
        <v>139671.08500000034</v>
      </c>
      <c r="E940" s="7">
        <v>150097.09599999984</v>
      </c>
      <c r="F940" s="7">
        <f t="shared" si="1"/>
        <v>417054.224</v>
      </c>
      <c r="G940" s="14">
        <f t="shared" si="2"/>
        <v>0.0003717137963</v>
      </c>
      <c r="I940" s="12"/>
      <c r="J940" s="12"/>
      <c r="K940" s="12"/>
      <c r="L940" s="12"/>
      <c r="M940" s="12">
        <v>44455.0</v>
      </c>
      <c r="N940" s="2">
        <v>447.17</v>
      </c>
      <c r="O940" s="3" t="s">
        <v>562</v>
      </c>
      <c r="P940" s="4" t="str">
        <f t="array" ref="P940">XLOOKUP(O940,Agregado!$B$2:$B$1511,Agregado!$G$2:$G$1511)</f>
        <v>#N/A</v>
      </c>
    </row>
    <row r="941" ht="15.75" customHeight="1">
      <c r="B941" s="13" t="s">
        <v>1860</v>
      </c>
      <c r="C941" s="7">
        <v>127395.51200000005</v>
      </c>
      <c r="D941" s="7">
        <v>139671.08500000034</v>
      </c>
      <c r="E941" s="7">
        <v>149982.31099999984</v>
      </c>
      <c r="F941" s="7">
        <f t="shared" si="1"/>
        <v>417048.908</v>
      </c>
      <c r="G941" s="14">
        <f t="shared" si="2"/>
        <v>-0.0000127466252</v>
      </c>
      <c r="I941" s="12"/>
      <c r="J941" s="12"/>
      <c r="K941" s="12"/>
      <c r="L941" s="12"/>
      <c r="M941" s="12">
        <v>44456.0</v>
      </c>
      <c r="N941" s="2">
        <v>441.4</v>
      </c>
      <c r="O941" s="3" t="s">
        <v>563</v>
      </c>
      <c r="P941" s="4" t="str">
        <f t="array" ref="P941">XLOOKUP(O941,Agregado!$B$2:$B$1511,Agregado!$G$2:$G$1511)</f>
        <v>#N/A</v>
      </c>
    </row>
    <row r="942" ht="15.75" customHeight="1">
      <c r="B942" s="13" t="s">
        <v>1861</v>
      </c>
      <c r="C942" s="7">
        <v>127461.99300000005</v>
      </c>
      <c r="D942" s="7">
        <v>139626.42400000035</v>
      </c>
      <c r="E942" s="7">
        <v>150244.90299999985</v>
      </c>
      <c r="F942" s="7">
        <f t="shared" si="1"/>
        <v>417333.32</v>
      </c>
      <c r="G942" s="14">
        <f t="shared" si="2"/>
        <v>0.0006817307499</v>
      </c>
      <c r="I942" s="12"/>
      <c r="J942" s="12"/>
      <c r="K942" s="12"/>
      <c r="L942" s="12"/>
      <c r="M942" s="12">
        <v>44459.0</v>
      </c>
      <c r="N942" s="2">
        <v>434.04</v>
      </c>
      <c r="O942" s="3" t="s">
        <v>564</v>
      </c>
      <c r="P942" s="4" t="str">
        <f t="array" ref="P942">XLOOKUP(O942,Agregado!$B$2:$B$1511,Agregado!$G$2:$G$1511)</f>
        <v>#N/A</v>
      </c>
    </row>
    <row r="943" ht="15.75" customHeight="1">
      <c r="B943" s="13" t="s">
        <v>1862</v>
      </c>
      <c r="C943" s="7">
        <v>127395.41400000005</v>
      </c>
      <c r="D943" s="7">
        <v>139760.09700000036</v>
      </c>
      <c r="E943" s="7">
        <v>150319.96399999983</v>
      </c>
      <c r="F943" s="7">
        <f t="shared" si="1"/>
        <v>417475.475</v>
      </c>
      <c r="G943" s="14">
        <f t="shared" si="2"/>
        <v>0.0003405690075</v>
      </c>
      <c r="I943" s="12"/>
      <c r="J943" s="12"/>
      <c r="K943" s="12"/>
      <c r="L943" s="12"/>
      <c r="M943" s="12">
        <v>44460.0</v>
      </c>
      <c r="N943" s="2">
        <v>433.63</v>
      </c>
      <c r="O943" s="3" t="s">
        <v>565</v>
      </c>
      <c r="P943" s="4" t="str">
        <f t="array" ref="P943">XLOOKUP(O943,Agregado!$B$2:$B$1511,Agregado!$G$2:$G$1511)</f>
        <v>#N/A</v>
      </c>
    </row>
    <row r="944" ht="15.75" customHeight="1">
      <c r="B944" s="13" t="s">
        <v>1863</v>
      </c>
      <c r="C944" s="7">
        <v>126952.78000000004</v>
      </c>
      <c r="D944" s="7">
        <v>135027.78900000037</v>
      </c>
      <c r="E944" s="7">
        <v>149137.92799999984</v>
      </c>
      <c r="F944" s="7">
        <f t="shared" si="1"/>
        <v>411118.497</v>
      </c>
      <c r="G944" s="14">
        <f t="shared" si="2"/>
        <v>-0.01534431324</v>
      </c>
      <c r="I944" s="12"/>
      <c r="J944" s="12"/>
      <c r="K944" s="12"/>
      <c r="L944" s="12"/>
      <c r="M944" s="12">
        <v>44461.0</v>
      </c>
      <c r="N944" s="2">
        <v>437.86</v>
      </c>
      <c r="O944" s="3" t="s">
        <v>566</v>
      </c>
      <c r="P944" s="4" t="str">
        <f t="array" ref="P944">XLOOKUP(O944,Agregado!$B$2:$B$1511,Agregado!$G$2:$G$1511)</f>
        <v>#N/A</v>
      </c>
    </row>
    <row r="945" ht="15.75" customHeight="1">
      <c r="B945" s="13" t="s">
        <v>1864</v>
      </c>
      <c r="C945" s="7">
        <v>127516.51500000004</v>
      </c>
      <c r="D945" s="7">
        <v>134897.19200000036</v>
      </c>
      <c r="E945" s="7">
        <v>149698.68999999983</v>
      </c>
      <c r="F945" s="7">
        <f t="shared" si="1"/>
        <v>412112.397</v>
      </c>
      <c r="G945" s="14">
        <f t="shared" si="2"/>
        <v>0.002414633586</v>
      </c>
      <c r="I945" s="12"/>
      <c r="J945" s="12"/>
      <c r="K945" s="12"/>
      <c r="L945" s="12"/>
      <c r="M945" s="12">
        <v>44462.0</v>
      </c>
      <c r="N945" s="2">
        <v>443.18</v>
      </c>
      <c r="O945" s="3" t="s">
        <v>567</v>
      </c>
      <c r="P945" s="4" t="str">
        <f t="array" ref="P945">XLOOKUP(O945,Agregado!$B$2:$B$1511,Agregado!$G$2:$G$1511)</f>
        <v>#N/A</v>
      </c>
    </row>
    <row r="946" ht="15.75" customHeight="1">
      <c r="B946" s="13" t="s">
        <v>1865</v>
      </c>
      <c r="C946" s="7">
        <v>126083.10800000004</v>
      </c>
      <c r="D946" s="7">
        <v>135224.22700000036</v>
      </c>
      <c r="E946" s="7">
        <v>149868.40099999984</v>
      </c>
      <c r="F946" s="7">
        <f t="shared" si="1"/>
        <v>411175.736</v>
      </c>
      <c r="G946" s="14">
        <f t="shared" si="2"/>
        <v>-0.002275415779</v>
      </c>
      <c r="I946" s="12"/>
      <c r="J946" s="12"/>
      <c r="K946" s="12"/>
      <c r="L946" s="12"/>
      <c r="M946" s="12">
        <v>44463.0</v>
      </c>
      <c r="N946" s="2">
        <v>443.91</v>
      </c>
      <c r="O946" s="3" t="s">
        <v>568</v>
      </c>
      <c r="P946" s="4" t="str">
        <f t="array" ref="P946">XLOOKUP(O946,Agregado!$B$2:$B$1511,Agregado!$G$2:$G$1511)</f>
        <v>#N/A</v>
      </c>
    </row>
    <row r="947" ht="15.75" customHeight="1">
      <c r="B947" s="13" t="s">
        <v>1866</v>
      </c>
      <c r="C947" s="7">
        <v>124580.83800000003</v>
      </c>
      <c r="D947" s="7">
        <v>135008.78500000035</v>
      </c>
      <c r="E947" s="7">
        <v>150026.23699999985</v>
      </c>
      <c r="F947" s="7">
        <f t="shared" si="1"/>
        <v>409615.86</v>
      </c>
      <c r="G947" s="14">
        <f t="shared" si="2"/>
        <v>-0.003800910939</v>
      </c>
      <c r="I947" s="12"/>
      <c r="J947" s="12"/>
      <c r="K947" s="12"/>
      <c r="L947" s="12"/>
      <c r="M947" s="12">
        <v>44466.0</v>
      </c>
      <c r="N947" s="2">
        <v>442.64</v>
      </c>
      <c r="O947" s="3" t="s">
        <v>569</v>
      </c>
      <c r="P947" s="4" t="str">
        <f t="array" ref="P947">XLOOKUP(O947,Agregado!$B$2:$B$1511,Agregado!$G$2:$G$1511)</f>
        <v>#N/A</v>
      </c>
    </row>
    <row r="948" ht="15.75" customHeight="1">
      <c r="B948" s="13" t="s">
        <v>1867</v>
      </c>
      <c r="C948" s="7">
        <v>123061.31000000003</v>
      </c>
      <c r="D948" s="7">
        <v>135313.87000000034</v>
      </c>
      <c r="E948" s="7">
        <v>150298.89799999984</v>
      </c>
      <c r="F948" s="7">
        <f t="shared" si="1"/>
        <v>408674.078</v>
      </c>
      <c r="G948" s="14">
        <f t="shared" si="2"/>
        <v>-0.002301830616</v>
      </c>
      <c r="I948" s="12"/>
      <c r="J948" s="12"/>
      <c r="K948" s="12"/>
      <c r="L948" s="12"/>
      <c r="M948" s="12">
        <v>44467.0</v>
      </c>
      <c r="N948" s="2">
        <v>433.72</v>
      </c>
      <c r="O948" s="3" t="s">
        <v>570</v>
      </c>
      <c r="P948" s="4" t="str">
        <f t="array" ref="P948">XLOOKUP(O948,Agregado!$B$2:$B$1511,Agregado!$G$2:$G$1511)</f>
        <v>#N/A</v>
      </c>
    </row>
    <row r="949" ht="15.75" customHeight="1">
      <c r="B949" s="13" t="s">
        <v>1868</v>
      </c>
      <c r="C949" s="7">
        <v>122954.17500000003</v>
      </c>
      <c r="D949" s="7">
        <v>135077.25900000034</v>
      </c>
      <c r="E949" s="7">
        <v>150664.60999999984</v>
      </c>
      <c r="F949" s="7">
        <f t="shared" si="1"/>
        <v>408696.044</v>
      </c>
      <c r="G949" s="14">
        <f t="shared" si="2"/>
        <v>0.00005374798861</v>
      </c>
      <c r="I949" s="12"/>
      <c r="J949" s="12"/>
      <c r="K949" s="12"/>
      <c r="L949" s="12"/>
      <c r="M949" s="12">
        <v>44468.0</v>
      </c>
      <c r="N949" s="2">
        <v>434.45</v>
      </c>
      <c r="O949" s="3" t="s">
        <v>571</v>
      </c>
      <c r="P949" s="4" t="str">
        <f t="array" ref="P949">XLOOKUP(O949,Agregado!$B$2:$B$1511,Agregado!$G$2:$G$1511)</f>
        <v>#N/A</v>
      </c>
    </row>
    <row r="950" ht="15.75" customHeight="1">
      <c r="B950" s="13" t="s">
        <v>1869</v>
      </c>
      <c r="C950" s="7">
        <v>124361.74200000003</v>
      </c>
      <c r="D950" s="7">
        <v>135185.95300000033</v>
      </c>
      <c r="E950" s="7">
        <v>150732.24099999983</v>
      </c>
      <c r="F950" s="7">
        <f t="shared" si="1"/>
        <v>410279.936</v>
      </c>
      <c r="G950" s="14">
        <f t="shared" si="2"/>
        <v>0.003867986396</v>
      </c>
      <c r="I950" s="12"/>
      <c r="J950" s="12"/>
      <c r="K950" s="12"/>
      <c r="L950" s="12"/>
      <c r="M950" s="12">
        <v>44469.0</v>
      </c>
      <c r="N950" s="2">
        <v>429.14</v>
      </c>
      <c r="O950" s="3" t="s">
        <v>572</v>
      </c>
      <c r="P950" s="4" t="str">
        <f t="array" ref="P950">XLOOKUP(O950,Agregado!$B$2:$B$1511,Agregado!$G$2:$G$1511)</f>
        <v>#N/A</v>
      </c>
    </row>
    <row r="951" ht="15.75" customHeight="1">
      <c r="B951" s="13" t="s">
        <v>1870</v>
      </c>
      <c r="C951" s="7">
        <v>122165.62500000003</v>
      </c>
      <c r="D951" s="7">
        <v>135535.20300000033</v>
      </c>
      <c r="E951" s="7">
        <v>150964.42499999984</v>
      </c>
      <c r="F951" s="7">
        <f t="shared" si="1"/>
        <v>408665.253</v>
      </c>
      <c r="G951" s="14">
        <f t="shared" si="2"/>
        <v>-0.003943328843</v>
      </c>
      <c r="I951" s="12"/>
      <c r="J951" s="12"/>
      <c r="K951" s="12"/>
      <c r="L951" s="12"/>
      <c r="M951" s="12">
        <v>44470.0</v>
      </c>
      <c r="N951" s="2">
        <v>434.24</v>
      </c>
      <c r="O951" s="3">
        <v>44206.0</v>
      </c>
      <c r="P951" s="4" t="str">
        <f t="array" ref="P951">XLOOKUP(O951,Agregado!$B$2:$B$1511,Agregado!$G$2:$G$1511)</f>
        <v>#N/A</v>
      </c>
    </row>
    <row r="952" ht="15.75" customHeight="1">
      <c r="B952" s="13" t="s">
        <v>1871</v>
      </c>
      <c r="C952" s="7">
        <v>121420.03700000003</v>
      </c>
      <c r="D952" s="7">
        <v>135865.41800000033</v>
      </c>
      <c r="E952" s="7">
        <v>151057.08999999985</v>
      </c>
      <c r="F952" s="7">
        <f t="shared" si="1"/>
        <v>408342.545</v>
      </c>
      <c r="G952" s="14">
        <f t="shared" si="2"/>
        <v>-0.0007899753652</v>
      </c>
      <c r="I952" s="12"/>
      <c r="J952" s="12"/>
      <c r="K952" s="12"/>
      <c r="L952" s="12"/>
      <c r="M952" s="12">
        <v>44473.0</v>
      </c>
      <c r="N952" s="2">
        <v>428.64</v>
      </c>
      <c r="O952" s="3">
        <v>44296.0</v>
      </c>
      <c r="P952" s="4" t="str">
        <f t="array" ref="P952">XLOOKUP(O952,Agregado!$B$2:$B$1511,Agregado!$G$2:$G$1511)</f>
        <v>#N/A</v>
      </c>
    </row>
    <row r="953" ht="15.75" customHeight="1">
      <c r="B953" s="13" t="s">
        <v>1872</v>
      </c>
      <c r="C953" s="7">
        <v>122886.48700000002</v>
      </c>
      <c r="D953" s="7">
        <v>135865.41800000033</v>
      </c>
      <c r="E953" s="7">
        <v>151125.64199999985</v>
      </c>
      <c r="F953" s="7">
        <f t="shared" si="1"/>
        <v>409877.547</v>
      </c>
      <c r="G953" s="14">
        <f t="shared" si="2"/>
        <v>0.003752055995</v>
      </c>
      <c r="I953" s="12"/>
      <c r="J953" s="12"/>
      <c r="K953" s="12"/>
      <c r="L953" s="12"/>
      <c r="M953" s="12">
        <v>44474.0</v>
      </c>
      <c r="N953" s="2">
        <v>433.1</v>
      </c>
      <c r="O953" s="3">
        <v>44326.0</v>
      </c>
      <c r="P953" s="4" t="str">
        <f t="array" ref="P953">XLOOKUP(O953,Agregado!$B$2:$B$1511,Agregado!$G$2:$G$1511)</f>
        <v>#N/A</v>
      </c>
    </row>
    <row r="954" ht="15.75" customHeight="1">
      <c r="B954" s="13" t="s">
        <v>1873</v>
      </c>
      <c r="C954" s="7">
        <v>122190.90100000003</v>
      </c>
      <c r="D954" s="7">
        <v>135734.48900000032</v>
      </c>
      <c r="E954" s="7">
        <v>151158.92299999984</v>
      </c>
      <c r="F954" s="7">
        <f t="shared" si="1"/>
        <v>409084.313</v>
      </c>
      <c r="G954" s="14">
        <f t="shared" si="2"/>
        <v>-0.001937170183</v>
      </c>
      <c r="I954" s="12"/>
      <c r="J954" s="12"/>
      <c r="K954" s="12"/>
      <c r="L954" s="12"/>
      <c r="M954" s="12">
        <v>44475.0</v>
      </c>
      <c r="N954" s="2">
        <v>434.9</v>
      </c>
      <c r="O954" s="3">
        <v>44357.0</v>
      </c>
      <c r="P954" s="4" t="str">
        <f t="array" ref="P954">XLOOKUP(O954,Agregado!$B$2:$B$1511,Agregado!$G$2:$G$1511)</f>
        <v>#N/A</v>
      </c>
    </row>
    <row r="955" ht="15.75" customHeight="1">
      <c r="B955" s="13" t="s">
        <v>1874</v>
      </c>
      <c r="C955" s="7">
        <v>123231.75300000003</v>
      </c>
      <c r="D955" s="7">
        <v>135342.65200000032</v>
      </c>
      <c r="E955" s="7">
        <v>151214.73899999983</v>
      </c>
      <c r="F955" s="7">
        <f t="shared" si="1"/>
        <v>409789.144</v>
      </c>
      <c r="G955" s="14">
        <f t="shared" si="2"/>
        <v>0.00172146543</v>
      </c>
      <c r="I955" s="12"/>
      <c r="J955" s="12"/>
      <c r="K955" s="12"/>
      <c r="L955" s="12"/>
      <c r="M955" s="12">
        <v>44476.0</v>
      </c>
      <c r="N955" s="2">
        <v>438.66</v>
      </c>
      <c r="O955" s="3">
        <v>44387.0</v>
      </c>
      <c r="P955" s="4" t="str">
        <f t="array" ref="P955">XLOOKUP(O955,Agregado!$B$2:$B$1511,Agregado!$G$2:$G$1511)</f>
        <v>#N/A</v>
      </c>
    </row>
    <row r="956" ht="15.75" customHeight="1">
      <c r="B956" s="13" t="s">
        <v>1875</v>
      </c>
      <c r="C956" s="7">
        <v>123819.01200000003</v>
      </c>
      <c r="D956" s="7">
        <v>134927.78800000032</v>
      </c>
      <c r="E956" s="7">
        <v>151199.90699999983</v>
      </c>
      <c r="F956" s="7">
        <f t="shared" si="1"/>
        <v>409946.707</v>
      </c>
      <c r="G956" s="14">
        <f t="shared" si="2"/>
        <v>0.0003844238403</v>
      </c>
      <c r="I956" s="12"/>
      <c r="J956" s="12"/>
      <c r="K956" s="12"/>
      <c r="L956" s="12"/>
      <c r="M956" s="12">
        <v>44477.0</v>
      </c>
      <c r="N956" s="2">
        <v>437.86</v>
      </c>
      <c r="O956" s="3">
        <v>44418.0</v>
      </c>
      <c r="P956" s="4" t="str">
        <f t="array" ref="P956">XLOOKUP(O956,Agregado!$B$2:$B$1511,Agregado!$G$2:$G$1511)</f>
        <v>#N/A</v>
      </c>
    </row>
    <row r="957" ht="15.75" customHeight="1">
      <c r="B957" s="13" t="s">
        <v>1876</v>
      </c>
      <c r="C957" s="7">
        <v>124283.61000000003</v>
      </c>
      <c r="D957" s="7">
        <v>134949.9980000003</v>
      </c>
      <c r="E957" s="7">
        <v>151245.96799999982</v>
      </c>
      <c r="F957" s="7">
        <f t="shared" si="1"/>
        <v>410479.576</v>
      </c>
      <c r="G957" s="14">
        <f t="shared" si="2"/>
        <v>0.001299005373</v>
      </c>
      <c r="I957" s="12"/>
      <c r="J957" s="12"/>
      <c r="K957" s="12"/>
      <c r="L957" s="12"/>
      <c r="M957" s="12">
        <v>44480.0</v>
      </c>
      <c r="N957" s="2">
        <v>434.69</v>
      </c>
      <c r="O957" s="3">
        <v>44510.0</v>
      </c>
      <c r="P957" s="4" t="str">
        <f t="array" ref="P957">XLOOKUP(O957,Agregado!$B$2:$B$1511,Agregado!$G$2:$G$1511)</f>
        <v>#N/A</v>
      </c>
    </row>
    <row r="958" ht="15.75" customHeight="1">
      <c r="B958" s="13" t="s">
        <v>1877</v>
      </c>
      <c r="C958" s="7">
        <v>126267.28900000003</v>
      </c>
      <c r="D958" s="7">
        <v>135240.8820000003</v>
      </c>
      <c r="E958" s="7">
        <v>151232.01999999981</v>
      </c>
      <c r="F958" s="7">
        <f t="shared" si="1"/>
        <v>412740.191</v>
      </c>
      <c r="G958" s="14">
        <f t="shared" si="2"/>
        <v>0.005492143831</v>
      </c>
      <c r="I958" s="12"/>
      <c r="J958" s="12"/>
      <c r="K958" s="12"/>
      <c r="L958" s="12"/>
      <c r="M958" s="12">
        <v>44481.0</v>
      </c>
      <c r="N958" s="2">
        <v>433.62</v>
      </c>
      <c r="O958" s="3">
        <v>44540.0</v>
      </c>
      <c r="P958" s="4" t="str">
        <f t="array" ref="P958">XLOOKUP(O958,Agregado!$B$2:$B$1511,Agregado!$G$2:$G$1511)</f>
        <v>#N/A</v>
      </c>
    </row>
    <row r="959" ht="15.75" customHeight="1">
      <c r="B959" s="13" t="s">
        <v>1878</v>
      </c>
      <c r="C959" s="7">
        <v>125238.56100000003</v>
      </c>
      <c r="D959" s="7">
        <v>135330.6870000003</v>
      </c>
      <c r="E959" s="7">
        <v>151575.0879999998</v>
      </c>
      <c r="F959" s="7">
        <f t="shared" si="1"/>
        <v>412144.336</v>
      </c>
      <c r="G959" s="14">
        <f t="shared" si="2"/>
        <v>-0.001444699432</v>
      </c>
      <c r="I959" s="12"/>
      <c r="J959" s="12"/>
      <c r="K959" s="12"/>
      <c r="L959" s="12"/>
      <c r="M959" s="12">
        <v>44482.0</v>
      </c>
      <c r="N959" s="2">
        <v>435.18</v>
      </c>
      <c r="O959" s="3" t="s">
        <v>573</v>
      </c>
      <c r="P959" s="4" t="str">
        <f t="array" ref="P959">XLOOKUP(O959,Agregado!$B$2:$B$1511,Agregado!$G$2:$G$1511)</f>
        <v>#N/A</v>
      </c>
    </row>
    <row r="960" ht="15.75" customHeight="1">
      <c r="B960" s="13" t="s">
        <v>1879</v>
      </c>
      <c r="C960" s="7">
        <v>125846.84900000003</v>
      </c>
      <c r="D960" s="7">
        <v>135443.7740000003</v>
      </c>
      <c r="E960" s="7">
        <v>151703.7519999998</v>
      </c>
      <c r="F960" s="7">
        <f t="shared" si="1"/>
        <v>412994.375</v>
      </c>
      <c r="G960" s="14">
        <f t="shared" si="2"/>
        <v>0.002060354918</v>
      </c>
      <c r="I960" s="12"/>
      <c r="J960" s="12"/>
      <c r="K960" s="12"/>
      <c r="L960" s="12"/>
      <c r="M960" s="12">
        <v>44483.0</v>
      </c>
      <c r="N960" s="2">
        <v>442.5</v>
      </c>
      <c r="O960" s="3" t="s">
        <v>574</v>
      </c>
      <c r="P960" s="4" t="str">
        <f t="array" ref="P960">XLOOKUP(O960,Agregado!$B$2:$B$1511,Agregado!$G$2:$G$1511)</f>
        <v>#N/A</v>
      </c>
    </row>
    <row r="961" ht="15.75" customHeight="1">
      <c r="B961" s="13" t="s">
        <v>1880</v>
      </c>
      <c r="C961" s="7">
        <v>126977.44300000003</v>
      </c>
      <c r="D961" s="7">
        <v>135648.0790000003</v>
      </c>
      <c r="E961" s="7">
        <v>151923.1359999998</v>
      </c>
      <c r="F961" s="7">
        <f t="shared" si="1"/>
        <v>414548.658</v>
      </c>
      <c r="G961" s="14">
        <f t="shared" si="2"/>
        <v>0.003756384298</v>
      </c>
      <c r="I961" s="12"/>
      <c r="J961" s="12"/>
      <c r="K961" s="12"/>
      <c r="L961" s="12"/>
      <c r="M961" s="12">
        <v>44484.0</v>
      </c>
      <c r="N961" s="2">
        <v>445.87</v>
      </c>
      <c r="O961" s="3" t="s">
        <v>575</v>
      </c>
      <c r="P961" s="4" t="str">
        <f t="array" ref="P961">XLOOKUP(O961,Agregado!$B$2:$B$1511,Agregado!$G$2:$G$1511)</f>
        <v>#N/A</v>
      </c>
    </row>
    <row r="962" ht="15.75" customHeight="1">
      <c r="B962" s="13" t="s">
        <v>1881</v>
      </c>
      <c r="C962" s="7">
        <v>127635.19800000003</v>
      </c>
      <c r="D962" s="7">
        <v>136399.4950000003</v>
      </c>
      <c r="E962" s="7">
        <v>151946.6049999998</v>
      </c>
      <c r="F962" s="7">
        <f t="shared" si="1"/>
        <v>415981.298</v>
      </c>
      <c r="G962" s="14">
        <f t="shared" si="2"/>
        <v>0.003449945208</v>
      </c>
      <c r="I962" s="12"/>
      <c r="J962" s="12"/>
      <c r="K962" s="12"/>
      <c r="L962" s="12"/>
      <c r="M962" s="12">
        <v>44487.0</v>
      </c>
      <c r="N962" s="2">
        <v>447.19</v>
      </c>
      <c r="O962" s="3" t="s">
        <v>576</v>
      </c>
      <c r="P962" s="4" t="str">
        <f t="array" ref="P962">XLOOKUP(O962,Agregado!$B$2:$B$1511,Agregado!$G$2:$G$1511)</f>
        <v>#N/A</v>
      </c>
    </row>
    <row r="963" ht="15.75" customHeight="1">
      <c r="B963" s="13" t="s">
        <v>1882</v>
      </c>
      <c r="C963" s="7">
        <v>125414.80500000004</v>
      </c>
      <c r="D963" s="7">
        <v>136604.21000000028</v>
      </c>
      <c r="E963" s="7">
        <v>152132.03899999982</v>
      </c>
      <c r="F963" s="7">
        <f t="shared" si="1"/>
        <v>414151.054</v>
      </c>
      <c r="G963" s="14">
        <f t="shared" si="2"/>
        <v>-0.004409530507</v>
      </c>
      <c r="I963" s="12"/>
      <c r="J963" s="12"/>
      <c r="K963" s="12"/>
      <c r="L963" s="12"/>
      <c r="M963" s="12">
        <v>44488.0</v>
      </c>
      <c r="N963" s="2">
        <v>450.64</v>
      </c>
      <c r="O963" s="3" t="s">
        <v>577</v>
      </c>
      <c r="P963" s="4" t="str">
        <f t="array" ref="P963">XLOOKUP(O963,Agregado!$B$2:$B$1511,Agregado!$G$2:$G$1511)</f>
        <v>#N/A</v>
      </c>
    </row>
    <row r="964" ht="15.75" customHeight="1">
      <c r="B964" s="13" t="s">
        <v>1883</v>
      </c>
      <c r="C964" s="7">
        <v>127167.67800000004</v>
      </c>
      <c r="D964" s="7">
        <v>136604.21000000028</v>
      </c>
      <c r="E964" s="7">
        <v>152180.88599999982</v>
      </c>
      <c r="F964" s="7">
        <f t="shared" si="1"/>
        <v>415952.774</v>
      </c>
      <c r="G964" s="14">
        <f t="shared" si="2"/>
        <v>0.004340957766</v>
      </c>
      <c r="I964" s="12"/>
      <c r="J964" s="12"/>
      <c r="K964" s="12"/>
      <c r="L964" s="12"/>
      <c r="M964" s="12">
        <v>44489.0</v>
      </c>
      <c r="N964" s="2">
        <v>452.41</v>
      </c>
      <c r="O964" s="3" t="s">
        <v>578</v>
      </c>
      <c r="P964" s="4" t="str">
        <f t="array" ref="P964">XLOOKUP(O964,Agregado!$B$2:$B$1511,Agregado!$G$2:$G$1511)</f>
        <v>#N/A</v>
      </c>
    </row>
    <row r="965" ht="15.75" customHeight="1">
      <c r="B965" s="13" t="s">
        <v>1884</v>
      </c>
      <c r="C965" s="7">
        <v>129311.44500000004</v>
      </c>
      <c r="D965" s="7">
        <v>144091.1300000003</v>
      </c>
      <c r="E965" s="7">
        <v>153485.9059999998</v>
      </c>
      <c r="F965" s="7">
        <f t="shared" si="1"/>
        <v>426888.481</v>
      </c>
      <c r="G965" s="14">
        <f t="shared" si="2"/>
        <v>0.02595108072</v>
      </c>
      <c r="I965" s="12"/>
      <c r="J965" s="12"/>
      <c r="K965" s="12"/>
      <c r="L965" s="12"/>
      <c r="M965" s="12">
        <v>44490.0</v>
      </c>
      <c r="N965" s="2">
        <v>453.59</v>
      </c>
      <c r="O965" s="3" t="s">
        <v>579</v>
      </c>
      <c r="P965" s="4" t="str">
        <f t="array" ref="P965">XLOOKUP(O965,Agregado!$B$2:$B$1511,Agregado!$G$2:$G$1511)</f>
        <v>#N/A</v>
      </c>
    </row>
    <row r="966" ht="15.75" customHeight="1">
      <c r="B966" s="13" t="s">
        <v>1885</v>
      </c>
      <c r="C966" s="7">
        <v>128948.38600000004</v>
      </c>
      <c r="D966" s="7">
        <v>144136.69100000028</v>
      </c>
      <c r="E966" s="7">
        <v>153627.7729999998</v>
      </c>
      <c r="F966" s="7">
        <f t="shared" si="1"/>
        <v>426712.85</v>
      </c>
      <c r="G966" s="14">
        <f t="shared" si="2"/>
        <v>-0.0004115059246</v>
      </c>
      <c r="I966" s="12"/>
      <c r="J966" s="12"/>
      <c r="K966" s="12"/>
      <c r="L966" s="12"/>
      <c r="M966" s="12">
        <v>44491.0</v>
      </c>
      <c r="N966" s="2">
        <v>453.12</v>
      </c>
      <c r="O966" s="3" t="s">
        <v>580</v>
      </c>
      <c r="P966" s="4" t="str">
        <f t="array" ref="P966">XLOOKUP(O966,Agregado!$B$2:$B$1511,Agregado!$G$2:$G$1511)</f>
        <v>#N/A</v>
      </c>
    </row>
    <row r="967" ht="15.75" customHeight="1">
      <c r="B967" s="13" t="s">
        <v>1886</v>
      </c>
      <c r="C967" s="7">
        <v>130048.31200000005</v>
      </c>
      <c r="D967" s="7">
        <v>144343.74100000027</v>
      </c>
      <c r="E967" s="7">
        <v>153702.5669999998</v>
      </c>
      <c r="F967" s="7">
        <f t="shared" si="1"/>
        <v>428094.62</v>
      </c>
      <c r="G967" s="14">
        <f t="shared" si="2"/>
        <v>0.003232941339</v>
      </c>
      <c r="I967" s="12"/>
      <c r="J967" s="12"/>
      <c r="K967" s="12"/>
      <c r="L967" s="12"/>
      <c r="M967" s="12">
        <v>44494.0</v>
      </c>
      <c r="N967" s="2">
        <v>455.55</v>
      </c>
      <c r="O967" s="3" t="s">
        <v>581</v>
      </c>
      <c r="P967" s="4" t="str">
        <f t="array" ref="P967">XLOOKUP(O967,Agregado!$B$2:$B$1511,Agregado!$G$2:$G$1511)</f>
        <v>#N/A</v>
      </c>
    </row>
    <row r="968" ht="15.75" customHeight="1">
      <c r="B968" s="13" t="s">
        <v>1887</v>
      </c>
      <c r="C968" s="7">
        <v>132160.82800000004</v>
      </c>
      <c r="D968" s="7">
        <v>144551.21800000028</v>
      </c>
      <c r="E968" s="7">
        <v>154075.3249999998</v>
      </c>
      <c r="F968" s="7">
        <f t="shared" si="1"/>
        <v>430787.371</v>
      </c>
      <c r="G968" s="14">
        <f t="shared" si="2"/>
        <v>0.00627038371</v>
      </c>
      <c r="I968" s="12"/>
      <c r="J968" s="12"/>
      <c r="K968" s="12"/>
      <c r="L968" s="12"/>
      <c r="M968" s="12">
        <v>44495.0</v>
      </c>
      <c r="N968" s="2">
        <v>455.96</v>
      </c>
      <c r="O968" s="3" t="s">
        <v>582</v>
      </c>
      <c r="P968" s="4" t="str">
        <f t="array" ref="P968">XLOOKUP(O968,Agregado!$B$2:$B$1511,Agregado!$G$2:$G$1511)</f>
        <v>#N/A</v>
      </c>
    </row>
    <row r="969" ht="15.75" customHeight="1">
      <c r="B969" s="13" t="s">
        <v>1888</v>
      </c>
      <c r="C969" s="7">
        <v>132137.82400000005</v>
      </c>
      <c r="D969" s="7">
        <v>144735.9750000003</v>
      </c>
      <c r="E969" s="7">
        <v>154131.0099999998</v>
      </c>
      <c r="F969" s="7">
        <f t="shared" si="1"/>
        <v>431004.809</v>
      </c>
      <c r="G969" s="14">
        <f t="shared" si="2"/>
        <v>0.0005046181891</v>
      </c>
      <c r="I969" s="12"/>
      <c r="J969" s="12"/>
      <c r="K969" s="12"/>
      <c r="L969" s="12"/>
      <c r="M969" s="12">
        <v>44496.0</v>
      </c>
      <c r="N969" s="2">
        <v>453.94</v>
      </c>
      <c r="O969" s="3" t="s">
        <v>583</v>
      </c>
      <c r="P969" s="4" t="str">
        <f t="array" ref="P969">XLOOKUP(O969,Agregado!$B$2:$B$1511,Agregado!$G$2:$G$1511)</f>
        <v>#N/A</v>
      </c>
    </row>
    <row r="970" ht="15.75" customHeight="1">
      <c r="B970" s="13" t="s">
        <v>1889</v>
      </c>
      <c r="C970" s="7">
        <v>131514.44500000007</v>
      </c>
      <c r="D970" s="7">
        <v>145500.9060000003</v>
      </c>
      <c r="E970" s="7">
        <v>154538.0449999998</v>
      </c>
      <c r="F970" s="7">
        <f t="shared" si="1"/>
        <v>431553.396</v>
      </c>
      <c r="G970" s="14">
        <f t="shared" si="2"/>
        <v>0.001272000129</v>
      </c>
      <c r="I970" s="12"/>
      <c r="J970" s="12"/>
      <c r="K970" s="12"/>
      <c r="L970" s="12"/>
      <c r="M970" s="12">
        <v>44497.0</v>
      </c>
      <c r="N970" s="2">
        <v>458.32</v>
      </c>
      <c r="O970" s="3" t="s">
        <v>584</v>
      </c>
      <c r="P970" s="4" t="str">
        <f t="array" ref="P970">XLOOKUP(O970,Agregado!$B$2:$B$1511,Agregado!$G$2:$G$1511)</f>
        <v>#N/A</v>
      </c>
    </row>
    <row r="971" ht="15.75" customHeight="1">
      <c r="B971" s="13" t="s">
        <v>1890</v>
      </c>
      <c r="C971" s="7">
        <v>132629.82600000006</v>
      </c>
      <c r="D971" s="7">
        <v>145617.5530000003</v>
      </c>
      <c r="E971" s="7">
        <v>154788.2839999998</v>
      </c>
      <c r="F971" s="7">
        <f t="shared" si="1"/>
        <v>433035.663</v>
      </c>
      <c r="G971" s="14">
        <f t="shared" si="2"/>
        <v>0.003428839254</v>
      </c>
      <c r="I971" s="12"/>
      <c r="J971" s="12"/>
      <c r="K971" s="12"/>
      <c r="L971" s="12"/>
      <c r="M971" s="12">
        <v>44498.0</v>
      </c>
      <c r="N971" s="2">
        <v>459.25</v>
      </c>
      <c r="O971" s="3" t="s">
        <v>585</v>
      </c>
      <c r="P971" s="4" t="str">
        <f t="array" ref="P971">XLOOKUP(O971,Agregado!$B$2:$B$1511,Agregado!$G$2:$G$1511)</f>
        <v>#N/A</v>
      </c>
    </row>
    <row r="972" ht="15.75" customHeight="1">
      <c r="B972" s="13" t="s">
        <v>1891</v>
      </c>
      <c r="C972" s="7">
        <v>132419.79100000006</v>
      </c>
      <c r="D972" s="7">
        <v>145734.7050000003</v>
      </c>
      <c r="E972" s="7">
        <v>155048.4449999998</v>
      </c>
      <c r="F972" s="7">
        <f t="shared" si="1"/>
        <v>433202.941</v>
      </c>
      <c r="G972" s="14">
        <f t="shared" si="2"/>
        <v>0.0003862169183</v>
      </c>
      <c r="I972" s="12"/>
      <c r="J972" s="12"/>
      <c r="K972" s="12"/>
      <c r="L972" s="12"/>
      <c r="M972" s="12">
        <v>44501.0</v>
      </c>
      <c r="N972" s="2">
        <v>460.04</v>
      </c>
      <c r="O972" s="3">
        <v>44207.0</v>
      </c>
      <c r="P972" s="4" t="str">
        <f t="array" ref="P972">XLOOKUP(O972,Agregado!$B$2:$B$1511,Agregado!$G$2:$G$1511)</f>
        <v>#N/A</v>
      </c>
    </row>
    <row r="973" ht="15.75" customHeight="1">
      <c r="B973" s="13" t="s">
        <v>1892</v>
      </c>
      <c r="C973" s="7">
        <v>132747.76100000006</v>
      </c>
      <c r="D973" s="7">
        <v>145805.2650000003</v>
      </c>
      <c r="E973" s="7">
        <v>155303.1779999998</v>
      </c>
      <c r="F973" s="7">
        <f t="shared" si="1"/>
        <v>433856.204</v>
      </c>
      <c r="G973" s="14">
        <f t="shared" si="2"/>
        <v>0.001506847895</v>
      </c>
      <c r="I973" s="12"/>
      <c r="J973" s="12"/>
      <c r="K973" s="12"/>
      <c r="L973" s="12"/>
      <c r="M973" s="12">
        <v>44502.0</v>
      </c>
      <c r="N973" s="2">
        <v>461.9</v>
      </c>
      <c r="O973" s="3">
        <v>44238.0</v>
      </c>
      <c r="P973" s="4" t="str">
        <f t="array" ref="P973">XLOOKUP(O973,Agregado!$B$2:$B$1511,Agregado!$G$2:$G$1511)</f>
        <v>#N/A</v>
      </c>
    </row>
    <row r="974" ht="15.75" customHeight="1">
      <c r="B974" s="13" t="s">
        <v>1893</v>
      </c>
      <c r="C974" s="7">
        <v>131575.38800000006</v>
      </c>
      <c r="D974" s="7">
        <v>146111.2970000003</v>
      </c>
      <c r="E974" s="7">
        <v>155345.18499999982</v>
      </c>
      <c r="F974" s="7">
        <f t="shared" si="1"/>
        <v>433031.87</v>
      </c>
      <c r="G974" s="14">
        <f t="shared" si="2"/>
        <v>-0.001901823945</v>
      </c>
      <c r="I974" s="12"/>
      <c r="J974" s="12"/>
      <c r="K974" s="12"/>
      <c r="L974" s="12"/>
      <c r="M974" s="12">
        <v>44503.0</v>
      </c>
      <c r="N974" s="2">
        <v>464.72</v>
      </c>
      <c r="O974" s="3">
        <v>44266.0</v>
      </c>
      <c r="P974" s="4" t="str">
        <f t="array" ref="P974">XLOOKUP(O974,Agregado!$B$2:$B$1511,Agregado!$G$2:$G$1511)</f>
        <v>#N/A</v>
      </c>
    </row>
    <row r="975" ht="15.75" customHeight="1">
      <c r="B975" s="13" t="s">
        <v>1894</v>
      </c>
      <c r="C975" s="7">
        <v>132813.84400000007</v>
      </c>
      <c r="D975" s="7">
        <v>146158.2180000003</v>
      </c>
      <c r="E975" s="7">
        <v>155654.08399999983</v>
      </c>
      <c r="F975" s="7">
        <f t="shared" si="1"/>
        <v>434626.146</v>
      </c>
      <c r="G975" s="14">
        <f t="shared" si="2"/>
        <v>0.003674899015</v>
      </c>
      <c r="I975" s="12"/>
      <c r="J975" s="12"/>
      <c r="K975" s="12"/>
      <c r="L975" s="12"/>
      <c r="M975" s="12">
        <v>44504.0</v>
      </c>
      <c r="N975" s="2">
        <v>466.91</v>
      </c>
      <c r="O975" s="3">
        <v>44297.0</v>
      </c>
      <c r="P975" s="4" t="str">
        <f t="array" ref="P975">XLOOKUP(O975,Agregado!$B$2:$B$1511,Agregado!$G$2:$G$1511)</f>
        <v>#N/A</v>
      </c>
    </row>
    <row r="976" ht="15.75" customHeight="1">
      <c r="B976" s="13" t="s">
        <v>1895</v>
      </c>
      <c r="C976" s="7">
        <v>133393.35200000007</v>
      </c>
      <c r="D976" s="7">
        <v>146530.57900000032</v>
      </c>
      <c r="E976" s="7">
        <v>156396.13299999983</v>
      </c>
      <c r="F976" s="7">
        <f t="shared" si="1"/>
        <v>436320.064</v>
      </c>
      <c r="G976" s="14">
        <f t="shared" si="2"/>
        <v>0.003889838698</v>
      </c>
      <c r="I976" s="12"/>
      <c r="J976" s="12"/>
      <c r="K976" s="12"/>
      <c r="L976" s="12"/>
      <c r="M976" s="12">
        <v>44505.0</v>
      </c>
      <c r="N976" s="2">
        <v>468.53</v>
      </c>
      <c r="O976" s="3">
        <v>44327.0</v>
      </c>
      <c r="P976" s="4" t="str">
        <f t="array" ref="P976">XLOOKUP(O976,Agregado!$B$2:$B$1511,Agregado!$G$2:$G$1511)</f>
        <v>#N/A</v>
      </c>
    </row>
    <row r="977" ht="15.75" customHeight="1">
      <c r="B977" s="13" t="s">
        <v>1896</v>
      </c>
      <c r="C977" s="7">
        <v>130888.51200000008</v>
      </c>
      <c r="D977" s="7">
        <v>147112.71200000032</v>
      </c>
      <c r="E977" s="7">
        <v>156778.31199999983</v>
      </c>
      <c r="F977" s="7">
        <f t="shared" si="1"/>
        <v>434779.536</v>
      </c>
      <c r="G977" s="14">
        <f t="shared" si="2"/>
        <v>-0.003536976957</v>
      </c>
      <c r="I977" s="12"/>
      <c r="J977" s="12"/>
      <c r="K977" s="12"/>
      <c r="L977" s="12"/>
      <c r="M977" s="12">
        <v>44508.0</v>
      </c>
      <c r="N977" s="2">
        <v>468.93</v>
      </c>
      <c r="O977" s="3">
        <v>44419.0</v>
      </c>
      <c r="P977" s="4" t="str">
        <f t="array" ref="P977">XLOOKUP(O977,Agregado!$B$2:$B$1511,Agregado!$G$2:$G$1511)</f>
        <v>#N/A</v>
      </c>
    </row>
    <row r="978" ht="15.75" customHeight="1">
      <c r="B978" s="13" t="s">
        <v>1897</v>
      </c>
      <c r="C978" s="7">
        <v>131215.58300000007</v>
      </c>
      <c r="D978" s="7">
        <v>147112.71200000032</v>
      </c>
      <c r="E978" s="7">
        <v>156956.67299999984</v>
      </c>
      <c r="F978" s="7">
        <f t="shared" si="1"/>
        <v>435284.968</v>
      </c>
      <c r="G978" s="14">
        <f t="shared" si="2"/>
        <v>0.001161826634</v>
      </c>
      <c r="I978" s="12"/>
      <c r="J978" s="12"/>
      <c r="K978" s="12"/>
      <c r="L978" s="12"/>
      <c r="M978" s="12">
        <v>44509.0</v>
      </c>
      <c r="N978" s="2">
        <v>467.38</v>
      </c>
      <c r="O978" s="3">
        <v>44450.0</v>
      </c>
      <c r="P978" s="4" t="str">
        <f t="array" ref="P978">XLOOKUP(O978,Agregado!$B$2:$B$1511,Agregado!$G$2:$G$1511)</f>
        <v>#N/A</v>
      </c>
    </row>
    <row r="979" ht="15.75" customHeight="1">
      <c r="B979" s="13" t="s">
        <v>1898</v>
      </c>
      <c r="C979" s="7">
        <v>128949.38700000008</v>
      </c>
      <c r="D979" s="7">
        <v>147112.71200000032</v>
      </c>
      <c r="E979" s="7">
        <v>156982.68499999982</v>
      </c>
      <c r="F979" s="7">
        <f t="shared" si="1"/>
        <v>433044.784</v>
      </c>
      <c r="G979" s="14">
        <f t="shared" si="2"/>
        <v>-0.00515976555</v>
      </c>
      <c r="I979" s="12"/>
      <c r="J979" s="12"/>
      <c r="K979" s="12"/>
      <c r="L979" s="12"/>
      <c r="M979" s="12">
        <v>44510.0</v>
      </c>
      <c r="N979" s="2">
        <v>463.62</v>
      </c>
      <c r="O979" s="3">
        <v>44480.0</v>
      </c>
      <c r="P979" s="4" t="str">
        <f t="array" ref="P979">XLOOKUP(O979,Agregado!$B$2:$B$1511,Agregado!$G$2:$G$1511)</f>
        <v>#N/A</v>
      </c>
    </row>
    <row r="980" ht="15.75" customHeight="1">
      <c r="B980" s="13" t="s">
        <v>1899</v>
      </c>
      <c r="C980" s="7">
        <v>129699.92200000008</v>
      </c>
      <c r="D980" s="7">
        <v>147418.84000000032</v>
      </c>
      <c r="E980" s="7">
        <v>157281.37999999983</v>
      </c>
      <c r="F980" s="7">
        <f t="shared" si="1"/>
        <v>434400.142</v>
      </c>
      <c r="G980" s="14">
        <f t="shared" si="2"/>
        <v>0.003124945601</v>
      </c>
      <c r="I980" s="12"/>
      <c r="J980" s="12"/>
      <c r="K980" s="12"/>
      <c r="L980" s="12"/>
      <c r="M980" s="12">
        <v>44511.0</v>
      </c>
      <c r="N980" s="2">
        <v>463.77</v>
      </c>
      <c r="O980" s="3">
        <v>44511.0</v>
      </c>
      <c r="P980" s="4" t="str">
        <f t="array" ref="P980">XLOOKUP(O980,Agregado!$B$2:$B$1511,Agregado!$G$2:$G$1511)</f>
        <v>#N/A</v>
      </c>
    </row>
    <row r="981" ht="15.75" customHeight="1">
      <c r="B981" s="13" t="s">
        <v>1900</v>
      </c>
      <c r="C981" s="7">
        <v>128670.41300000007</v>
      </c>
      <c r="D981" s="7">
        <v>148522.9520000003</v>
      </c>
      <c r="E981" s="7">
        <v>157537.12999999983</v>
      </c>
      <c r="F981" s="7">
        <f t="shared" si="1"/>
        <v>434730.495</v>
      </c>
      <c r="G981" s="14">
        <f t="shared" si="2"/>
        <v>0.0007601918557</v>
      </c>
      <c r="I981" s="12"/>
      <c r="J981" s="12"/>
      <c r="K981" s="12"/>
      <c r="L981" s="12"/>
      <c r="M981" s="12">
        <v>44512.0</v>
      </c>
      <c r="N981" s="2">
        <v>467.27</v>
      </c>
      <c r="O981" s="3">
        <v>44541.0</v>
      </c>
      <c r="P981" s="4" t="str">
        <f t="array" ref="P981">XLOOKUP(O981,Agregado!$B$2:$B$1511,Agregado!$G$2:$G$1511)</f>
        <v>#N/A</v>
      </c>
    </row>
    <row r="982" ht="15.75" customHeight="1">
      <c r="B982" s="13" t="s">
        <v>1901</v>
      </c>
      <c r="C982" s="7">
        <v>127895.60300000008</v>
      </c>
      <c r="D982" s="7">
        <v>148499.3790000003</v>
      </c>
      <c r="E982" s="7">
        <v>157626.69099999982</v>
      </c>
      <c r="F982" s="7">
        <f t="shared" si="1"/>
        <v>434021.673</v>
      </c>
      <c r="G982" s="14">
        <f t="shared" si="2"/>
        <v>-0.001631816721</v>
      </c>
      <c r="I982" s="12"/>
      <c r="J982" s="12"/>
      <c r="K982" s="12"/>
      <c r="L982" s="12"/>
      <c r="M982" s="12">
        <v>44515.0</v>
      </c>
      <c r="N982" s="2">
        <v>467.43</v>
      </c>
      <c r="O982" s="3" t="s">
        <v>586</v>
      </c>
      <c r="P982" s="4" t="str">
        <f t="array" ref="P982">XLOOKUP(O982,Agregado!$B$2:$B$1511,Agregado!$G$2:$G$1511)</f>
        <v>#N/A</v>
      </c>
    </row>
    <row r="983" ht="15.75" customHeight="1">
      <c r="B983" s="13" t="s">
        <v>1902</v>
      </c>
      <c r="C983" s="7">
        <v>124613.06400000007</v>
      </c>
      <c r="D983" s="7">
        <v>148734.78800000032</v>
      </c>
      <c r="E983" s="7">
        <v>157695.4659999998</v>
      </c>
      <c r="F983" s="7">
        <f t="shared" si="1"/>
        <v>431043.318</v>
      </c>
      <c r="G983" s="14">
        <f t="shared" si="2"/>
        <v>-0.006885879788</v>
      </c>
      <c r="I983" s="12"/>
      <c r="J983" s="12"/>
      <c r="K983" s="12"/>
      <c r="L983" s="12"/>
      <c r="M983" s="12">
        <v>44516.0</v>
      </c>
      <c r="N983" s="2">
        <v>469.28</v>
      </c>
      <c r="O983" s="3" t="s">
        <v>587</v>
      </c>
      <c r="P983" s="4" t="str">
        <f t="array" ref="P983">XLOOKUP(O983,Agregado!$B$2:$B$1511,Agregado!$G$2:$G$1511)</f>
        <v>#N/A</v>
      </c>
    </row>
    <row r="984" ht="15.75" customHeight="1">
      <c r="B984" s="13" t="s">
        <v>1903</v>
      </c>
      <c r="C984" s="7">
        <v>126576.48700000007</v>
      </c>
      <c r="D984" s="7">
        <v>148852.12700000033</v>
      </c>
      <c r="E984" s="7">
        <v>157545.4419999998</v>
      </c>
      <c r="F984" s="7">
        <f t="shared" si="1"/>
        <v>432974.056</v>
      </c>
      <c r="G984" s="14">
        <f t="shared" si="2"/>
        <v>0.004469218494</v>
      </c>
      <c r="I984" s="12"/>
      <c r="J984" s="12"/>
      <c r="K984" s="12"/>
      <c r="L984" s="12"/>
      <c r="M984" s="12">
        <v>44517.0</v>
      </c>
      <c r="N984" s="2">
        <v>468.14</v>
      </c>
      <c r="O984" s="3" t="s">
        <v>588</v>
      </c>
      <c r="P984" s="4" t="str">
        <f t="array" ref="P984">XLOOKUP(O984,Agregado!$B$2:$B$1511,Agregado!$G$2:$G$1511)</f>
        <v>#N/A</v>
      </c>
    </row>
    <row r="985" ht="15.75" customHeight="1">
      <c r="B985" s="13" t="s">
        <v>1904</v>
      </c>
      <c r="C985" s="7">
        <v>126201.87900000007</v>
      </c>
      <c r="D985" s="7">
        <v>147817.82600000032</v>
      </c>
      <c r="E985" s="7">
        <v>157520.57699999982</v>
      </c>
      <c r="F985" s="7">
        <f t="shared" si="1"/>
        <v>431540.282</v>
      </c>
      <c r="G985" s="14">
        <f t="shared" si="2"/>
        <v>-0.003316949764</v>
      </c>
      <c r="I985" s="12"/>
      <c r="J985" s="12"/>
      <c r="K985" s="12"/>
      <c r="L985" s="12"/>
      <c r="M985" s="12">
        <v>44518.0</v>
      </c>
      <c r="N985" s="2">
        <v>469.73</v>
      </c>
      <c r="O985" s="3" t="s">
        <v>589</v>
      </c>
      <c r="P985" s="4" t="str">
        <f t="array" ref="P985">XLOOKUP(O985,Agregado!$B$2:$B$1511,Agregado!$G$2:$G$1511)</f>
        <v>#N/A</v>
      </c>
    </row>
    <row r="986" ht="15.75" customHeight="1">
      <c r="B986" s="13" t="s">
        <v>1905</v>
      </c>
      <c r="C986" s="7">
        <v>126788.56600000008</v>
      </c>
      <c r="D986" s="7">
        <v>148336.18500000032</v>
      </c>
      <c r="E986" s="7">
        <v>157523.3849999998</v>
      </c>
      <c r="F986" s="7">
        <f t="shared" si="1"/>
        <v>432648.136</v>
      </c>
      <c r="G986" s="14">
        <f t="shared" si="2"/>
        <v>0.002563919126</v>
      </c>
      <c r="I986" s="12"/>
      <c r="J986" s="12"/>
      <c r="K986" s="12"/>
      <c r="L986" s="12"/>
      <c r="M986" s="12">
        <v>44519.0</v>
      </c>
      <c r="N986" s="2">
        <v>468.89</v>
      </c>
      <c r="O986" s="3" t="s">
        <v>590</v>
      </c>
      <c r="P986" s="4" t="str">
        <f t="array" ref="P986">XLOOKUP(O986,Agregado!$B$2:$B$1511,Agregado!$G$2:$G$1511)</f>
        <v>#N/A</v>
      </c>
    </row>
    <row r="987" ht="15.75" customHeight="1">
      <c r="B987" s="13" t="s">
        <v>1906</v>
      </c>
      <c r="C987" s="7">
        <v>126880.30900000008</v>
      </c>
      <c r="D987" s="7">
        <v>148151.97000000032</v>
      </c>
      <c r="E987" s="7">
        <v>157260.2869999998</v>
      </c>
      <c r="F987" s="7">
        <f t="shared" si="1"/>
        <v>432292.566</v>
      </c>
      <c r="G987" s="14">
        <f t="shared" si="2"/>
        <v>-0.0008221835768</v>
      </c>
      <c r="I987" s="12"/>
      <c r="J987" s="12"/>
      <c r="K987" s="12"/>
      <c r="L987" s="12"/>
      <c r="M987" s="12">
        <v>44522.0</v>
      </c>
      <c r="N987" s="2">
        <v>467.57</v>
      </c>
      <c r="O987" s="3" t="s">
        <v>591</v>
      </c>
      <c r="P987" s="4" t="str">
        <f t="array" ref="P987">XLOOKUP(O987,Agregado!$B$2:$B$1511,Agregado!$G$2:$G$1511)</f>
        <v>#N/A</v>
      </c>
    </row>
    <row r="988" ht="15.75" customHeight="1">
      <c r="B988" s="13" t="s">
        <v>1907</v>
      </c>
      <c r="C988" s="7">
        <v>129971.12500000009</v>
      </c>
      <c r="D988" s="7">
        <v>148618.61400000032</v>
      </c>
      <c r="E988" s="7">
        <v>157756.44099999982</v>
      </c>
      <c r="F988" s="7">
        <f t="shared" si="1"/>
        <v>436346.18</v>
      </c>
      <c r="G988" s="14">
        <f t="shared" si="2"/>
        <v>0.009333323996</v>
      </c>
      <c r="I988" s="12"/>
      <c r="J988" s="12"/>
      <c r="K988" s="12"/>
      <c r="L988" s="12"/>
      <c r="M988" s="12">
        <v>44523.0</v>
      </c>
      <c r="N988" s="2">
        <v>468.19</v>
      </c>
      <c r="O988" s="3" t="s">
        <v>592</v>
      </c>
      <c r="P988" s="4" t="str">
        <f t="array" ref="P988">XLOOKUP(O988,Agregado!$B$2:$B$1511,Agregado!$G$2:$G$1511)</f>
        <v>#N/A</v>
      </c>
    </row>
    <row r="989" ht="15.75" customHeight="1">
      <c r="B989" s="13" t="s">
        <v>1908</v>
      </c>
      <c r="C989" s="7">
        <v>133437.10700000008</v>
      </c>
      <c r="D989" s="7">
        <v>148893.32800000033</v>
      </c>
      <c r="E989" s="7">
        <v>158105.96999999983</v>
      </c>
      <c r="F989" s="7">
        <f t="shared" si="1"/>
        <v>440436.405</v>
      </c>
      <c r="G989" s="14">
        <f t="shared" si="2"/>
        <v>0.009330145789</v>
      </c>
      <c r="I989" s="12"/>
      <c r="J989" s="12"/>
      <c r="K989" s="12"/>
      <c r="L989" s="12"/>
      <c r="M989" s="12">
        <v>44524.0</v>
      </c>
      <c r="N989" s="2">
        <v>469.44</v>
      </c>
      <c r="O989" s="3" t="s">
        <v>593</v>
      </c>
      <c r="P989" s="4" t="str">
        <f t="array" ref="P989">XLOOKUP(O989,Agregado!$B$2:$B$1511,Agregado!$G$2:$G$1511)</f>
        <v>#N/A</v>
      </c>
    </row>
    <row r="990" ht="15.75" customHeight="1">
      <c r="B990" s="13" t="s">
        <v>1909</v>
      </c>
      <c r="C990" s="7">
        <v>130282.10900000007</v>
      </c>
      <c r="D990" s="7">
        <v>149753.05000000034</v>
      </c>
      <c r="E990" s="7">
        <v>158825.19799999983</v>
      </c>
      <c r="F990" s="7">
        <f t="shared" si="1"/>
        <v>438860.357</v>
      </c>
      <c r="G990" s="14">
        <f t="shared" si="2"/>
        <v>-0.003584795841</v>
      </c>
      <c r="I990" s="12"/>
      <c r="J990" s="12"/>
      <c r="K990" s="12"/>
      <c r="L990" s="12"/>
      <c r="M990" s="12">
        <v>44526.0</v>
      </c>
      <c r="N990" s="2">
        <v>458.97</v>
      </c>
      <c r="O990" s="3" t="s">
        <v>594</v>
      </c>
      <c r="P990" s="4" t="str">
        <f t="array" ref="P990">XLOOKUP(O990,Agregado!$B$2:$B$1511,Agregado!$G$2:$G$1511)</f>
        <v>#N/A</v>
      </c>
    </row>
    <row r="991" ht="15.75" customHeight="1">
      <c r="B991" s="13" t="s">
        <v>1910</v>
      </c>
      <c r="C991" s="7">
        <v>133276.55500000008</v>
      </c>
      <c r="D991" s="7">
        <v>151267.67900000032</v>
      </c>
      <c r="E991" s="7">
        <v>159295.61099999983</v>
      </c>
      <c r="F991" s="7">
        <f t="shared" si="1"/>
        <v>443839.845</v>
      </c>
      <c r="G991" s="14">
        <f t="shared" si="2"/>
        <v>0.01128251882</v>
      </c>
      <c r="I991" s="12"/>
      <c r="J991" s="12"/>
      <c r="K991" s="12"/>
      <c r="L991" s="12"/>
      <c r="M991" s="12">
        <v>44529.0</v>
      </c>
      <c r="N991" s="2">
        <v>464.6</v>
      </c>
      <c r="O991" s="3" t="s">
        <v>595</v>
      </c>
      <c r="P991" s="4" t="str">
        <f t="array" ref="P991">XLOOKUP(O991,Agregado!$B$2:$B$1511,Agregado!$G$2:$G$1511)</f>
        <v>#N/A</v>
      </c>
    </row>
    <row r="992" ht="15.75" customHeight="1">
      <c r="B992" s="13" t="s">
        <v>1911</v>
      </c>
      <c r="C992" s="7">
        <v>130239.22300000009</v>
      </c>
      <c r="D992" s="7">
        <v>151517.99600000033</v>
      </c>
      <c r="E992" s="7">
        <v>160840.04199999984</v>
      </c>
      <c r="F992" s="7">
        <f t="shared" si="1"/>
        <v>442597.261</v>
      </c>
      <c r="G992" s="14">
        <f t="shared" si="2"/>
        <v>-0.002803548736</v>
      </c>
      <c r="I992" s="12"/>
      <c r="J992" s="12"/>
      <c r="K992" s="12"/>
      <c r="L992" s="12"/>
      <c r="M992" s="12">
        <v>44530.0</v>
      </c>
      <c r="N992" s="2">
        <v>455.56</v>
      </c>
      <c r="O992" s="3" t="s">
        <v>596</v>
      </c>
      <c r="P992" s="4" t="str">
        <f t="array" ref="P992">XLOOKUP(O992,Agregado!$B$2:$B$1511,Agregado!$G$2:$G$1511)</f>
        <v>#N/A</v>
      </c>
    </row>
    <row r="993" ht="15.75" customHeight="1">
      <c r="B993" s="13" t="s">
        <v>1912</v>
      </c>
      <c r="C993" s="7">
        <v>132876.45800000007</v>
      </c>
      <c r="D993" s="7">
        <v>151587.06700000033</v>
      </c>
      <c r="E993" s="7">
        <v>162266.79499999984</v>
      </c>
      <c r="F993" s="7">
        <f t="shared" si="1"/>
        <v>446730.32</v>
      </c>
      <c r="G993" s="14">
        <f t="shared" si="2"/>
        <v>0.009294862421</v>
      </c>
      <c r="I993" s="12"/>
      <c r="J993" s="12"/>
      <c r="K993" s="12"/>
      <c r="L993" s="12"/>
      <c r="M993" s="12">
        <v>44531.0</v>
      </c>
      <c r="N993" s="2">
        <v>450.5</v>
      </c>
      <c r="O993" s="3">
        <v>44208.0</v>
      </c>
      <c r="P993" s="4" t="str">
        <f t="array" ref="P993">XLOOKUP(O993,Agregado!$B$2:$B$1511,Agregado!$G$2:$G$1511)</f>
        <v>#N/A</v>
      </c>
    </row>
    <row r="994" ht="15.75" customHeight="1">
      <c r="B994" s="13" t="s">
        <v>1913</v>
      </c>
      <c r="C994" s="7">
        <v>134983.02700000006</v>
      </c>
      <c r="D994" s="7">
        <v>153114.60700000034</v>
      </c>
      <c r="E994" s="7">
        <v>159383.58899999983</v>
      </c>
      <c r="F994" s="7">
        <f t="shared" si="1"/>
        <v>447481.223</v>
      </c>
      <c r="G994" s="14">
        <f t="shared" si="2"/>
        <v>0.001679475472</v>
      </c>
      <c r="I994" s="12"/>
      <c r="J994" s="12"/>
      <c r="K994" s="12"/>
      <c r="L994" s="12"/>
      <c r="M994" s="12">
        <v>44532.0</v>
      </c>
      <c r="N994" s="2">
        <v>457.4</v>
      </c>
      <c r="O994" s="3">
        <v>44239.0</v>
      </c>
      <c r="P994" s="4" t="str">
        <f t="array" ref="P994">XLOOKUP(O994,Agregado!$B$2:$B$1511,Agregado!$G$2:$G$1511)</f>
        <v>#N/A</v>
      </c>
    </row>
    <row r="995" ht="15.75" customHeight="1">
      <c r="B995" s="13" t="s">
        <v>1914</v>
      </c>
      <c r="C995" s="7">
        <v>133245.60200000007</v>
      </c>
      <c r="D995" s="7">
        <v>151558.75000000035</v>
      </c>
      <c r="E995" s="7">
        <v>156363.57699999984</v>
      </c>
      <c r="F995" s="7">
        <f t="shared" si="1"/>
        <v>441167.929</v>
      </c>
      <c r="G995" s="14">
        <f t="shared" si="2"/>
        <v>-0.01420898271</v>
      </c>
      <c r="I995" s="12"/>
      <c r="J995" s="12"/>
      <c r="K995" s="12"/>
      <c r="L995" s="12"/>
      <c r="M995" s="12">
        <v>44533.0</v>
      </c>
      <c r="N995" s="2">
        <v>453.42</v>
      </c>
      <c r="O995" s="3">
        <v>44267.0</v>
      </c>
      <c r="P995" s="4" t="str">
        <f t="array" ref="P995">XLOOKUP(O995,Agregado!$B$2:$B$1511,Agregado!$G$2:$G$1511)</f>
        <v>#N/A</v>
      </c>
    </row>
    <row r="996" ht="15.75" customHeight="1">
      <c r="B996" s="13" t="s">
        <v>1915</v>
      </c>
      <c r="C996" s="7">
        <v>137698.46100000007</v>
      </c>
      <c r="D996" s="7">
        <v>153595.17300000036</v>
      </c>
      <c r="E996" s="7">
        <v>150604.99899999984</v>
      </c>
      <c r="F996" s="7">
        <f t="shared" si="1"/>
        <v>441898.633</v>
      </c>
      <c r="G996" s="14">
        <f t="shared" si="2"/>
        <v>0.001654924324</v>
      </c>
      <c r="I996" s="12"/>
      <c r="J996" s="12"/>
      <c r="K996" s="12"/>
      <c r="L996" s="12"/>
      <c r="M996" s="12">
        <v>44536.0</v>
      </c>
      <c r="N996" s="2">
        <v>458.79</v>
      </c>
      <c r="O996" s="3">
        <v>44359.0</v>
      </c>
      <c r="P996" s="4" t="str">
        <f t="array" ref="P996">XLOOKUP(O996,Agregado!$B$2:$B$1511,Agregado!$G$2:$G$1511)</f>
        <v>#N/A</v>
      </c>
    </row>
    <row r="997" ht="15.75" customHeight="1">
      <c r="B997" s="13" t="s">
        <v>1916</v>
      </c>
      <c r="C997" s="7">
        <v>139957.88400000008</v>
      </c>
      <c r="D997" s="7">
        <v>153902.37500000035</v>
      </c>
      <c r="E997" s="7">
        <v>151130.47799999983</v>
      </c>
      <c r="F997" s="7">
        <f t="shared" si="1"/>
        <v>444990.737</v>
      </c>
      <c r="G997" s="14">
        <f t="shared" si="2"/>
        <v>0.006972947547</v>
      </c>
      <c r="I997" s="12"/>
      <c r="J997" s="12"/>
      <c r="K997" s="12"/>
      <c r="L997" s="12"/>
      <c r="M997" s="12">
        <v>44537.0</v>
      </c>
      <c r="N997" s="2">
        <v>468.28</v>
      </c>
      <c r="O997" s="3">
        <v>44389.0</v>
      </c>
      <c r="P997" s="4" t="str">
        <f t="array" ref="P997">XLOOKUP(O997,Agregado!$B$2:$B$1511,Agregado!$G$2:$G$1511)</f>
        <v>#N/A</v>
      </c>
    </row>
    <row r="998" ht="15.75" customHeight="1">
      <c r="B998" s="13" t="s">
        <v>1917</v>
      </c>
      <c r="C998" s="7">
        <v>146301.3800000001</v>
      </c>
      <c r="D998" s="7">
        <v>155139.42100000035</v>
      </c>
      <c r="E998" s="7">
        <v>151272.43899999984</v>
      </c>
      <c r="F998" s="7">
        <f t="shared" si="1"/>
        <v>452713.24</v>
      </c>
      <c r="G998" s="14">
        <f t="shared" si="2"/>
        <v>0.01720543454</v>
      </c>
      <c r="I998" s="12"/>
      <c r="J998" s="12"/>
      <c r="K998" s="12"/>
      <c r="L998" s="12"/>
      <c r="M998" s="12">
        <v>44538.0</v>
      </c>
      <c r="N998" s="2">
        <v>469.52</v>
      </c>
      <c r="O998" s="3">
        <v>44420.0</v>
      </c>
      <c r="P998" s="4" t="str">
        <f t="array" ref="P998">XLOOKUP(O998,Agregado!$B$2:$B$1511,Agregado!$G$2:$G$1511)</f>
        <v>#N/A</v>
      </c>
    </row>
    <row r="999" ht="15.75" customHeight="1">
      <c r="B999" s="13" t="s">
        <v>1918</v>
      </c>
      <c r="C999" s="7">
        <v>149033.2240000001</v>
      </c>
      <c r="D999" s="7">
        <v>149439.70700000034</v>
      </c>
      <c r="E999" s="7">
        <v>151849.95999999985</v>
      </c>
      <c r="F999" s="7">
        <f t="shared" si="1"/>
        <v>450322.891</v>
      </c>
      <c r="G999" s="14">
        <f t="shared" si="2"/>
        <v>-0.005294039742</v>
      </c>
      <c r="I999" s="12"/>
      <c r="J999" s="12"/>
      <c r="K999" s="12"/>
      <c r="L999" s="12"/>
      <c r="M999" s="12">
        <v>44539.0</v>
      </c>
      <c r="N999" s="2">
        <v>466.35</v>
      </c>
      <c r="O999" s="3">
        <v>44451.0</v>
      </c>
      <c r="P999" s="4" t="str">
        <f t="array" ref="P999">XLOOKUP(O999,Agregado!$B$2:$B$1511,Agregado!$G$2:$G$1511)</f>
        <v>#N/A</v>
      </c>
    </row>
    <row r="1000" ht="15.75" customHeight="1">
      <c r="B1000" s="13" t="s">
        <v>1919</v>
      </c>
      <c r="C1000" s="7">
        <v>142374.51100000012</v>
      </c>
      <c r="D1000" s="7">
        <v>148709.69400000034</v>
      </c>
      <c r="E1000" s="7">
        <v>153445.66799999986</v>
      </c>
      <c r="F1000" s="7">
        <f t="shared" si="1"/>
        <v>444529.873</v>
      </c>
      <c r="G1000" s="14">
        <f t="shared" si="2"/>
        <v>-0.01294760247</v>
      </c>
      <c r="I1000" s="12"/>
      <c r="J1000" s="12"/>
      <c r="K1000" s="12"/>
      <c r="L1000" s="12"/>
      <c r="M1000" s="12">
        <v>44540.0</v>
      </c>
      <c r="N1000" s="2">
        <v>470.74</v>
      </c>
      <c r="O1000" s="3">
        <v>44481.0</v>
      </c>
      <c r="P1000" s="4" t="str">
        <f t="array" ref="P1000">XLOOKUP(O1000,Agregado!$B$2:$B$1511,Agregado!$G$2:$G$1511)</f>
        <v>#N/A</v>
      </c>
    </row>
    <row r="1001" ht="15.75" customHeight="1">
      <c r="B1001" s="13" t="s">
        <v>1920</v>
      </c>
      <c r="C1001" s="7">
        <v>145570.02700000012</v>
      </c>
      <c r="D1001" s="7">
        <v>151580.99300000034</v>
      </c>
      <c r="E1001" s="7">
        <v>153850.13099999985</v>
      </c>
      <c r="F1001" s="7">
        <f t="shared" si="1"/>
        <v>451001.151</v>
      </c>
      <c r="G1001" s="14">
        <f t="shared" si="2"/>
        <v>0.01445263306</v>
      </c>
      <c r="I1001" s="12"/>
      <c r="J1001" s="12"/>
      <c r="K1001" s="12"/>
      <c r="L1001" s="12"/>
      <c r="M1001" s="12">
        <v>44543.0</v>
      </c>
      <c r="N1001" s="2">
        <v>466.57</v>
      </c>
      <c r="O1001" s="3" t="s">
        <v>597</v>
      </c>
      <c r="P1001" s="4" t="str">
        <f t="array" ref="P1001">XLOOKUP(O1001,Agregado!$B$2:$B$1511,Agregado!$G$2:$G$1511)</f>
        <v>#N/A</v>
      </c>
    </row>
    <row r="1002" ht="15.75" customHeight="1">
      <c r="B1002" s="13" t="s">
        <v>1921</v>
      </c>
      <c r="C1002" s="7">
        <v>143683.62900000013</v>
      </c>
      <c r="D1002" s="7">
        <v>151812.04300000033</v>
      </c>
      <c r="E1002" s="7">
        <v>153533.71399999986</v>
      </c>
      <c r="F1002" s="7">
        <f t="shared" si="1"/>
        <v>449029.386</v>
      </c>
      <c r="G1002" s="14">
        <f t="shared" si="2"/>
        <v>-0.004381558344</v>
      </c>
      <c r="I1002" s="12"/>
      <c r="J1002" s="12"/>
      <c r="K1002" s="12"/>
      <c r="L1002" s="12"/>
      <c r="M1002" s="12">
        <v>44544.0</v>
      </c>
      <c r="N1002" s="2">
        <v>463.36</v>
      </c>
      <c r="O1002" s="3" t="s">
        <v>598</v>
      </c>
      <c r="P1002" s="4" t="str">
        <f t="array" ref="P1002">XLOOKUP(O1002,Agregado!$B$2:$B$1511,Agregado!$G$2:$G$1511)</f>
        <v>#N/A</v>
      </c>
    </row>
    <row r="1003" ht="15.75" customHeight="1">
      <c r="B1003" s="13" t="s">
        <v>1922</v>
      </c>
      <c r="C1003" s="7">
        <v>144638.82400000014</v>
      </c>
      <c r="D1003" s="7">
        <v>152520.14600000033</v>
      </c>
      <c r="E1003" s="7">
        <v>154541.01799999987</v>
      </c>
      <c r="F1003" s="7">
        <f t="shared" si="1"/>
        <v>451699.988</v>
      </c>
      <c r="G1003" s="14">
        <f t="shared" si="2"/>
        <v>0.005929882832</v>
      </c>
      <c r="I1003" s="12"/>
      <c r="J1003" s="12"/>
      <c r="K1003" s="12"/>
      <c r="L1003" s="12"/>
      <c r="M1003" s="12">
        <v>44545.0</v>
      </c>
      <c r="N1003" s="2">
        <v>470.6</v>
      </c>
      <c r="O1003" s="3" t="s">
        <v>599</v>
      </c>
      <c r="P1003" s="4" t="str">
        <f t="array" ref="P1003">XLOOKUP(O1003,Agregado!$B$2:$B$1511,Agregado!$G$2:$G$1511)</f>
        <v>#N/A</v>
      </c>
    </row>
    <row r="1004" ht="15.75" customHeight="1">
      <c r="B1004" s="13" t="s">
        <v>1923</v>
      </c>
      <c r="C1004" s="7">
        <v>147439.84700000013</v>
      </c>
      <c r="D1004" s="7">
        <v>149730.16000000032</v>
      </c>
      <c r="E1004" s="7">
        <v>154583.79899999985</v>
      </c>
      <c r="F1004" s="7">
        <f t="shared" si="1"/>
        <v>451753.806</v>
      </c>
      <c r="G1004" s="14">
        <f t="shared" si="2"/>
        <v>0.0001191383564</v>
      </c>
      <c r="I1004" s="12"/>
      <c r="J1004" s="12"/>
      <c r="K1004" s="12"/>
      <c r="L1004" s="12"/>
      <c r="M1004" s="12">
        <v>44546.0</v>
      </c>
      <c r="N1004" s="2">
        <v>466.45</v>
      </c>
      <c r="O1004" s="3" t="s">
        <v>600</v>
      </c>
      <c r="P1004" s="4" t="str">
        <f t="array" ref="P1004">XLOOKUP(O1004,Agregado!$B$2:$B$1511,Agregado!$G$2:$G$1511)</f>
        <v>#N/A</v>
      </c>
    </row>
    <row r="1005" ht="15.75" customHeight="1">
      <c r="B1005" s="13" t="s">
        <v>1924</v>
      </c>
      <c r="C1005" s="7">
        <v>146106.77300000013</v>
      </c>
      <c r="D1005" s="7">
        <v>150059.00700000033</v>
      </c>
      <c r="E1005" s="7">
        <v>154712.80499999985</v>
      </c>
      <c r="F1005" s="7">
        <f t="shared" si="1"/>
        <v>450878.585</v>
      </c>
      <c r="G1005" s="14">
        <f t="shared" si="2"/>
        <v>-0.001939264053</v>
      </c>
      <c r="I1005" s="12"/>
      <c r="J1005" s="12"/>
      <c r="K1005" s="12"/>
      <c r="L1005" s="12"/>
      <c r="M1005" s="12">
        <v>44547.0</v>
      </c>
      <c r="N1005" s="2">
        <v>459.87</v>
      </c>
      <c r="O1005" s="3" t="s">
        <v>601</v>
      </c>
      <c r="P1005" s="4" t="str">
        <f t="array" ref="P1005">XLOOKUP(O1005,Agregado!$B$2:$B$1511,Agregado!$G$2:$G$1511)</f>
        <v>#N/A</v>
      </c>
    </row>
    <row r="1006" ht="15.75" customHeight="1">
      <c r="B1006" s="13" t="s">
        <v>1925</v>
      </c>
      <c r="C1006" s="7">
        <v>143588.73400000014</v>
      </c>
      <c r="D1006" s="7">
        <v>150768.07400000034</v>
      </c>
      <c r="E1006" s="7">
        <v>154937.49399999986</v>
      </c>
      <c r="F1006" s="7">
        <f t="shared" si="1"/>
        <v>449294.302</v>
      </c>
      <c r="G1006" s="14">
        <f t="shared" si="2"/>
        <v>-0.003519956352</v>
      </c>
      <c r="I1006" s="12"/>
      <c r="J1006" s="12"/>
      <c r="K1006" s="12"/>
      <c r="L1006" s="12"/>
      <c r="M1006" s="12">
        <v>44550.0</v>
      </c>
      <c r="N1006" s="2">
        <v>454.98</v>
      </c>
      <c r="O1006" s="3" t="s">
        <v>602</v>
      </c>
      <c r="P1006" s="4" t="str">
        <f t="array" ref="P1006">XLOOKUP(O1006,Agregado!$B$2:$B$1511,Agregado!$G$2:$G$1511)</f>
        <v>#N/A</v>
      </c>
    </row>
    <row r="1007" ht="15.75" customHeight="1">
      <c r="B1007" s="13" t="s">
        <v>1926</v>
      </c>
      <c r="C1007" s="7">
        <v>146642.77300000013</v>
      </c>
      <c r="D1007" s="7">
        <v>151558.86700000035</v>
      </c>
      <c r="E1007" s="7">
        <v>155256.75499999986</v>
      </c>
      <c r="F1007" s="7">
        <f t="shared" si="1"/>
        <v>453458.395</v>
      </c>
      <c r="G1007" s="14">
        <f t="shared" si="2"/>
        <v>0.009225389294</v>
      </c>
      <c r="I1007" s="12"/>
      <c r="J1007" s="12"/>
      <c r="K1007" s="12"/>
      <c r="L1007" s="12"/>
      <c r="M1007" s="12">
        <v>44551.0</v>
      </c>
      <c r="N1007" s="2">
        <v>463.06</v>
      </c>
      <c r="O1007" s="3" t="s">
        <v>603</v>
      </c>
      <c r="P1007" s="4" t="str">
        <f t="array" ref="P1007">XLOOKUP(O1007,Agregado!$B$2:$B$1511,Agregado!$G$2:$G$1511)</f>
        <v>#N/A</v>
      </c>
    </row>
    <row r="1008" ht="15.75" customHeight="1">
      <c r="B1008" s="13" t="s">
        <v>1927</v>
      </c>
      <c r="C1008" s="7">
        <v>149479.20500000013</v>
      </c>
      <c r="D1008" s="7">
        <v>151726.44100000034</v>
      </c>
      <c r="E1008" s="7">
        <v>155502.15699999986</v>
      </c>
      <c r="F1008" s="7">
        <f t="shared" si="1"/>
        <v>456707.803</v>
      </c>
      <c r="G1008" s="14">
        <f t="shared" si="2"/>
        <v>0.007140282319</v>
      </c>
      <c r="I1008" s="12"/>
      <c r="J1008" s="12"/>
      <c r="K1008" s="12"/>
      <c r="L1008" s="12"/>
      <c r="M1008" s="12">
        <v>44552.0</v>
      </c>
      <c r="N1008" s="2">
        <v>467.69</v>
      </c>
      <c r="O1008" s="3" t="s">
        <v>604</v>
      </c>
      <c r="P1008" s="4" t="str">
        <f t="array" ref="P1008">XLOOKUP(O1008,Agregado!$B$2:$B$1511,Agregado!$G$2:$G$1511)</f>
        <v>#N/A</v>
      </c>
    </row>
    <row r="1009" ht="15.75" customHeight="1">
      <c r="B1009" s="13" t="s">
        <v>1928</v>
      </c>
      <c r="C1009" s="7">
        <v>150839.74100000013</v>
      </c>
      <c r="D1009" s="7">
        <v>151294.93100000033</v>
      </c>
      <c r="E1009" s="7">
        <v>155956.04199999987</v>
      </c>
      <c r="F1009" s="7">
        <f t="shared" si="1"/>
        <v>458090.714</v>
      </c>
      <c r="G1009" s="14">
        <f t="shared" si="2"/>
        <v>0.003023424345</v>
      </c>
      <c r="I1009" s="12"/>
      <c r="J1009" s="12"/>
      <c r="K1009" s="12"/>
      <c r="L1009" s="12"/>
      <c r="M1009" s="12">
        <v>44553.0</v>
      </c>
      <c r="N1009" s="2">
        <v>470.6</v>
      </c>
      <c r="O1009" s="3" t="s">
        <v>605</v>
      </c>
      <c r="P1009" s="4" t="str">
        <f t="array" ref="P1009">XLOOKUP(O1009,Agregado!$B$2:$B$1511,Agregado!$G$2:$G$1511)</f>
        <v>#N/A</v>
      </c>
    </row>
    <row r="1010" ht="15.75" customHeight="1">
      <c r="B1010" s="13" t="s">
        <v>1929</v>
      </c>
      <c r="C1010" s="7">
        <v>153529.11100000012</v>
      </c>
      <c r="D1010" s="7">
        <v>151892.51400000034</v>
      </c>
      <c r="E1010" s="7">
        <v>156296.88799999986</v>
      </c>
      <c r="F1010" s="7">
        <f t="shared" si="1"/>
        <v>461718.513</v>
      </c>
      <c r="G1010" s="14">
        <f t="shared" si="2"/>
        <v>0.007888196171</v>
      </c>
      <c r="I1010" s="12"/>
      <c r="J1010" s="12"/>
      <c r="K1010" s="12"/>
      <c r="L1010" s="12"/>
      <c r="M1010" s="12">
        <v>44557.0</v>
      </c>
      <c r="N1010" s="2">
        <v>477.26</v>
      </c>
      <c r="O1010" s="3" t="s">
        <v>606</v>
      </c>
      <c r="P1010" s="4" t="str">
        <f t="array" ref="P1010">XLOOKUP(O1010,Agregado!$B$2:$B$1511,Agregado!$G$2:$G$1511)</f>
        <v>#N/A</v>
      </c>
    </row>
    <row r="1011" ht="15.75" customHeight="1">
      <c r="B1011" s="13" t="s">
        <v>1930</v>
      </c>
      <c r="C1011" s="7">
        <v>159083.87200000012</v>
      </c>
      <c r="D1011" s="7">
        <v>154324.35900000035</v>
      </c>
      <c r="E1011" s="7">
        <v>156304.41399999987</v>
      </c>
      <c r="F1011" s="7">
        <f t="shared" si="1"/>
        <v>469712.645</v>
      </c>
      <c r="G1011" s="14">
        <f t="shared" si="2"/>
        <v>0.01716568793</v>
      </c>
      <c r="I1011" s="12"/>
      <c r="J1011" s="12"/>
      <c r="K1011" s="12"/>
      <c r="L1011" s="12"/>
      <c r="M1011" s="12">
        <v>44558.0</v>
      </c>
      <c r="N1011" s="2">
        <v>476.87</v>
      </c>
      <c r="O1011" s="3" t="s">
        <v>607</v>
      </c>
      <c r="P1011" s="4" t="str">
        <f t="array" ref="P1011">XLOOKUP(O1011,Agregado!$B$2:$B$1511,Agregado!$G$2:$G$1511)</f>
        <v>#N/A</v>
      </c>
    </row>
    <row r="1012" ht="15.75" customHeight="1">
      <c r="B1012" s="13" t="s">
        <v>1931</v>
      </c>
      <c r="C1012" s="7">
        <v>156121.5580000001</v>
      </c>
      <c r="D1012" s="7">
        <v>154540.30100000036</v>
      </c>
      <c r="E1012" s="7">
        <v>155342.8419999999</v>
      </c>
      <c r="F1012" s="7">
        <f t="shared" si="1"/>
        <v>466004.701</v>
      </c>
      <c r="G1012" s="14">
        <f t="shared" si="2"/>
        <v>-0.007925392052</v>
      </c>
      <c r="I1012" s="12"/>
      <c r="J1012" s="12"/>
      <c r="K1012" s="12"/>
      <c r="L1012" s="12"/>
      <c r="M1012" s="12">
        <v>44559.0</v>
      </c>
      <c r="N1012" s="2">
        <v>477.48</v>
      </c>
      <c r="O1012" s="3" t="s">
        <v>608</v>
      </c>
      <c r="P1012" s="4" t="str">
        <f t="array" ref="P1012">XLOOKUP(O1012,Agregado!$B$2:$B$1511,Agregado!$G$2:$G$1511)</f>
        <v>#N/A</v>
      </c>
    </row>
    <row r="1013" ht="15.75" customHeight="1">
      <c r="B1013" s="13" t="s">
        <v>1932</v>
      </c>
      <c r="C1013" s="7">
        <v>153542.9230000001</v>
      </c>
      <c r="D1013" s="7">
        <v>152765.78600000034</v>
      </c>
      <c r="E1013" s="7">
        <v>155748.27699999989</v>
      </c>
      <c r="F1013" s="7">
        <f t="shared" si="1"/>
        <v>462056.986</v>
      </c>
      <c r="G1013" s="14">
        <f t="shared" si="2"/>
        <v>-0.008507492262</v>
      </c>
      <c r="I1013" s="12"/>
      <c r="J1013" s="12"/>
      <c r="K1013" s="12"/>
      <c r="L1013" s="12"/>
      <c r="M1013" s="12">
        <v>44560.0</v>
      </c>
      <c r="N1013" s="2">
        <v>476.16</v>
      </c>
      <c r="O1013" s="3" t="s">
        <v>609</v>
      </c>
      <c r="P1013" s="4" t="str">
        <f t="array" ref="P1013">XLOOKUP(O1013,Agregado!$B$2:$B$1511,Agregado!$G$2:$G$1511)</f>
        <v>#N/A</v>
      </c>
    </row>
    <row r="1014" ht="15.75" customHeight="1">
      <c r="B1014" s="13" t="s">
        <v>1933</v>
      </c>
      <c r="C1014" s="7">
        <v>155041.4850000001</v>
      </c>
      <c r="D1014" s="7">
        <v>153095.01900000035</v>
      </c>
      <c r="E1014" s="7">
        <v>155200.00799999989</v>
      </c>
      <c r="F1014" s="7">
        <f t="shared" si="1"/>
        <v>463336.512</v>
      </c>
      <c r="G1014" s="14">
        <f t="shared" si="2"/>
        <v>0.002765368069</v>
      </c>
      <c r="I1014" s="12"/>
      <c r="J1014" s="12"/>
      <c r="K1014" s="12"/>
      <c r="L1014" s="12"/>
      <c r="M1014" s="12">
        <v>44561.0</v>
      </c>
      <c r="N1014" s="2">
        <v>474.96</v>
      </c>
      <c r="O1014" s="3" t="s">
        <v>610</v>
      </c>
      <c r="P1014" s="4" t="str">
        <f t="array" ref="P1014">XLOOKUP(O1014,Agregado!$B$2:$B$1511,Agregado!$G$2:$G$1511)</f>
        <v>#N/A</v>
      </c>
    </row>
    <row r="1015" ht="15.75" customHeight="1">
      <c r="B1015" s="13" t="s">
        <v>1934</v>
      </c>
      <c r="C1015" s="7">
        <v>152163.9890000001</v>
      </c>
      <c r="D1015" s="7">
        <v>152108.20500000034</v>
      </c>
      <c r="E1015" s="7">
        <v>155303.9419999999</v>
      </c>
      <c r="F1015" s="7">
        <f t="shared" si="1"/>
        <v>459576.136</v>
      </c>
      <c r="G1015" s="14">
        <f t="shared" si="2"/>
        <v>-0.00814897665</v>
      </c>
      <c r="I1015" s="12"/>
      <c r="J1015" s="12"/>
      <c r="K1015" s="12"/>
      <c r="L1015" s="12"/>
      <c r="M1015" s="12">
        <v>44564.0</v>
      </c>
      <c r="N1015" s="2">
        <v>477.71</v>
      </c>
      <c r="O1015" s="3">
        <v>44621.0</v>
      </c>
      <c r="P1015" s="4" t="str">
        <f t="array" ref="P1015">XLOOKUP(O1015,Agregado!$B$2:$B$1511,Agregado!$G$2:$G$1511)</f>
        <v>#N/A</v>
      </c>
    </row>
    <row r="1016" ht="15.75" customHeight="1">
      <c r="B1016" s="13" t="s">
        <v>1935</v>
      </c>
      <c r="C1016" s="7">
        <v>152560.15000000008</v>
      </c>
      <c r="D1016" s="7">
        <v>151406.06300000034</v>
      </c>
      <c r="E1016" s="7">
        <v>154994.9529999999</v>
      </c>
      <c r="F1016" s="7">
        <f t="shared" si="1"/>
        <v>458961.166</v>
      </c>
      <c r="G1016" s="14">
        <f t="shared" si="2"/>
        <v>-0.001339020398</v>
      </c>
      <c r="I1016" s="12"/>
      <c r="J1016" s="12"/>
      <c r="K1016" s="12"/>
      <c r="L1016" s="12"/>
      <c r="M1016" s="12">
        <v>44565.0</v>
      </c>
      <c r="N1016" s="2">
        <v>477.55</v>
      </c>
      <c r="O1016" s="3">
        <v>44652.0</v>
      </c>
      <c r="P1016" s="4" t="str">
        <f t="array" ref="P1016">XLOOKUP(O1016,Agregado!$B$2:$B$1511,Agregado!$G$2:$G$1511)</f>
        <v>#N/A</v>
      </c>
    </row>
    <row r="1017" ht="15.75" customHeight="1">
      <c r="B1017" s="13" t="s">
        <v>1936</v>
      </c>
      <c r="C1017" s="7">
        <v>153141.89800000007</v>
      </c>
      <c r="D1017" s="7">
        <v>151499.54700000034</v>
      </c>
      <c r="E1017" s="7">
        <v>155181.84799999988</v>
      </c>
      <c r="F1017" s="7">
        <f t="shared" si="1"/>
        <v>459823.293</v>
      </c>
      <c r="G1017" s="14">
        <f t="shared" si="2"/>
        <v>0.001876669211</v>
      </c>
      <c r="I1017" s="12"/>
      <c r="J1017" s="12"/>
      <c r="K1017" s="12"/>
      <c r="L1017" s="12"/>
      <c r="M1017" s="12">
        <v>44566.0</v>
      </c>
      <c r="N1017" s="2">
        <v>468.38</v>
      </c>
      <c r="O1017" s="3">
        <v>44682.0</v>
      </c>
      <c r="P1017" s="4" t="str">
        <f t="array" ref="P1017">XLOOKUP(O1017,Agregado!$B$2:$B$1511,Agregado!$G$2:$G$1511)</f>
        <v>#N/A</v>
      </c>
    </row>
    <row r="1018" ht="15.75" customHeight="1">
      <c r="B1018" s="13" t="s">
        <v>1937</v>
      </c>
      <c r="C1018" s="7">
        <v>152836.62000000008</v>
      </c>
      <c r="D1018" s="7">
        <v>151641.05800000034</v>
      </c>
      <c r="E1018" s="7">
        <v>155270.38399999987</v>
      </c>
      <c r="F1018" s="7">
        <f t="shared" si="1"/>
        <v>459748.062</v>
      </c>
      <c r="G1018" s="14">
        <f t="shared" si="2"/>
        <v>-0.000163621887</v>
      </c>
      <c r="I1018" s="12"/>
      <c r="J1018" s="12"/>
      <c r="K1018" s="12"/>
      <c r="L1018" s="12"/>
      <c r="M1018" s="12">
        <v>44567.0</v>
      </c>
      <c r="N1018" s="2">
        <v>467.94</v>
      </c>
      <c r="O1018" s="3">
        <v>44713.0</v>
      </c>
      <c r="P1018" s="4" t="str">
        <f t="array" ref="P1018">XLOOKUP(O1018,Agregado!$B$2:$B$1511,Agregado!$G$2:$G$1511)</f>
        <v>#N/A</v>
      </c>
    </row>
    <row r="1019" ht="15.75" customHeight="1">
      <c r="B1019" s="13" t="s">
        <v>1938</v>
      </c>
      <c r="C1019" s="7">
        <v>151423.65900000007</v>
      </c>
      <c r="D1019" s="7">
        <v>151782.96900000033</v>
      </c>
      <c r="E1019" s="7">
        <v>155502.00899999987</v>
      </c>
      <c r="F1019" s="7">
        <f t="shared" si="1"/>
        <v>458708.637</v>
      </c>
      <c r="G1019" s="14">
        <f t="shared" si="2"/>
        <v>-0.002263417415</v>
      </c>
      <c r="I1019" s="12"/>
      <c r="J1019" s="12"/>
      <c r="K1019" s="12"/>
      <c r="L1019" s="12"/>
      <c r="M1019" s="12">
        <v>44568.0</v>
      </c>
      <c r="N1019" s="2">
        <v>466.09</v>
      </c>
      <c r="O1019" s="3">
        <v>44743.0</v>
      </c>
      <c r="P1019" s="4" t="str">
        <f t="array" ref="P1019">XLOOKUP(O1019,Agregado!$B$2:$B$1511,Agregado!$G$2:$G$1511)</f>
        <v>#N/A</v>
      </c>
    </row>
    <row r="1020" ht="15.75" customHeight="1">
      <c r="B1020" s="13" t="s">
        <v>1939</v>
      </c>
      <c r="C1020" s="7">
        <v>150518.20900000006</v>
      </c>
      <c r="D1020" s="7">
        <v>151759.65100000033</v>
      </c>
      <c r="E1020" s="7">
        <v>155117.52699999989</v>
      </c>
      <c r="F1020" s="7">
        <f t="shared" si="1"/>
        <v>457395.387</v>
      </c>
      <c r="G1020" s="14">
        <f t="shared" si="2"/>
        <v>-0.002867034453</v>
      </c>
      <c r="I1020" s="12"/>
      <c r="J1020" s="12"/>
      <c r="K1020" s="12"/>
      <c r="L1020" s="12"/>
      <c r="M1020" s="12">
        <v>44571.0</v>
      </c>
      <c r="N1020" s="2">
        <v>465.51</v>
      </c>
      <c r="O1020" s="3">
        <v>44835.0</v>
      </c>
      <c r="P1020" s="4" t="str">
        <f t="array" ref="P1020">XLOOKUP(O1020,Agregado!$B$2:$B$1511,Agregado!$G$2:$G$1511)</f>
        <v>#N/A</v>
      </c>
    </row>
    <row r="1021" ht="15.75" customHeight="1">
      <c r="B1021" s="13" t="s">
        <v>1940</v>
      </c>
      <c r="C1021" s="7">
        <v>150309.08600000007</v>
      </c>
      <c r="D1021" s="7">
        <v>150522.78600000034</v>
      </c>
      <c r="E1021" s="7">
        <v>155329.1679999999</v>
      </c>
      <c r="F1021" s="7">
        <f t="shared" si="1"/>
        <v>456161.04</v>
      </c>
      <c r="G1021" s="14">
        <f t="shared" si="2"/>
        <v>-0.00270229121</v>
      </c>
      <c r="I1021" s="12"/>
      <c r="J1021" s="12"/>
      <c r="K1021" s="12"/>
      <c r="L1021" s="12"/>
      <c r="M1021" s="12">
        <v>44572.0</v>
      </c>
      <c r="N1021" s="2">
        <v>469.75</v>
      </c>
      <c r="O1021" s="3">
        <v>44866.0</v>
      </c>
      <c r="P1021" s="4" t="str">
        <f t="array" ref="P1021">XLOOKUP(O1021,Agregado!$B$2:$B$1511,Agregado!$G$2:$G$1511)</f>
        <v>#N/A</v>
      </c>
    </row>
    <row r="1022" ht="15.75" customHeight="1">
      <c r="B1022" s="13" t="s">
        <v>1941</v>
      </c>
      <c r="C1022" s="7">
        <v>146043.79900000006</v>
      </c>
      <c r="D1022" s="7">
        <v>150568.60300000035</v>
      </c>
      <c r="E1022" s="7">
        <v>155847.0499999999</v>
      </c>
      <c r="F1022" s="7">
        <f t="shared" si="1"/>
        <v>452459.452</v>
      </c>
      <c r="G1022" s="14">
        <f t="shared" si="2"/>
        <v>-0.008147754778</v>
      </c>
      <c r="I1022" s="12"/>
      <c r="J1022" s="12"/>
      <c r="K1022" s="12"/>
      <c r="L1022" s="12"/>
      <c r="M1022" s="12">
        <v>44573.0</v>
      </c>
      <c r="N1022" s="2">
        <v>471.02</v>
      </c>
      <c r="O1022" s="3">
        <v>44896.0</v>
      </c>
      <c r="P1022" s="4" t="str">
        <f t="array" ref="P1022">XLOOKUP(O1022,Agregado!$B$2:$B$1511,Agregado!$G$2:$G$1511)</f>
        <v>#N/A</v>
      </c>
    </row>
    <row r="1023" ht="15.75" customHeight="1">
      <c r="B1023" s="13" t="s">
        <v>1942</v>
      </c>
      <c r="C1023" s="7">
        <v>144982.14300000007</v>
      </c>
      <c r="D1023" s="7">
        <v>149865.31500000035</v>
      </c>
      <c r="E1023" s="7">
        <v>156099.8979999999</v>
      </c>
      <c r="F1023" s="7">
        <f t="shared" si="1"/>
        <v>450947.356</v>
      </c>
      <c r="G1023" s="14">
        <f t="shared" si="2"/>
        <v>-0.003347544868</v>
      </c>
      <c r="I1023" s="12"/>
      <c r="J1023" s="12"/>
      <c r="K1023" s="12"/>
      <c r="L1023" s="12"/>
      <c r="M1023" s="12">
        <v>44574.0</v>
      </c>
      <c r="N1023" s="2">
        <v>464.53</v>
      </c>
      <c r="O1023" s="3" t="s">
        <v>611</v>
      </c>
      <c r="P1023" s="4" t="str">
        <f t="array" ref="P1023">XLOOKUP(O1023,Agregado!$B$2:$B$1511,Agregado!$G$2:$G$1511)</f>
        <v>#N/A</v>
      </c>
    </row>
    <row r="1024" ht="15.75" customHeight="1">
      <c r="B1024" s="13" t="s">
        <v>1943</v>
      </c>
      <c r="C1024" s="7">
        <v>145071.50600000008</v>
      </c>
      <c r="D1024" s="7">
        <v>149708.24900000036</v>
      </c>
      <c r="E1024" s="7">
        <v>156443.9559999999</v>
      </c>
      <c r="F1024" s="7">
        <f t="shared" si="1"/>
        <v>451223.711</v>
      </c>
      <c r="G1024" s="14">
        <f t="shared" si="2"/>
        <v>0.0006126443615</v>
      </c>
      <c r="I1024" s="12"/>
      <c r="J1024" s="12"/>
      <c r="K1024" s="12"/>
      <c r="L1024" s="12"/>
      <c r="M1024" s="12">
        <v>44575.0</v>
      </c>
      <c r="N1024" s="2">
        <v>464.72</v>
      </c>
      <c r="O1024" s="3" t="s">
        <v>612</v>
      </c>
      <c r="P1024" s="4" t="str">
        <f t="array" ref="P1024">XLOOKUP(O1024,Agregado!$B$2:$B$1511,Agregado!$G$2:$G$1511)</f>
        <v>#N/A</v>
      </c>
    </row>
    <row r="1025" ht="15.75" customHeight="1">
      <c r="B1025" s="13" t="s">
        <v>1944</v>
      </c>
      <c r="C1025" s="7">
        <v>143186.5210000001</v>
      </c>
      <c r="D1025" s="7">
        <v>149466.09700000036</v>
      </c>
      <c r="E1025" s="7">
        <v>156961.3819999999</v>
      </c>
      <c r="F1025" s="7">
        <f t="shared" si="1"/>
        <v>449614</v>
      </c>
      <c r="G1025" s="14">
        <f t="shared" si="2"/>
        <v>-0.003573812894</v>
      </c>
      <c r="I1025" s="12"/>
      <c r="J1025" s="12"/>
      <c r="K1025" s="12"/>
      <c r="L1025" s="12"/>
      <c r="M1025" s="12">
        <v>44579.0</v>
      </c>
      <c r="N1025" s="2">
        <v>456.49</v>
      </c>
      <c r="O1025" s="3" t="s">
        <v>613</v>
      </c>
      <c r="P1025" s="4" t="str">
        <f t="array" ref="P1025">XLOOKUP(O1025,Agregado!$B$2:$B$1511,Agregado!$G$2:$G$1511)</f>
        <v>#N/A</v>
      </c>
    </row>
    <row r="1026" ht="15.75" customHeight="1">
      <c r="B1026" s="13" t="s">
        <v>1945</v>
      </c>
      <c r="C1026" s="7">
        <v>143538.18800000008</v>
      </c>
      <c r="D1026" s="7">
        <v>149245.35000000036</v>
      </c>
      <c r="E1026" s="7">
        <v>157882.57599999988</v>
      </c>
      <c r="F1026" s="7">
        <f t="shared" si="1"/>
        <v>450666.114</v>
      </c>
      <c r="G1026" s="14">
        <f t="shared" si="2"/>
        <v>0.002337304718</v>
      </c>
      <c r="I1026" s="12"/>
      <c r="J1026" s="12"/>
      <c r="K1026" s="12"/>
      <c r="L1026" s="12"/>
      <c r="M1026" s="12">
        <v>44580.0</v>
      </c>
      <c r="N1026" s="2">
        <v>451.75</v>
      </c>
      <c r="O1026" s="3" t="s">
        <v>614</v>
      </c>
      <c r="P1026" s="4" t="str">
        <f t="array" ref="P1026">XLOOKUP(O1026,Agregado!$B$2:$B$1511,Agregado!$G$2:$G$1511)</f>
        <v>#N/A</v>
      </c>
    </row>
    <row r="1027" ht="15.75" customHeight="1">
      <c r="B1027" s="13" t="s">
        <v>1946</v>
      </c>
      <c r="C1027" s="7">
        <v>142365.74600000007</v>
      </c>
      <c r="D1027" s="7">
        <v>149921.33900000036</v>
      </c>
      <c r="E1027" s="7">
        <v>158696.6619999999</v>
      </c>
      <c r="F1027" s="7">
        <f t="shared" si="1"/>
        <v>450983.747</v>
      </c>
      <c r="G1027" s="14">
        <f t="shared" si="2"/>
        <v>0.0007045595566</v>
      </c>
      <c r="I1027" s="12"/>
      <c r="J1027" s="12"/>
      <c r="K1027" s="12"/>
      <c r="L1027" s="12"/>
      <c r="M1027" s="12">
        <v>44581.0</v>
      </c>
      <c r="N1027" s="2">
        <v>446.75</v>
      </c>
      <c r="O1027" s="3" t="s">
        <v>615</v>
      </c>
      <c r="P1027" s="4" t="str">
        <f t="array" ref="P1027">XLOOKUP(O1027,Agregado!$B$2:$B$1511,Agregado!$G$2:$G$1511)</f>
        <v>#N/A</v>
      </c>
    </row>
    <row r="1028" ht="15.75" customHeight="1">
      <c r="B1028" s="13" t="s">
        <v>1947</v>
      </c>
      <c r="C1028" s="7">
        <v>140934.88900000008</v>
      </c>
      <c r="D1028" s="7">
        <v>150095.52900000036</v>
      </c>
      <c r="E1028" s="7">
        <v>160104.4869999999</v>
      </c>
      <c r="F1028" s="7">
        <f t="shared" si="1"/>
        <v>451134.905</v>
      </c>
      <c r="G1028" s="14">
        <f t="shared" si="2"/>
        <v>0.0003351177832</v>
      </c>
      <c r="I1028" s="12"/>
      <c r="J1028" s="12"/>
      <c r="K1028" s="12"/>
      <c r="L1028" s="12"/>
      <c r="M1028" s="12">
        <v>44582.0</v>
      </c>
      <c r="N1028" s="2">
        <v>437.98</v>
      </c>
      <c r="O1028" s="3" t="s">
        <v>616</v>
      </c>
      <c r="P1028" s="4" t="str">
        <f t="array" ref="P1028">XLOOKUP(O1028,Agregado!$B$2:$B$1511,Agregado!$G$2:$G$1511)</f>
        <v>#N/A</v>
      </c>
    </row>
    <row r="1029" ht="15.75" customHeight="1">
      <c r="B1029" s="13" t="s">
        <v>1948</v>
      </c>
      <c r="C1029" s="7">
        <v>137268.95400000009</v>
      </c>
      <c r="D1029" s="7">
        <v>152456.24000000037</v>
      </c>
      <c r="E1029" s="7">
        <v>160404.4249999999</v>
      </c>
      <c r="F1029" s="7">
        <f t="shared" si="1"/>
        <v>450129.619</v>
      </c>
      <c r="G1029" s="14">
        <f t="shared" si="2"/>
        <v>-0.002230835432</v>
      </c>
      <c r="I1029" s="12"/>
      <c r="J1029" s="12"/>
      <c r="K1029" s="12"/>
      <c r="L1029" s="12"/>
      <c r="M1029" s="12">
        <v>44585.0</v>
      </c>
      <c r="N1029" s="2">
        <v>439.84</v>
      </c>
      <c r="O1029" s="3" t="s">
        <v>617</v>
      </c>
      <c r="P1029" s="4" t="str">
        <f t="array" ref="P1029">XLOOKUP(O1029,Agregado!$B$2:$B$1511,Agregado!$G$2:$G$1511)</f>
        <v>#N/A</v>
      </c>
    </row>
    <row r="1030" ht="15.75" customHeight="1">
      <c r="B1030" s="13" t="s">
        <v>1949</v>
      </c>
      <c r="C1030" s="7">
        <v>135479.55000000008</v>
      </c>
      <c r="D1030" s="7">
        <v>152944.37100000036</v>
      </c>
      <c r="E1030" s="7">
        <v>160471.9089999999</v>
      </c>
      <c r="F1030" s="7">
        <f t="shared" si="1"/>
        <v>448895.83</v>
      </c>
      <c r="G1030" s="14">
        <f t="shared" si="2"/>
        <v>-0.00274472714</v>
      </c>
      <c r="I1030" s="12"/>
      <c r="J1030" s="12"/>
      <c r="K1030" s="12"/>
      <c r="L1030" s="12"/>
      <c r="M1030" s="12">
        <v>44586.0</v>
      </c>
      <c r="N1030" s="2">
        <v>434.47</v>
      </c>
      <c r="O1030" s="3" t="s">
        <v>618</v>
      </c>
      <c r="P1030" s="4" t="str">
        <f t="array" ref="P1030">XLOOKUP(O1030,Agregado!$B$2:$B$1511,Agregado!$G$2:$G$1511)</f>
        <v>#N/A</v>
      </c>
    </row>
    <row r="1031" ht="15.75" customHeight="1">
      <c r="B1031" s="13" t="s">
        <v>1950</v>
      </c>
      <c r="C1031" s="7">
        <v>128524.39600000008</v>
      </c>
      <c r="D1031" s="7">
        <v>153328.69400000037</v>
      </c>
      <c r="E1031" s="7">
        <v>160706.7889999999</v>
      </c>
      <c r="F1031" s="7">
        <f t="shared" si="1"/>
        <v>442559.879</v>
      </c>
      <c r="G1031" s="14">
        <f t="shared" si="2"/>
        <v>-0.0142150813</v>
      </c>
      <c r="I1031" s="12"/>
      <c r="J1031" s="12"/>
      <c r="K1031" s="12"/>
      <c r="L1031" s="12"/>
      <c r="M1031" s="12">
        <v>44587.0</v>
      </c>
      <c r="N1031" s="2">
        <v>433.38</v>
      </c>
      <c r="O1031" s="3" t="s">
        <v>619</v>
      </c>
      <c r="P1031" s="4" t="str">
        <f t="array" ref="P1031">XLOOKUP(O1031,Agregado!$B$2:$B$1511,Agregado!$G$2:$G$1511)</f>
        <v>#N/A</v>
      </c>
    </row>
    <row r="1032" ht="15.75" customHeight="1">
      <c r="B1032" s="13" t="s">
        <v>1951</v>
      </c>
      <c r="C1032" s="7">
        <v>127073.95900000008</v>
      </c>
      <c r="D1032" s="7">
        <v>152532.00800000038</v>
      </c>
      <c r="E1032" s="7">
        <v>166619.6169999999</v>
      </c>
      <c r="F1032" s="7">
        <f t="shared" si="1"/>
        <v>446225.584</v>
      </c>
      <c r="G1032" s="14">
        <f t="shared" si="2"/>
        <v>0.008248842804</v>
      </c>
      <c r="I1032" s="12"/>
      <c r="J1032" s="12"/>
      <c r="K1032" s="12"/>
      <c r="L1032" s="12"/>
      <c r="M1032" s="12">
        <v>44588.0</v>
      </c>
      <c r="N1032" s="2">
        <v>431.24</v>
      </c>
      <c r="O1032" s="3" t="s">
        <v>620</v>
      </c>
      <c r="P1032" s="4" t="str">
        <f t="array" ref="P1032">XLOOKUP(O1032,Agregado!$B$2:$B$1511,Agregado!$G$2:$G$1511)</f>
        <v>#N/A</v>
      </c>
    </row>
    <row r="1033" ht="15.75" customHeight="1">
      <c r="B1033" s="13" t="s">
        <v>1952</v>
      </c>
      <c r="C1033" s="7">
        <v>130596.96400000008</v>
      </c>
      <c r="D1033" s="7">
        <v>152348.19100000037</v>
      </c>
      <c r="E1033" s="7">
        <v>171778.35299999992</v>
      </c>
      <c r="F1033" s="7">
        <f t="shared" si="1"/>
        <v>454723.508</v>
      </c>
      <c r="G1033" s="14">
        <f t="shared" si="2"/>
        <v>0.01886494165</v>
      </c>
      <c r="I1033" s="12"/>
      <c r="J1033" s="12"/>
      <c r="K1033" s="12"/>
      <c r="L1033" s="12"/>
      <c r="M1033" s="12">
        <v>44589.0</v>
      </c>
      <c r="N1033" s="2">
        <v>441.95</v>
      </c>
      <c r="O1033" s="3" t="s">
        <v>621</v>
      </c>
      <c r="P1033" s="4" t="str">
        <f t="array" ref="P1033">XLOOKUP(O1033,Agregado!$B$2:$B$1511,Agregado!$G$2:$G$1511)</f>
        <v>#N/A</v>
      </c>
    </row>
    <row r="1034" ht="15.75" customHeight="1">
      <c r="B1034" s="13" t="s">
        <v>1953</v>
      </c>
      <c r="C1034" s="7">
        <v>132114.72700000007</v>
      </c>
      <c r="D1034" s="7">
        <v>157011.09100000036</v>
      </c>
      <c r="E1034" s="7">
        <v>171777.3019999999</v>
      </c>
      <c r="F1034" s="7">
        <f t="shared" si="1"/>
        <v>460903.12</v>
      </c>
      <c r="G1034" s="14">
        <f t="shared" si="2"/>
        <v>0.01349830955</v>
      </c>
      <c r="I1034" s="12"/>
      <c r="J1034" s="12"/>
      <c r="K1034" s="12"/>
      <c r="L1034" s="12"/>
      <c r="M1034" s="12">
        <v>44592.0</v>
      </c>
      <c r="N1034" s="2">
        <v>449.91</v>
      </c>
      <c r="O1034" s="3" t="s">
        <v>622</v>
      </c>
      <c r="P1034" s="4" t="str">
        <f t="array" ref="P1034">XLOOKUP(O1034,Agregado!$B$2:$B$1511,Agregado!$G$2:$G$1511)</f>
        <v>#N/A</v>
      </c>
    </row>
    <row r="1035" ht="15.75" customHeight="1">
      <c r="B1035" s="13" t="s">
        <v>1954</v>
      </c>
      <c r="C1035" s="7">
        <v>131239.61900000006</v>
      </c>
      <c r="D1035" s="7">
        <v>157078.70200000037</v>
      </c>
      <c r="E1035" s="7">
        <v>174854.5249999999</v>
      </c>
      <c r="F1035" s="7">
        <f t="shared" si="1"/>
        <v>463172.846</v>
      </c>
      <c r="G1035" s="14">
        <f t="shared" si="2"/>
        <v>0.004912432847</v>
      </c>
      <c r="I1035" s="12"/>
      <c r="J1035" s="12"/>
      <c r="K1035" s="12"/>
      <c r="L1035" s="12"/>
      <c r="M1035" s="12">
        <v>44593.0</v>
      </c>
      <c r="N1035" s="2">
        <v>452.95</v>
      </c>
      <c r="O1035" s="3">
        <v>44563.0</v>
      </c>
      <c r="P1035" s="4" t="str">
        <f t="array" ref="P1035">XLOOKUP(O1035,Agregado!$B$2:$B$1511,Agregado!$G$2:$G$1511)</f>
        <v>#N/A</v>
      </c>
    </row>
    <row r="1036" ht="15.75" customHeight="1">
      <c r="B1036" s="13" t="s">
        <v>1955</v>
      </c>
      <c r="C1036" s="7">
        <v>131530.24800000005</v>
      </c>
      <c r="D1036" s="7">
        <v>157056.24800000037</v>
      </c>
      <c r="E1036" s="7">
        <v>174757.05099999992</v>
      </c>
      <c r="F1036" s="7">
        <f t="shared" si="1"/>
        <v>463343.547</v>
      </c>
      <c r="G1036" s="14">
        <f t="shared" si="2"/>
        <v>0.0003684791834</v>
      </c>
      <c r="I1036" s="12"/>
      <c r="J1036" s="12"/>
      <c r="K1036" s="12"/>
      <c r="L1036" s="12"/>
      <c r="M1036" s="12">
        <v>44594.0</v>
      </c>
      <c r="N1036" s="2">
        <v>457.35</v>
      </c>
      <c r="O1036" s="3">
        <v>44594.0</v>
      </c>
      <c r="P1036" s="4" t="str">
        <f t="array" ref="P1036">XLOOKUP(O1036,Agregado!$B$2:$B$1511,Agregado!$G$2:$G$1511)</f>
        <v>#N/A</v>
      </c>
    </row>
    <row r="1037" ht="15.75" customHeight="1">
      <c r="B1037" s="13" t="s">
        <v>1956</v>
      </c>
      <c r="C1037" s="7">
        <v>129884.52900000005</v>
      </c>
      <c r="D1037" s="7">
        <v>157237.39300000036</v>
      </c>
      <c r="E1037" s="7">
        <v>174935.07799999992</v>
      </c>
      <c r="F1037" s="7">
        <f t="shared" si="1"/>
        <v>462057</v>
      </c>
      <c r="G1037" s="14">
        <f t="shared" si="2"/>
        <v>-0.002780521004</v>
      </c>
      <c r="I1037" s="12"/>
      <c r="J1037" s="12"/>
      <c r="K1037" s="12"/>
      <c r="L1037" s="12"/>
      <c r="M1037" s="12">
        <v>44595.0</v>
      </c>
      <c r="N1037" s="2">
        <v>446.6</v>
      </c>
      <c r="O1037" s="3">
        <v>44622.0</v>
      </c>
      <c r="P1037" s="4" t="str">
        <f t="array" ref="P1037">XLOOKUP(O1037,Agregado!$B$2:$B$1511,Agregado!$G$2:$G$1511)</f>
        <v>#N/A</v>
      </c>
    </row>
    <row r="1038" ht="15.75" customHeight="1">
      <c r="B1038" s="13" t="s">
        <v>1957</v>
      </c>
      <c r="C1038" s="7">
        <v>130593.61400000006</v>
      </c>
      <c r="D1038" s="7">
        <v>162682.39200000037</v>
      </c>
      <c r="E1038" s="7">
        <v>174982.2069999999</v>
      </c>
      <c r="F1038" s="7">
        <f t="shared" si="1"/>
        <v>468258.213</v>
      </c>
      <c r="G1038" s="14">
        <f t="shared" si="2"/>
        <v>0.01333162085</v>
      </c>
      <c r="I1038" s="12"/>
      <c r="J1038" s="12"/>
      <c r="K1038" s="12"/>
      <c r="L1038" s="12"/>
      <c r="M1038" s="12">
        <v>44596.0</v>
      </c>
      <c r="N1038" s="2">
        <v>448.7</v>
      </c>
      <c r="O1038" s="3">
        <v>44653.0</v>
      </c>
      <c r="P1038" s="4" t="str">
        <f t="array" ref="P1038">XLOOKUP(O1038,Agregado!$B$2:$B$1511,Agregado!$G$2:$G$1511)</f>
        <v>#N/A</v>
      </c>
    </row>
    <row r="1039" ht="15.75" customHeight="1">
      <c r="B1039" s="13" t="s">
        <v>1958</v>
      </c>
      <c r="C1039" s="7">
        <v>130593.61400000006</v>
      </c>
      <c r="D1039" s="7">
        <v>162750.07600000038</v>
      </c>
      <c r="E1039" s="7">
        <v>175020.1089999999</v>
      </c>
      <c r="F1039" s="7">
        <f t="shared" si="1"/>
        <v>468363.799</v>
      </c>
      <c r="G1039" s="14">
        <f t="shared" si="2"/>
        <v>0.0002254612834</v>
      </c>
      <c r="I1039" s="12"/>
      <c r="J1039" s="12"/>
      <c r="K1039" s="12"/>
      <c r="L1039" s="12"/>
      <c r="M1039" s="12">
        <v>44599.0</v>
      </c>
      <c r="N1039" s="2">
        <v>447.26</v>
      </c>
      <c r="O1039" s="3">
        <v>44744.0</v>
      </c>
      <c r="P1039" s="4" t="str">
        <f t="array" ref="P1039">XLOOKUP(O1039,Agregado!$B$2:$B$1511,Agregado!$G$2:$G$1511)</f>
        <v>#N/A</v>
      </c>
    </row>
    <row r="1040" ht="15.75" customHeight="1">
      <c r="B1040" s="13" t="s">
        <v>1959</v>
      </c>
      <c r="C1040" s="7">
        <v>129249.30700000006</v>
      </c>
      <c r="D1040" s="7">
        <v>163192.7600000004</v>
      </c>
      <c r="E1040" s="7">
        <v>175005.47999999992</v>
      </c>
      <c r="F1040" s="7">
        <f t="shared" si="1"/>
        <v>467447.547</v>
      </c>
      <c r="G1040" s="14">
        <f t="shared" si="2"/>
        <v>-0.001958198726</v>
      </c>
      <c r="I1040" s="12"/>
      <c r="J1040" s="12"/>
      <c r="K1040" s="12"/>
      <c r="L1040" s="12"/>
      <c r="M1040" s="12">
        <v>44600.0</v>
      </c>
      <c r="N1040" s="2">
        <v>450.94</v>
      </c>
      <c r="O1040" s="3">
        <v>44775.0</v>
      </c>
      <c r="P1040" s="4" t="str">
        <f t="array" ref="P1040">XLOOKUP(O1040,Agregado!$B$2:$B$1511,Agregado!$G$2:$G$1511)</f>
        <v>#N/A</v>
      </c>
    </row>
    <row r="1041" ht="15.75" customHeight="1">
      <c r="B1041" s="13" t="s">
        <v>1960</v>
      </c>
      <c r="C1041" s="7">
        <v>126790.36600000005</v>
      </c>
      <c r="D1041" s="7">
        <v>163236.8620000004</v>
      </c>
      <c r="E1041" s="7">
        <v>174777.12099999993</v>
      </c>
      <c r="F1041" s="7">
        <f t="shared" si="1"/>
        <v>464804.349</v>
      </c>
      <c r="G1041" s="14">
        <f t="shared" si="2"/>
        <v>-0.005670581297</v>
      </c>
      <c r="I1041" s="12"/>
      <c r="J1041" s="12"/>
      <c r="K1041" s="12"/>
      <c r="L1041" s="12"/>
      <c r="M1041" s="12">
        <v>44601.0</v>
      </c>
      <c r="N1041" s="2">
        <v>457.54</v>
      </c>
      <c r="O1041" s="3">
        <v>44806.0</v>
      </c>
      <c r="P1041" s="4" t="str">
        <f t="array" ref="P1041">XLOOKUP(O1041,Agregado!$B$2:$B$1511,Agregado!$G$2:$G$1511)</f>
        <v>#N/A</v>
      </c>
    </row>
    <row r="1042" ht="15.75" customHeight="1">
      <c r="B1042" s="13" t="s">
        <v>1961</v>
      </c>
      <c r="C1042" s="7">
        <v>126054.36500000005</v>
      </c>
      <c r="D1042" s="7">
        <v>162945.6480000004</v>
      </c>
      <c r="E1042" s="7">
        <v>174983.56399999993</v>
      </c>
      <c r="F1042" s="7">
        <f t="shared" si="1"/>
        <v>463983.577</v>
      </c>
      <c r="G1042" s="14">
        <f t="shared" si="2"/>
        <v>-0.001767405003</v>
      </c>
      <c r="I1042" s="12"/>
      <c r="J1042" s="12"/>
      <c r="K1042" s="12"/>
      <c r="L1042" s="12"/>
      <c r="M1042" s="12">
        <v>44602.0</v>
      </c>
      <c r="N1042" s="2">
        <v>449.32</v>
      </c>
      <c r="O1042" s="3">
        <v>44836.0</v>
      </c>
      <c r="P1042" s="4" t="str">
        <f t="array" ref="P1042">XLOOKUP(O1042,Agregado!$B$2:$B$1511,Agregado!$G$2:$G$1511)</f>
        <v>#N/A</v>
      </c>
    </row>
    <row r="1043" ht="15.75" customHeight="1">
      <c r="B1043" s="13" t="s">
        <v>1962</v>
      </c>
      <c r="C1043" s="7">
        <v>126411.57500000006</v>
      </c>
      <c r="D1043" s="7">
        <v>162878.3770000004</v>
      </c>
      <c r="E1043" s="7">
        <v>174745.04799999992</v>
      </c>
      <c r="F1043" s="7">
        <f t="shared" si="1"/>
        <v>464035</v>
      </c>
      <c r="G1043" s="14">
        <f t="shared" si="2"/>
        <v>0.0001108232127</v>
      </c>
      <c r="I1043" s="12"/>
      <c r="J1043" s="12"/>
      <c r="K1043" s="12"/>
      <c r="L1043" s="12"/>
      <c r="M1043" s="12">
        <v>44603.0</v>
      </c>
      <c r="N1043" s="2">
        <v>440.46</v>
      </c>
      <c r="O1043" s="3">
        <v>44867.0</v>
      </c>
      <c r="P1043" s="4" t="str">
        <f t="array" ref="P1043">XLOOKUP(O1043,Agregado!$B$2:$B$1511,Agregado!$G$2:$G$1511)</f>
        <v>#N/A</v>
      </c>
    </row>
    <row r="1044" ht="15.75" customHeight="1">
      <c r="B1044" s="13" t="s">
        <v>1963</v>
      </c>
      <c r="C1044" s="7">
        <v>128269.35300000006</v>
      </c>
      <c r="D1044" s="7">
        <v>162790.57000000039</v>
      </c>
      <c r="E1044" s="7">
        <v>174669.48999999993</v>
      </c>
      <c r="F1044" s="7">
        <f t="shared" si="1"/>
        <v>465729.413</v>
      </c>
      <c r="G1044" s="14">
        <f t="shared" si="2"/>
        <v>0.003644826264</v>
      </c>
      <c r="I1044" s="12"/>
      <c r="J1044" s="12"/>
      <c r="K1044" s="12"/>
      <c r="L1044" s="12"/>
      <c r="M1044" s="12">
        <v>44606.0</v>
      </c>
      <c r="N1044" s="2">
        <v>439.02</v>
      </c>
      <c r="O1044" s="3" t="s">
        <v>623</v>
      </c>
      <c r="P1044" s="4" t="str">
        <f t="array" ref="P1044">XLOOKUP(O1044,Agregado!$B$2:$B$1511,Agregado!$G$2:$G$1511)</f>
        <v>#N/A</v>
      </c>
    </row>
    <row r="1045" ht="15.75" customHeight="1">
      <c r="B1045" s="13" t="s">
        <v>1964</v>
      </c>
      <c r="C1045" s="7">
        <v>122604.91100000007</v>
      </c>
      <c r="D1045" s="7">
        <v>162703.38000000038</v>
      </c>
      <c r="E1045" s="7">
        <v>174766.24799999993</v>
      </c>
      <c r="F1045" s="7">
        <f t="shared" si="1"/>
        <v>460074.539</v>
      </c>
      <c r="G1045" s="14">
        <f t="shared" si="2"/>
        <v>-0.01221628902</v>
      </c>
      <c r="I1045" s="12"/>
      <c r="J1045" s="12"/>
      <c r="K1045" s="12"/>
      <c r="L1045" s="12"/>
      <c r="M1045" s="12">
        <v>44607.0</v>
      </c>
      <c r="N1045" s="2">
        <v>446.1</v>
      </c>
      <c r="O1045" s="3" t="s">
        <v>624</v>
      </c>
      <c r="P1045" s="4" t="str">
        <f t="array" ref="P1045">XLOOKUP(O1045,Agregado!$B$2:$B$1511,Agregado!$G$2:$G$1511)</f>
        <v>#N/A</v>
      </c>
    </row>
    <row r="1046" ht="15.75" customHeight="1">
      <c r="B1046" s="13" t="s">
        <v>1965</v>
      </c>
      <c r="C1046" s="7">
        <v>127481.62000000007</v>
      </c>
      <c r="D1046" s="7">
        <v>162703.38000000038</v>
      </c>
      <c r="E1046" s="7">
        <v>175114.88899999994</v>
      </c>
      <c r="F1046" s="7">
        <f t="shared" si="1"/>
        <v>465299.889</v>
      </c>
      <c r="G1046" s="14">
        <f t="shared" si="2"/>
        <v>0.01129360263</v>
      </c>
      <c r="I1046" s="12"/>
      <c r="J1046" s="12"/>
      <c r="K1046" s="12"/>
      <c r="L1046" s="12"/>
      <c r="M1046" s="12">
        <v>44608.0</v>
      </c>
      <c r="N1046" s="2">
        <v>446.6</v>
      </c>
      <c r="O1046" s="3" t="s">
        <v>625</v>
      </c>
      <c r="P1046" s="4" t="str">
        <f t="array" ref="P1046">XLOOKUP(O1046,Agregado!$B$2:$B$1511,Agregado!$G$2:$G$1511)</f>
        <v>#N/A</v>
      </c>
    </row>
    <row r="1047" ht="15.75" customHeight="1">
      <c r="B1047" s="13" t="s">
        <v>1966</v>
      </c>
      <c r="C1047" s="7">
        <v>129421.75700000007</v>
      </c>
      <c r="D1047" s="7">
        <v>162067.9930000004</v>
      </c>
      <c r="E1047" s="7">
        <v>175417.85799999995</v>
      </c>
      <c r="F1047" s="7">
        <f t="shared" si="1"/>
        <v>466907.608</v>
      </c>
      <c r="G1047" s="14">
        <f t="shared" si="2"/>
        <v>0.003449276259</v>
      </c>
      <c r="I1047" s="12"/>
      <c r="J1047" s="12"/>
      <c r="K1047" s="12"/>
      <c r="L1047" s="12"/>
      <c r="M1047" s="12">
        <v>44609.0</v>
      </c>
      <c r="N1047" s="2">
        <v>437.06</v>
      </c>
      <c r="O1047" s="3" t="s">
        <v>626</v>
      </c>
      <c r="P1047" s="4" t="str">
        <f t="array" ref="P1047">XLOOKUP(O1047,Agregado!$B$2:$B$1511,Agregado!$G$2:$G$1511)</f>
        <v>#N/A</v>
      </c>
    </row>
    <row r="1048" ht="15.75" customHeight="1">
      <c r="B1048" s="13" t="s">
        <v>1967</v>
      </c>
      <c r="C1048" s="7">
        <v>126296.65100000007</v>
      </c>
      <c r="D1048" s="7">
        <v>161638.0330000004</v>
      </c>
      <c r="E1048" s="7">
        <v>175755.56199999995</v>
      </c>
      <c r="F1048" s="7">
        <f t="shared" si="1"/>
        <v>463690.246</v>
      </c>
      <c r="G1048" s="14">
        <f t="shared" si="2"/>
        <v>-0.00691464053</v>
      </c>
      <c r="I1048" s="12"/>
      <c r="J1048" s="12"/>
      <c r="K1048" s="12"/>
      <c r="L1048" s="12"/>
      <c r="M1048" s="12">
        <v>44610.0</v>
      </c>
      <c r="N1048" s="2">
        <v>434.23</v>
      </c>
      <c r="O1048" s="3" t="s">
        <v>627</v>
      </c>
      <c r="P1048" s="4" t="str">
        <f t="array" ref="P1048">XLOOKUP(O1048,Agregado!$B$2:$B$1511,Agregado!$G$2:$G$1511)</f>
        <v>#N/A</v>
      </c>
    </row>
    <row r="1049" ht="15.75" customHeight="1">
      <c r="B1049" s="13" t="s">
        <v>1968</v>
      </c>
      <c r="C1049" s="7">
        <v>133278.01900000006</v>
      </c>
      <c r="D1049" s="7">
        <v>161989.7350000004</v>
      </c>
      <c r="E1049" s="7">
        <v>176818.50799999994</v>
      </c>
      <c r="F1049" s="7">
        <f t="shared" si="1"/>
        <v>472086.262</v>
      </c>
      <c r="G1049" s="14">
        <f t="shared" si="2"/>
        <v>0.01794497134</v>
      </c>
      <c r="I1049" s="12"/>
      <c r="J1049" s="12"/>
      <c r="K1049" s="12"/>
      <c r="L1049" s="12"/>
      <c r="M1049" s="12">
        <v>44614.0</v>
      </c>
      <c r="N1049" s="2">
        <v>429.57</v>
      </c>
      <c r="O1049" s="3" t="s">
        <v>628</v>
      </c>
      <c r="P1049" s="4" t="str">
        <f t="array" ref="P1049">XLOOKUP(O1049,Agregado!$B$2:$B$1511,Agregado!$G$2:$G$1511)</f>
        <v>#N/A</v>
      </c>
    </row>
    <row r="1050" ht="15.75" customHeight="1">
      <c r="B1050" s="13" t="s">
        <v>1969</v>
      </c>
      <c r="C1050" s="7">
        <v>132033.47000000006</v>
      </c>
      <c r="D1050" s="7">
        <v>161660.7860000004</v>
      </c>
      <c r="E1050" s="7">
        <v>176774.65599999993</v>
      </c>
      <c r="F1050" s="7">
        <f t="shared" si="1"/>
        <v>470468.912</v>
      </c>
      <c r="G1050" s="14">
        <f t="shared" si="2"/>
        <v>-0.003431844908</v>
      </c>
      <c r="I1050" s="12"/>
      <c r="J1050" s="12"/>
      <c r="K1050" s="12"/>
      <c r="L1050" s="12"/>
      <c r="M1050" s="12">
        <v>44615.0</v>
      </c>
      <c r="N1050" s="2">
        <v>421.95</v>
      </c>
      <c r="O1050" s="3" t="s">
        <v>629</v>
      </c>
      <c r="P1050" s="4" t="str">
        <f t="array" ref="P1050">XLOOKUP(O1050,Agregado!$B$2:$B$1511,Agregado!$G$2:$G$1511)</f>
        <v>#N/A</v>
      </c>
    </row>
    <row r="1051" ht="15.75" customHeight="1">
      <c r="B1051" s="13" t="s">
        <v>1970</v>
      </c>
      <c r="C1051" s="7">
        <v>129883.72000000006</v>
      </c>
      <c r="D1051" s="7">
        <v>161250.5530000004</v>
      </c>
      <c r="E1051" s="7">
        <v>176858.56299999994</v>
      </c>
      <c r="F1051" s="7">
        <f t="shared" si="1"/>
        <v>467992.836</v>
      </c>
      <c r="G1051" s="14">
        <f t="shared" si="2"/>
        <v>-0.005276894345</v>
      </c>
      <c r="I1051" s="12"/>
      <c r="J1051" s="12"/>
      <c r="K1051" s="12"/>
      <c r="L1051" s="12"/>
      <c r="M1051" s="12">
        <v>44616.0</v>
      </c>
      <c r="N1051" s="2">
        <v>428.3</v>
      </c>
      <c r="O1051" s="3" t="s">
        <v>630</v>
      </c>
      <c r="P1051" s="4" t="str">
        <f t="array" ref="P1051">XLOOKUP(O1051,Agregado!$B$2:$B$1511,Agregado!$G$2:$G$1511)</f>
        <v>#N/A</v>
      </c>
    </row>
    <row r="1052" ht="15.75" customHeight="1">
      <c r="B1052" s="13" t="s">
        <v>1971</v>
      </c>
      <c r="C1052" s="7">
        <v>129555.24700000006</v>
      </c>
      <c r="D1052" s="7">
        <v>161382.51900000038</v>
      </c>
      <c r="E1052" s="7">
        <v>176844.71599999993</v>
      </c>
      <c r="F1052" s="7">
        <f t="shared" si="1"/>
        <v>467782.482</v>
      </c>
      <c r="G1052" s="14">
        <f t="shared" si="2"/>
        <v>-0.0004495822865</v>
      </c>
      <c r="I1052" s="12"/>
      <c r="J1052" s="12"/>
      <c r="K1052" s="12"/>
      <c r="L1052" s="12"/>
      <c r="M1052" s="12">
        <v>44617.0</v>
      </c>
      <c r="N1052" s="2">
        <v>437.75</v>
      </c>
      <c r="O1052" s="3" t="s">
        <v>631</v>
      </c>
      <c r="P1052" s="4" t="str">
        <f t="array" ref="P1052">XLOOKUP(O1052,Agregado!$B$2:$B$1511,Agregado!$G$2:$G$1511)</f>
        <v>#N/A</v>
      </c>
    </row>
    <row r="1053" ht="15.75" customHeight="1">
      <c r="B1053" s="13" t="s">
        <v>1972</v>
      </c>
      <c r="C1053" s="7">
        <v>130993.12100000006</v>
      </c>
      <c r="D1053" s="7">
        <v>161535.6890000004</v>
      </c>
      <c r="E1053" s="7">
        <v>176867.51399999994</v>
      </c>
      <c r="F1053" s="7">
        <f t="shared" si="1"/>
        <v>469396.324</v>
      </c>
      <c r="G1053" s="14">
        <f t="shared" si="2"/>
        <v>0.003444046291</v>
      </c>
      <c r="I1053" s="12"/>
      <c r="J1053" s="12"/>
      <c r="K1053" s="12"/>
      <c r="L1053" s="12"/>
      <c r="M1053" s="12">
        <v>44620.0</v>
      </c>
      <c r="N1053" s="2">
        <v>436.63</v>
      </c>
      <c r="O1053" s="3" t="s">
        <v>632</v>
      </c>
      <c r="P1053" s="4" t="str">
        <f t="array" ref="P1053">XLOOKUP(O1053,Agregado!$B$2:$B$1511,Agregado!$G$2:$G$1511)</f>
        <v>#N/A</v>
      </c>
    </row>
    <row r="1054" ht="15.75" customHeight="1">
      <c r="B1054" s="13" t="s">
        <v>1973</v>
      </c>
      <c r="C1054" s="7">
        <v>130712.12800000006</v>
      </c>
      <c r="D1054" s="7">
        <v>161839.6210000004</v>
      </c>
      <c r="E1054" s="7">
        <v>177042.28899999993</v>
      </c>
      <c r="F1054" s="7">
        <f t="shared" si="1"/>
        <v>469594.038</v>
      </c>
      <c r="G1054" s="14">
        <f t="shared" si="2"/>
        <v>0.0004211204096</v>
      </c>
      <c r="I1054" s="12"/>
      <c r="J1054" s="12"/>
      <c r="K1054" s="12"/>
      <c r="L1054" s="12"/>
      <c r="M1054" s="12">
        <v>44621.0</v>
      </c>
      <c r="N1054" s="2">
        <v>429.98</v>
      </c>
      <c r="O1054" s="3">
        <v>44564.0</v>
      </c>
      <c r="P1054" s="4" t="str">
        <f t="array" ref="P1054">XLOOKUP(O1054,Agregado!$B$2:$B$1511,Agregado!$G$2:$G$1511)</f>
        <v>#N/A</v>
      </c>
    </row>
    <row r="1055" ht="15.75" customHeight="1">
      <c r="B1055" s="13" t="s">
        <v>1974</v>
      </c>
      <c r="C1055" s="7">
        <v>136103.61800000005</v>
      </c>
      <c r="D1055" s="7">
        <v>162050.3090000004</v>
      </c>
      <c r="E1055" s="7">
        <v>177237.80999999994</v>
      </c>
      <c r="F1055" s="7">
        <f t="shared" si="1"/>
        <v>475391.737</v>
      </c>
      <c r="G1055" s="14">
        <f t="shared" si="2"/>
        <v>0.0122706011</v>
      </c>
      <c r="I1055" s="12"/>
      <c r="J1055" s="12"/>
      <c r="K1055" s="12"/>
      <c r="L1055" s="12"/>
      <c r="M1055" s="12">
        <v>44622.0</v>
      </c>
      <c r="N1055" s="2">
        <v>437.89</v>
      </c>
      <c r="O1055" s="3">
        <v>44595.0</v>
      </c>
      <c r="P1055" s="4" t="str">
        <f t="array" ref="P1055">XLOOKUP(O1055,Agregado!$B$2:$B$1511,Agregado!$G$2:$G$1511)</f>
        <v>#N/A</v>
      </c>
    </row>
    <row r="1056" ht="15.75" customHeight="1">
      <c r="B1056" s="13" t="s">
        <v>1975</v>
      </c>
      <c r="C1056" s="7">
        <v>133854.22500000003</v>
      </c>
      <c r="D1056" s="7">
        <v>161882.97300000038</v>
      </c>
      <c r="E1056" s="7">
        <v>177881.49299999993</v>
      </c>
      <c r="F1056" s="7">
        <f t="shared" si="1"/>
        <v>473618.691</v>
      </c>
      <c r="G1056" s="14">
        <f t="shared" si="2"/>
        <v>-0.003736625037</v>
      </c>
      <c r="I1056" s="12"/>
      <c r="J1056" s="12"/>
      <c r="K1056" s="12"/>
      <c r="L1056" s="12"/>
      <c r="M1056" s="12">
        <v>44623.0</v>
      </c>
      <c r="N1056" s="2">
        <v>435.71</v>
      </c>
      <c r="O1056" s="3">
        <v>44623.0</v>
      </c>
      <c r="P1056" s="4" t="str">
        <f t="array" ref="P1056">XLOOKUP(O1056,Agregado!$B$2:$B$1511,Agregado!$G$2:$G$1511)</f>
        <v>#N/A</v>
      </c>
    </row>
    <row r="1057" ht="15.75" customHeight="1">
      <c r="B1057" s="13" t="s">
        <v>1976</v>
      </c>
      <c r="C1057" s="7">
        <v>129367.59400000004</v>
      </c>
      <c r="D1057" s="7">
        <v>161346.53100000037</v>
      </c>
      <c r="E1057" s="7">
        <v>177791.64999999994</v>
      </c>
      <c r="F1057" s="7">
        <f t="shared" si="1"/>
        <v>468505.775</v>
      </c>
      <c r="G1057" s="14">
        <f t="shared" si="2"/>
        <v>-0.01085412041</v>
      </c>
      <c r="I1057" s="12"/>
      <c r="J1057" s="12"/>
      <c r="K1057" s="12"/>
      <c r="L1057" s="12"/>
      <c r="M1057" s="12">
        <v>44624.0</v>
      </c>
      <c r="N1057" s="2">
        <v>432.17</v>
      </c>
      <c r="O1057" s="3">
        <v>44654.0</v>
      </c>
      <c r="P1057" s="4" t="str">
        <f t="array" ref="P1057">XLOOKUP(O1057,Agregado!$B$2:$B$1511,Agregado!$G$2:$G$1511)</f>
        <v>#N/A</v>
      </c>
    </row>
    <row r="1058" ht="15.75" customHeight="1">
      <c r="B1058" s="13" t="s">
        <v>1977</v>
      </c>
      <c r="C1058" s="7">
        <v>130048.40400000004</v>
      </c>
      <c r="D1058" s="7">
        <v>161581.57400000037</v>
      </c>
      <c r="E1058" s="7">
        <v>178048.79499999993</v>
      </c>
      <c r="F1058" s="7">
        <f t="shared" si="1"/>
        <v>469678.773</v>
      </c>
      <c r="G1058" s="14">
        <f t="shared" si="2"/>
        <v>0.002500571159</v>
      </c>
      <c r="I1058" s="12"/>
      <c r="J1058" s="12"/>
      <c r="K1058" s="12"/>
      <c r="L1058" s="12"/>
      <c r="M1058" s="12">
        <v>44627.0</v>
      </c>
      <c r="N1058" s="2">
        <v>419.43</v>
      </c>
      <c r="O1058" s="3">
        <v>44745.0</v>
      </c>
      <c r="P1058" s="4" t="str">
        <f t="array" ref="P1058">XLOOKUP(O1058,Agregado!$B$2:$B$1511,Agregado!$G$2:$G$1511)</f>
        <v>#N/A</v>
      </c>
    </row>
    <row r="1059" ht="15.75" customHeight="1">
      <c r="B1059" s="13" t="s">
        <v>1978</v>
      </c>
      <c r="C1059" s="7">
        <v>128893.33000000005</v>
      </c>
      <c r="D1059" s="7">
        <v>164534.43400000036</v>
      </c>
      <c r="E1059" s="7">
        <v>178251.91699999993</v>
      </c>
      <c r="F1059" s="7">
        <f t="shared" si="1"/>
        <v>471679.681</v>
      </c>
      <c r="G1059" s="14">
        <f t="shared" si="2"/>
        <v>0.004251113919</v>
      </c>
      <c r="I1059" s="12"/>
      <c r="J1059" s="12"/>
      <c r="K1059" s="12"/>
      <c r="L1059" s="12"/>
      <c r="M1059" s="12">
        <v>44628.0</v>
      </c>
      <c r="N1059" s="2">
        <v>416.25</v>
      </c>
      <c r="O1059" s="3">
        <v>44776.0</v>
      </c>
      <c r="P1059" s="4" t="str">
        <f t="array" ref="P1059">XLOOKUP(O1059,Agregado!$B$2:$B$1511,Agregado!$G$2:$G$1511)</f>
        <v>#N/A</v>
      </c>
    </row>
    <row r="1060" ht="15.75" customHeight="1">
      <c r="B1060" s="13" t="s">
        <v>1979</v>
      </c>
      <c r="C1060" s="7">
        <v>127642.29400000005</v>
      </c>
      <c r="D1060" s="7">
        <v>165078.86900000036</v>
      </c>
      <c r="E1060" s="7">
        <v>178227.61999999994</v>
      </c>
      <c r="F1060" s="7">
        <f t="shared" si="1"/>
        <v>470948.783</v>
      </c>
      <c r="G1060" s="14">
        <f t="shared" si="2"/>
        <v>-0.001550766128</v>
      </c>
      <c r="I1060" s="12"/>
      <c r="J1060" s="12"/>
      <c r="K1060" s="12"/>
      <c r="L1060" s="12"/>
      <c r="M1060" s="12">
        <v>44629.0</v>
      </c>
      <c r="N1060" s="2">
        <v>427.41</v>
      </c>
      <c r="O1060" s="3">
        <v>44807.0</v>
      </c>
      <c r="P1060" s="4" t="str">
        <f t="array" ref="P1060">XLOOKUP(O1060,Agregado!$B$2:$B$1511,Agregado!$G$2:$G$1511)</f>
        <v>#N/A</v>
      </c>
    </row>
    <row r="1061" ht="15.75" customHeight="1">
      <c r="B1061" s="13" t="s">
        <v>1980</v>
      </c>
      <c r="C1061" s="7">
        <v>128558.02800000005</v>
      </c>
      <c r="D1061" s="7">
        <v>165741.91300000035</v>
      </c>
      <c r="E1061" s="7">
        <v>178640.42099999994</v>
      </c>
      <c r="F1061" s="7">
        <f t="shared" si="1"/>
        <v>472940.362</v>
      </c>
      <c r="G1061" s="14">
        <f t="shared" si="2"/>
        <v>0.004219948849</v>
      </c>
      <c r="I1061" s="12"/>
      <c r="J1061" s="12"/>
      <c r="K1061" s="12"/>
      <c r="L1061" s="12"/>
      <c r="M1061" s="12">
        <v>44630.0</v>
      </c>
      <c r="N1061" s="2">
        <v>425.48</v>
      </c>
      <c r="O1061" s="3">
        <v>44837.0</v>
      </c>
      <c r="P1061" s="4" t="str">
        <f t="array" ref="P1061">XLOOKUP(O1061,Agregado!$B$2:$B$1511,Agregado!$G$2:$G$1511)</f>
        <v>#N/A</v>
      </c>
    </row>
    <row r="1062" ht="15.75" customHeight="1">
      <c r="B1062" s="13" t="s">
        <v>1981</v>
      </c>
      <c r="C1062" s="7">
        <v>129211.18600000005</v>
      </c>
      <c r="D1062" s="7">
        <v>165807.51600000035</v>
      </c>
      <c r="E1062" s="7">
        <v>179803.60199999996</v>
      </c>
      <c r="F1062" s="7">
        <f t="shared" si="1"/>
        <v>474822.304</v>
      </c>
      <c r="G1062" s="14">
        <f t="shared" si="2"/>
        <v>0.003971341225</v>
      </c>
      <c r="I1062" s="12"/>
      <c r="J1062" s="12"/>
      <c r="K1062" s="12"/>
      <c r="L1062" s="12"/>
      <c r="M1062" s="12">
        <v>44631.0</v>
      </c>
      <c r="N1062" s="2">
        <v>420.07</v>
      </c>
      <c r="O1062" s="3">
        <v>44868.0</v>
      </c>
      <c r="P1062" s="4" t="str">
        <f t="array" ref="P1062">XLOOKUP(O1062,Agregado!$B$2:$B$1511,Agregado!$G$2:$G$1511)</f>
        <v>#N/A</v>
      </c>
    </row>
    <row r="1063" ht="15.75" customHeight="1">
      <c r="B1063" s="13" t="s">
        <v>1982</v>
      </c>
      <c r="C1063" s="7">
        <v>132252.87300000005</v>
      </c>
      <c r="D1063" s="7">
        <v>165873.93300000034</v>
      </c>
      <c r="E1063" s="7">
        <v>179917.08599999995</v>
      </c>
      <c r="F1063" s="7">
        <f t="shared" si="1"/>
        <v>478043.892</v>
      </c>
      <c r="G1063" s="14">
        <f t="shared" si="2"/>
        <v>0.006761915343</v>
      </c>
      <c r="I1063" s="12"/>
      <c r="J1063" s="12"/>
      <c r="K1063" s="12"/>
      <c r="L1063" s="12"/>
      <c r="M1063" s="12">
        <v>44634.0</v>
      </c>
      <c r="N1063" s="2">
        <v>417.0</v>
      </c>
      <c r="O1063" s="3" t="s">
        <v>633</v>
      </c>
      <c r="P1063" s="4" t="str">
        <f t="array" ref="P1063">XLOOKUP(O1063,Agregado!$B$2:$B$1511,Agregado!$G$2:$G$1511)</f>
        <v>#N/A</v>
      </c>
    </row>
    <row r="1064" ht="15.75" customHeight="1">
      <c r="B1064" s="13" t="s">
        <v>1983</v>
      </c>
      <c r="C1064" s="7">
        <v>135431.66500000004</v>
      </c>
      <c r="D1064" s="7">
        <v>165134.81600000034</v>
      </c>
      <c r="E1064" s="7">
        <v>179017.01199999996</v>
      </c>
      <c r="F1064" s="7">
        <f t="shared" si="1"/>
        <v>479583.493</v>
      </c>
      <c r="G1064" s="14">
        <f t="shared" si="2"/>
        <v>0.003215451752</v>
      </c>
      <c r="I1064" s="12"/>
      <c r="J1064" s="12"/>
      <c r="K1064" s="12"/>
      <c r="L1064" s="12"/>
      <c r="M1064" s="12">
        <v>44635.0</v>
      </c>
      <c r="N1064" s="2">
        <v>426.17</v>
      </c>
      <c r="O1064" s="3" t="s">
        <v>634</v>
      </c>
      <c r="P1064" s="4" t="str">
        <f t="array" ref="P1064">XLOOKUP(O1064,Agregado!$B$2:$B$1511,Agregado!$G$2:$G$1511)</f>
        <v>#N/A</v>
      </c>
    </row>
    <row r="1065" ht="15.75" customHeight="1">
      <c r="B1065" s="13" t="s">
        <v>1984</v>
      </c>
      <c r="C1065" s="7">
        <v>131743.03200000004</v>
      </c>
      <c r="D1065" s="7">
        <v>165604.98200000034</v>
      </c>
      <c r="E1065" s="7">
        <v>179203.84299999996</v>
      </c>
      <c r="F1065" s="7">
        <f t="shared" si="1"/>
        <v>476551.857</v>
      </c>
      <c r="G1065" s="14">
        <f t="shared" si="2"/>
        <v>-0.006341458162</v>
      </c>
      <c r="I1065" s="12"/>
      <c r="J1065" s="12"/>
      <c r="K1065" s="12"/>
      <c r="L1065" s="12"/>
      <c r="M1065" s="12">
        <v>44636.0</v>
      </c>
      <c r="N1065" s="2">
        <v>435.62</v>
      </c>
      <c r="O1065" s="3" t="s">
        <v>635</v>
      </c>
      <c r="P1065" s="4" t="str">
        <f t="array" ref="P1065">XLOOKUP(O1065,Agregado!$B$2:$B$1511,Agregado!$G$2:$G$1511)</f>
        <v>#N/A</v>
      </c>
    </row>
    <row r="1066" ht="15.75" customHeight="1">
      <c r="B1066" s="13" t="s">
        <v>1985</v>
      </c>
      <c r="C1066" s="7">
        <v>133585.72100000005</v>
      </c>
      <c r="D1066" s="7">
        <v>164789.87300000034</v>
      </c>
      <c r="E1066" s="7">
        <v>180273.61099999998</v>
      </c>
      <c r="F1066" s="7">
        <f t="shared" si="1"/>
        <v>478649.205</v>
      </c>
      <c r="G1066" s="14">
        <f t="shared" si="2"/>
        <v>0.004391434336</v>
      </c>
      <c r="I1066" s="12"/>
      <c r="J1066" s="12"/>
      <c r="K1066" s="12"/>
      <c r="L1066" s="12"/>
      <c r="M1066" s="12">
        <v>44637.0</v>
      </c>
      <c r="N1066" s="2">
        <v>441.07</v>
      </c>
      <c r="O1066" s="3" t="s">
        <v>636</v>
      </c>
      <c r="P1066" s="4" t="str">
        <f t="array" ref="P1066">XLOOKUP(O1066,Agregado!$B$2:$B$1511,Agregado!$G$2:$G$1511)</f>
        <v>#N/A</v>
      </c>
    </row>
    <row r="1067" ht="15.75" customHeight="1">
      <c r="B1067" s="13" t="s">
        <v>1986</v>
      </c>
      <c r="C1067" s="7">
        <v>134162.84700000004</v>
      </c>
      <c r="D1067" s="7">
        <v>164789.87300000034</v>
      </c>
      <c r="E1067" s="7">
        <v>180427.14699999997</v>
      </c>
      <c r="F1067" s="7">
        <f t="shared" si="1"/>
        <v>479379.867</v>
      </c>
      <c r="G1067" s="14">
        <f t="shared" si="2"/>
        <v>0.001525344403</v>
      </c>
      <c r="I1067" s="12"/>
      <c r="J1067" s="12"/>
      <c r="K1067" s="12"/>
      <c r="L1067" s="12"/>
      <c r="M1067" s="12">
        <v>44638.0</v>
      </c>
      <c r="N1067" s="2">
        <v>444.52</v>
      </c>
      <c r="O1067" s="3" t="s">
        <v>637</v>
      </c>
      <c r="P1067" s="4" t="str">
        <f t="array" ref="P1067">XLOOKUP(O1067,Agregado!$B$2:$B$1511,Agregado!$G$2:$G$1511)</f>
        <v>#N/A</v>
      </c>
    </row>
    <row r="1068" ht="15.75" customHeight="1">
      <c r="B1068" s="13" t="s">
        <v>1987</v>
      </c>
      <c r="C1068" s="7">
        <v>132924.38800000004</v>
      </c>
      <c r="D1068" s="7">
        <v>164993.39900000035</v>
      </c>
      <c r="E1068" s="7">
        <v>180447.84499999997</v>
      </c>
      <c r="F1068" s="7">
        <f t="shared" si="1"/>
        <v>478365.632</v>
      </c>
      <c r="G1068" s="14">
        <f t="shared" si="2"/>
        <v>-0.002117964282</v>
      </c>
      <c r="I1068" s="12"/>
      <c r="J1068" s="12"/>
      <c r="K1068" s="12"/>
      <c r="L1068" s="12"/>
      <c r="M1068" s="12">
        <v>44641.0</v>
      </c>
      <c r="N1068" s="2">
        <v>444.39</v>
      </c>
      <c r="O1068" s="3" t="s">
        <v>638</v>
      </c>
      <c r="P1068" s="4" t="str">
        <f t="array" ref="P1068">XLOOKUP(O1068,Agregado!$B$2:$B$1511,Agregado!$G$2:$G$1511)</f>
        <v>#N/A</v>
      </c>
    </row>
    <row r="1069" ht="15.75" customHeight="1">
      <c r="B1069" s="13" t="s">
        <v>1988</v>
      </c>
      <c r="C1069" s="7">
        <v>132200.18100000004</v>
      </c>
      <c r="D1069" s="7">
        <v>165697.98700000034</v>
      </c>
      <c r="E1069" s="7">
        <v>180395.83899999998</v>
      </c>
      <c r="F1069" s="7">
        <f t="shared" si="1"/>
        <v>478294.007</v>
      </c>
      <c r="G1069" s="14">
        <f t="shared" si="2"/>
        <v>-0.0001497397762</v>
      </c>
      <c r="I1069" s="12"/>
      <c r="J1069" s="12"/>
      <c r="K1069" s="12"/>
      <c r="L1069" s="12"/>
      <c r="M1069" s="12">
        <v>44642.0</v>
      </c>
      <c r="N1069" s="2">
        <v>449.59</v>
      </c>
      <c r="O1069" s="3" t="s">
        <v>639</v>
      </c>
      <c r="P1069" s="4" t="str">
        <f t="array" ref="P1069">XLOOKUP(O1069,Agregado!$B$2:$B$1511,Agregado!$G$2:$G$1511)</f>
        <v>#N/A</v>
      </c>
    </row>
    <row r="1070" ht="15.75" customHeight="1">
      <c r="B1070" s="13" t="s">
        <v>1989</v>
      </c>
      <c r="C1070" s="7">
        <v>133020.73200000005</v>
      </c>
      <c r="D1070" s="7">
        <v>165537.75000000035</v>
      </c>
      <c r="E1070" s="7">
        <v>180485.33099999998</v>
      </c>
      <c r="F1070" s="7">
        <f t="shared" si="1"/>
        <v>479043.813</v>
      </c>
      <c r="G1070" s="14">
        <f t="shared" si="2"/>
        <v>0.001566440054</v>
      </c>
      <c r="I1070" s="12"/>
      <c r="J1070" s="12"/>
      <c r="K1070" s="12"/>
      <c r="L1070" s="12"/>
      <c r="M1070" s="12">
        <v>44643.0</v>
      </c>
      <c r="N1070" s="2">
        <v>443.8</v>
      </c>
      <c r="O1070" s="3" t="s">
        <v>640</v>
      </c>
      <c r="P1070" s="4" t="str">
        <f t="array" ref="P1070">XLOOKUP(O1070,Agregado!$B$2:$B$1511,Agregado!$G$2:$G$1511)</f>
        <v>#N/A</v>
      </c>
    </row>
    <row r="1071" ht="15.75" customHeight="1">
      <c r="B1071" s="13" t="s">
        <v>1990</v>
      </c>
      <c r="C1071" s="7">
        <v>135950.92400000006</v>
      </c>
      <c r="D1071" s="7">
        <v>165699.95100000035</v>
      </c>
      <c r="E1071" s="7">
        <v>180886.45899999997</v>
      </c>
      <c r="F1071" s="7">
        <f t="shared" si="1"/>
        <v>482537.334</v>
      </c>
      <c r="G1071" s="14">
        <f t="shared" si="2"/>
        <v>0.007266233083</v>
      </c>
      <c r="I1071" s="12"/>
      <c r="J1071" s="12"/>
      <c r="K1071" s="12"/>
      <c r="L1071" s="12"/>
      <c r="M1071" s="12">
        <v>44644.0</v>
      </c>
      <c r="N1071" s="2">
        <v>450.49</v>
      </c>
      <c r="O1071" s="3" t="s">
        <v>641</v>
      </c>
      <c r="P1071" s="4" t="str">
        <f t="array" ref="P1071">XLOOKUP(O1071,Agregado!$B$2:$B$1511,Agregado!$G$2:$G$1511)</f>
        <v>#N/A</v>
      </c>
    </row>
    <row r="1072" ht="15.75" customHeight="1">
      <c r="B1072" s="13" t="s">
        <v>1991</v>
      </c>
      <c r="C1072" s="7">
        <v>137968.71000000005</v>
      </c>
      <c r="D1072" s="7">
        <v>165976.28800000035</v>
      </c>
      <c r="E1072" s="7">
        <v>181238.60899999997</v>
      </c>
      <c r="F1072" s="7">
        <f t="shared" si="1"/>
        <v>485183.607</v>
      </c>
      <c r="G1072" s="14">
        <f t="shared" si="2"/>
        <v>0.00546909648</v>
      </c>
      <c r="I1072" s="12"/>
      <c r="J1072" s="12"/>
      <c r="K1072" s="12"/>
      <c r="L1072" s="12"/>
      <c r="M1072" s="12">
        <v>44645.0</v>
      </c>
      <c r="N1072" s="2">
        <v>452.69</v>
      </c>
      <c r="O1072" s="3" t="s">
        <v>642</v>
      </c>
      <c r="P1072" s="4" t="str">
        <f t="array" ref="P1072">XLOOKUP(O1072,Agregado!$B$2:$B$1511,Agregado!$G$2:$G$1511)</f>
        <v>#N/A</v>
      </c>
    </row>
    <row r="1073" ht="15.75" customHeight="1">
      <c r="B1073" s="13" t="s">
        <v>1992</v>
      </c>
      <c r="C1073" s="7">
        <v>141535.06700000004</v>
      </c>
      <c r="D1073" s="7">
        <v>166225.65000000034</v>
      </c>
      <c r="E1073" s="7">
        <v>181271.81899999996</v>
      </c>
      <c r="F1073" s="7">
        <f t="shared" si="1"/>
        <v>489032.536</v>
      </c>
      <c r="G1073" s="14">
        <f t="shared" si="2"/>
        <v>0.007901632617</v>
      </c>
      <c r="I1073" s="12"/>
      <c r="J1073" s="12"/>
      <c r="K1073" s="12"/>
      <c r="L1073" s="12"/>
      <c r="M1073" s="12">
        <v>44648.0</v>
      </c>
      <c r="N1073" s="2">
        <v>455.91</v>
      </c>
      <c r="O1073" s="3" t="s">
        <v>643</v>
      </c>
      <c r="P1073" s="4" t="str">
        <f t="array" ref="P1073">XLOOKUP(O1073,Agregado!$B$2:$B$1511,Agregado!$G$2:$G$1511)</f>
        <v>#N/A</v>
      </c>
    </row>
    <row r="1074" ht="15.75" customHeight="1">
      <c r="B1074" s="13" t="s">
        <v>1993</v>
      </c>
      <c r="C1074" s="7">
        <v>135261.40000000005</v>
      </c>
      <c r="D1074" s="7">
        <v>167067.26800000033</v>
      </c>
      <c r="E1074" s="7">
        <v>181626.60499999995</v>
      </c>
      <c r="F1074" s="7">
        <f t="shared" si="1"/>
        <v>483955.273</v>
      </c>
      <c r="G1074" s="14">
        <f t="shared" si="2"/>
        <v>-0.01043653176</v>
      </c>
      <c r="I1074" s="12"/>
      <c r="J1074" s="12"/>
      <c r="K1074" s="12"/>
      <c r="L1074" s="12"/>
      <c r="M1074" s="12">
        <v>44649.0</v>
      </c>
      <c r="N1074" s="2">
        <v>461.55</v>
      </c>
      <c r="O1074" s="3" t="s">
        <v>644</v>
      </c>
      <c r="P1074" s="4" t="str">
        <f t="array" ref="P1074">XLOOKUP(O1074,Agregado!$B$2:$B$1511,Agregado!$G$2:$G$1511)</f>
        <v>#N/A</v>
      </c>
    </row>
    <row r="1075" ht="15.75" customHeight="1">
      <c r="B1075" s="13" t="s">
        <v>1994</v>
      </c>
      <c r="C1075" s="7">
        <v>134439.44700000004</v>
      </c>
      <c r="D1075" s="7">
        <v>166562.79500000033</v>
      </c>
      <c r="E1075" s="7">
        <v>181925.91099999996</v>
      </c>
      <c r="F1075" s="7">
        <f t="shared" si="1"/>
        <v>482928.153</v>
      </c>
      <c r="G1075" s="14">
        <f t="shared" si="2"/>
        <v>-0.002124600254</v>
      </c>
      <c r="I1075" s="12"/>
      <c r="J1075" s="12"/>
      <c r="K1075" s="12"/>
      <c r="L1075" s="12"/>
      <c r="M1075" s="12">
        <v>44650.0</v>
      </c>
      <c r="N1075" s="2">
        <v>458.7</v>
      </c>
      <c r="O1075" s="3" t="s">
        <v>645</v>
      </c>
      <c r="P1075" s="4" t="str">
        <f t="array" ref="P1075">XLOOKUP(O1075,Agregado!$B$2:$B$1511,Agregado!$G$2:$G$1511)</f>
        <v>#N/A</v>
      </c>
    </row>
    <row r="1076" ht="15.75" customHeight="1">
      <c r="B1076" s="13" t="s">
        <v>1995</v>
      </c>
      <c r="C1076" s="7">
        <v>133650.23200000005</v>
      </c>
      <c r="D1076" s="7">
        <v>167332.77400000033</v>
      </c>
      <c r="E1076" s="7">
        <v>181756.50099999996</v>
      </c>
      <c r="F1076" s="7">
        <f t="shared" si="1"/>
        <v>482739.507</v>
      </c>
      <c r="G1076" s="14">
        <f t="shared" si="2"/>
        <v>-0.0003907058509</v>
      </c>
      <c r="I1076" s="12"/>
      <c r="J1076" s="12"/>
      <c r="K1076" s="12"/>
      <c r="L1076" s="12"/>
      <c r="M1076" s="12">
        <v>44651.0</v>
      </c>
      <c r="N1076" s="2">
        <v>451.64</v>
      </c>
      <c r="O1076" s="3" t="s">
        <v>646</v>
      </c>
      <c r="P1076" s="4" t="str">
        <f t="array" ref="P1076">XLOOKUP(O1076,Agregado!$B$2:$B$1511,Agregado!$G$2:$G$1511)</f>
        <v>#N/A</v>
      </c>
    </row>
    <row r="1077" ht="15.75" customHeight="1">
      <c r="B1077" s="13" t="s">
        <v>1996</v>
      </c>
      <c r="C1077" s="7">
        <v>133851.20100000006</v>
      </c>
      <c r="D1077" s="7">
        <v>167489.7590000003</v>
      </c>
      <c r="E1077" s="7">
        <v>182023.31999999995</v>
      </c>
      <c r="F1077" s="7">
        <f t="shared" si="1"/>
        <v>483364.28</v>
      </c>
      <c r="G1077" s="14">
        <f t="shared" si="2"/>
        <v>0.001293387099</v>
      </c>
      <c r="I1077" s="12"/>
      <c r="J1077" s="12"/>
      <c r="K1077" s="12"/>
      <c r="L1077" s="12"/>
      <c r="M1077" s="12">
        <v>44652.0</v>
      </c>
      <c r="N1077" s="2">
        <v>452.92</v>
      </c>
      <c r="O1077" s="3">
        <v>44565.0</v>
      </c>
      <c r="P1077" s="4" t="str">
        <f t="array" ref="P1077">XLOOKUP(O1077,Agregado!$B$2:$B$1511,Agregado!$G$2:$G$1511)</f>
        <v>#N/A</v>
      </c>
    </row>
    <row r="1078" ht="15.75" customHeight="1">
      <c r="B1078" s="13" t="s">
        <v>1997</v>
      </c>
      <c r="C1078" s="7">
        <v>131541.15100000007</v>
      </c>
      <c r="D1078" s="7">
        <v>167624.9070000003</v>
      </c>
      <c r="E1078" s="7">
        <v>182119.04699999996</v>
      </c>
      <c r="F1078" s="7">
        <f t="shared" si="1"/>
        <v>481285.105</v>
      </c>
      <c r="G1078" s="14">
        <f t="shared" si="2"/>
        <v>-0.004310743887</v>
      </c>
      <c r="I1078" s="12"/>
      <c r="J1078" s="12"/>
      <c r="K1078" s="12"/>
      <c r="L1078" s="12"/>
      <c r="M1078" s="12">
        <v>44655.0</v>
      </c>
      <c r="N1078" s="2">
        <v>456.8</v>
      </c>
      <c r="O1078" s="3">
        <v>44655.0</v>
      </c>
      <c r="P1078" s="4" t="str">
        <f t="array" ref="P1078">XLOOKUP(O1078,Agregado!$B$2:$B$1511,Agregado!$G$2:$G$1511)</f>
        <v>#N/A</v>
      </c>
    </row>
    <row r="1079" ht="15.75" customHeight="1">
      <c r="B1079" s="13" t="s">
        <v>1998</v>
      </c>
      <c r="C1079" s="7">
        <v>134784.58300000007</v>
      </c>
      <c r="D1079" s="7">
        <v>167535.0460000003</v>
      </c>
      <c r="E1079" s="7">
        <v>179147.92599999995</v>
      </c>
      <c r="F1079" s="7">
        <f t="shared" si="1"/>
        <v>481467.555</v>
      </c>
      <c r="G1079" s="14">
        <f t="shared" si="2"/>
        <v>0.0003790173941</v>
      </c>
      <c r="I1079" s="12"/>
      <c r="J1079" s="12"/>
      <c r="K1079" s="12"/>
      <c r="L1079" s="12"/>
      <c r="M1079" s="12">
        <v>44656.0</v>
      </c>
      <c r="N1079" s="2">
        <v>451.03</v>
      </c>
      <c r="O1079" s="3">
        <v>44685.0</v>
      </c>
      <c r="P1079" s="4" t="str">
        <f t="array" ref="P1079">XLOOKUP(O1079,Agregado!$B$2:$B$1511,Agregado!$G$2:$G$1511)</f>
        <v>#N/A</v>
      </c>
    </row>
    <row r="1080" ht="15.75" customHeight="1">
      <c r="B1080" s="13" t="s">
        <v>1999</v>
      </c>
      <c r="C1080" s="7">
        <v>131815.78700000007</v>
      </c>
      <c r="D1080" s="7">
        <v>167270.01200000028</v>
      </c>
      <c r="E1080" s="7">
        <v>179128.50499999995</v>
      </c>
      <c r="F1080" s="7">
        <f t="shared" si="1"/>
        <v>478214.304</v>
      </c>
      <c r="G1080" s="14">
        <f t="shared" si="2"/>
        <v>-0.006779879043</v>
      </c>
      <c r="I1080" s="12"/>
      <c r="J1080" s="12"/>
      <c r="K1080" s="12"/>
      <c r="L1080" s="12"/>
      <c r="M1080" s="12">
        <v>44657.0</v>
      </c>
      <c r="N1080" s="2">
        <v>446.52</v>
      </c>
      <c r="O1080" s="3">
        <v>44716.0</v>
      </c>
      <c r="P1080" s="4" t="str">
        <f t="array" ref="P1080">XLOOKUP(O1080,Agregado!$B$2:$B$1511,Agregado!$G$2:$G$1511)</f>
        <v>#N/A</v>
      </c>
    </row>
    <row r="1081" ht="15.75" customHeight="1">
      <c r="B1081" s="13" t="s">
        <v>2000</v>
      </c>
      <c r="C1081" s="7">
        <v>131289.78700000007</v>
      </c>
      <c r="D1081" s="7">
        <v>167115.9320000003</v>
      </c>
      <c r="E1081" s="7">
        <v>179452.76399999994</v>
      </c>
      <c r="F1081" s="7">
        <f t="shared" si="1"/>
        <v>477858.483</v>
      </c>
      <c r="G1081" s="14">
        <f t="shared" si="2"/>
        <v>-0.0007443387601</v>
      </c>
      <c r="I1081" s="12"/>
      <c r="J1081" s="12"/>
      <c r="K1081" s="12"/>
      <c r="L1081" s="12"/>
      <c r="M1081" s="12">
        <v>44658.0</v>
      </c>
      <c r="N1081" s="2">
        <v>448.77</v>
      </c>
      <c r="O1081" s="3">
        <v>44746.0</v>
      </c>
      <c r="P1081" s="4" t="str">
        <f t="array" ref="P1081">XLOOKUP(O1081,Agregado!$B$2:$B$1511,Agregado!$G$2:$G$1511)</f>
        <v>#N/A</v>
      </c>
    </row>
    <row r="1082" ht="15.75" customHeight="1">
      <c r="B1082" s="13" t="s">
        <v>2001</v>
      </c>
      <c r="C1082" s="7">
        <v>127987.11800000007</v>
      </c>
      <c r="D1082" s="7">
        <v>161839.9530000003</v>
      </c>
      <c r="E1082" s="7">
        <v>179465.30999999994</v>
      </c>
      <c r="F1082" s="7">
        <f t="shared" si="1"/>
        <v>469292.381</v>
      </c>
      <c r="G1082" s="14">
        <f t="shared" si="2"/>
        <v>-0.01808864014</v>
      </c>
      <c r="I1082" s="12"/>
      <c r="J1082" s="12"/>
      <c r="K1082" s="12"/>
      <c r="L1082" s="12"/>
      <c r="M1082" s="12">
        <v>44659.0</v>
      </c>
      <c r="N1082" s="2">
        <v>447.57</v>
      </c>
      <c r="O1082" s="3">
        <v>44777.0</v>
      </c>
      <c r="P1082" s="4" t="str">
        <f t="array" ref="P1082">XLOOKUP(O1082,Agregado!$B$2:$B$1511,Agregado!$G$2:$G$1511)</f>
        <v>#N/A</v>
      </c>
    </row>
    <row r="1083" ht="15.75" customHeight="1">
      <c r="B1083" s="13" t="s">
        <v>2002</v>
      </c>
      <c r="C1083" s="7">
        <v>131512.4240000001</v>
      </c>
      <c r="D1083" s="7">
        <v>161729.9980000003</v>
      </c>
      <c r="E1083" s="7">
        <v>174508.62099999993</v>
      </c>
      <c r="F1083" s="7">
        <f t="shared" si="1"/>
        <v>467751.043</v>
      </c>
      <c r="G1083" s="14">
        <f t="shared" si="2"/>
        <v>-0.003289792875</v>
      </c>
      <c r="I1083" s="12"/>
      <c r="J1083" s="12"/>
      <c r="K1083" s="12"/>
      <c r="L1083" s="12"/>
      <c r="M1083" s="12">
        <v>44662.0</v>
      </c>
      <c r="N1083" s="2">
        <v>439.92</v>
      </c>
      <c r="O1083" s="3">
        <v>44869.0</v>
      </c>
      <c r="P1083" s="4" t="str">
        <f t="array" ref="P1083">XLOOKUP(O1083,Agregado!$B$2:$B$1511,Agregado!$G$2:$G$1511)</f>
        <v>#N/A</v>
      </c>
    </row>
    <row r="1084" ht="15.75" customHeight="1">
      <c r="B1084" s="13" t="s">
        <v>2003</v>
      </c>
      <c r="C1084" s="7">
        <v>127768.9220000001</v>
      </c>
      <c r="D1084" s="7">
        <v>156321.3080000003</v>
      </c>
      <c r="E1084" s="7">
        <v>174737.53999999992</v>
      </c>
      <c r="F1084" s="7">
        <f t="shared" si="1"/>
        <v>458827.77</v>
      </c>
      <c r="G1084" s="14">
        <f t="shared" si="2"/>
        <v>-0.01926128409</v>
      </c>
      <c r="I1084" s="12"/>
      <c r="J1084" s="12"/>
      <c r="K1084" s="12"/>
      <c r="L1084" s="12"/>
      <c r="M1084" s="12">
        <v>44663.0</v>
      </c>
      <c r="N1084" s="2">
        <v>438.29</v>
      </c>
      <c r="O1084" s="3">
        <v>44899.0</v>
      </c>
      <c r="P1084" s="4" t="str">
        <f t="array" ref="P1084">XLOOKUP(O1084,Agregado!$B$2:$B$1511,Agregado!$G$2:$G$1511)</f>
        <v>#N/A</v>
      </c>
    </row>
    <row r="1085" ht="15.75" customHeight="1">
      <c r="B1085" s="13" t="s">
        <v>2004</v>
      </c>
      <c r="C1085" s="7">
        <v>127791.1650000001</v>
      </c>
      <c r="D1085" s="7">
        <v>156902.1460000003</v>
      </c>
      <c r="E1085" s="7">
        <v>169796.2829999999</v>
      </c>
      <c r="F1085" s="7">
        <f t="shared" si="1"/>
        <v>454489.594</v>
      </c>
      <c r="G1085" s="14">
        <f t="shared" si="2"/>
        <v>-0.009499893021</v>
      </c>
      <c r="I1085" s="12"/>
      <c r="J1085" s="12"/>
      <c r="K1085" s="12"/>
      <c r="L1085" s="12"/>
      <c r="M1085" s="12">
        <v>44664.0</v>
      </c>
      <c r="N1085" s="2">
        <v>443.31</v>
      </c>
      <c r="O1085" s="3" t="s">
        <v>647</v>
      </c>
      <c r="P1085" s="4" t="str">
        <f t="array" ref="P1085">XLOOKUP(O1085,Agregado!$B$2:$B$1511,Agregado!$G$2:$G$1511)</f>
        <v>#N/A</v>
      </c>
    </row>
    <row r="1086" ht="15.75" customHeight="1">
      <c r="B1086" s="13" t="s">
        <v>2005</v>
      </c>
      <c r="C1086" s="7">
        <v>128458.0630000001</v>
      </c>
      <c r="D1086" s="7">
        <v>154066.6960000003</v>
      </c>
      <c r="E1086" s="7">
        <v>169851.1689999999</v>
      </c>
      <c r="F1086" s="7">
        <f t="shared" si="1"/>
        <v>452375.928</v>
      </c>
      <c r="G1086" s="14">
        <f t="shared" si="2"/>
        <v>-0.004661484589</v>
      </c>
      <c r="I1086" s="12"/>
      <c r="J1086" s="12"/>
      <c r="K1086" s="12"/>
      <c r="L1086" s="12"/>
      <c r="M1086" s="12">
        <v>44665.0</v>
      </c>
      <c r="N1086" s="2">
        <v>437.79</v>
      </c>
      <c r="O1086" s="3" t="s">
        <v>648</v>
      </c>
      <c r="P1086" s="4" t="str">
        <f t="array" ref="P1086">XLOOKUP(O1086,Agregado!$B$2:$B$1511,Agregado!$G$2:$G$1511)</f>
        <v>#N/A</v>
      </c>
    </row>
    <row r="1087" ht="15.75" customHeight="1">
      <c r="B1087" s="13" t="s">
        <v>2006</v>
      </c>
      <c r="C1087" s="7">
        <v>129816.10700000009</v>
      </c>
      <c r="D1087" s="7">
        <v>154066.6960000003</v>
      </c>
      <c r="E1087" s="7">
        <v>169953.5269999999</v>
      </c>
      <c r="F1087" s="7">
        <f t="shared" si="1"/>
        <v>453836.33</v>
      </c>
      <c r="G1087" s="14">
        <f t="shared" si="2"/>
        <v>0.003223093158</v>
      </c>
      <c r="I1087" s="12"/>
      <c r="J1087" s="12"/>
      <c r="K1087" s="12"/>
      <c r="L1087" s="12"/>
      <c r="M1087" s="12">
        <v>44669.0</v>
      </c>
      <c r="N1087" s="2">
        <v>437.97</v>
      </c>
      <c r="O1087" s="3" t="s">
        <v>649</v>
      </c>
      <c r="P1087" s="4" t="str">
        <f t="array" ref="P1087">XLOOKUP(O1087,Agregado!$B$2:$B$1511,Agregado!$G$2:$G$1511)</f>
        <v>#N/A</v>
      </c>
    </row>
    <row r="1088" ht="15.75" customHeight="1">
      <c r="B1088" s="13" t="s">
        <v>2007</v>
      </c>
      <c r="C1088" s="7">
        <v>132116.1740000001</v>
      </c>
      <c r="D1088" s="7">
        <v>154237.80600000027</v>
      </c>
      <c r="E1088" s="7">
        <v>170253.1359999999</v>
      </c>
      <c r="F1088" s="7">
        <f t="shared" si="1"/>
        <v>456607.116</v>
      </c>
      <c r="G1088" s="14">
        <f t="shared" si="2"/>
        <v>0.006086692296</v>
      </c>
      <c r="I1088" s="12"/>
      <c r="J1088" s="12"/>
      <c r="K1088" s="12"/>
      <c r="L1088" s="12"/>
      <c r="M1088" s="12">
        <v>44670.0</v>
      </c>
      <c r="N1088" s="2">
        <v>445.04</v>
      </c>
      <c r="O1088" s="3" t="s">
        <v>650</v>
      </c>
      <c r="P1088" s="4" t="str">
        <f t="array" ref="P1088">XLOOKUP(O1088,Agregado!$B$2:$B$1511,Agregado!$G$2:$G$1511)</f>
        <v>#N/A</v>
      </c>
    </row>
    <row r="1089" ht="15.75" customHeight="1">
      <c r="B1089" s="13" t="s">
        <v>2008</v>
      </c>
      <c r="C1089" s="7">
        <v>131238.0180000001</v>
      </c>
      <c r="D1089" s="7">
        <v>154044.20800000028</v>
      </c>
      <c r="E1089" s="7">
        <v>170630.56699999992</v>
      </c>
      <c r="F1089" s="7">
        <f t="shared" si="1"/>
        <v>455912.793</v>
      </c>
      <c r="G1089" s="14">
        <f t="shared" si="2"/>
        <v>-0.001521770927</v>
      </c>
      <c r="I1089" s="12"/>
      <c r="J1089" s="12"/>
      <c r="K1089" s="12"/>
      <c r="L1089" s="12"/>
      <c r="M1089" s="12">
        <v>44671.0</v>
      </c>
      <c r="N1089" s="2">
        <v>444.71</v>
      </c>
      <c r="O1089" s="3" t="s">
        <v>651</v>
      </c>
      <c r="P1089" s="4" t="str">
        <f t="array" ref="P1089">XLOOKUP(O1089,Agregado!$B$2:$B$1511,Agregado!$G$2:$G$1511)</f>
        <v>#N/A</v>
      </c>
    </row>
    <row r="1090" ht="15.75" customHeight="1">
      <c r="B1090" s="13" t="s">
        <v>2009</v>
      </c>
      <c r="C1090" s="7">
        <v>129468.6410000001</v>
      </c>
      <c r="D1090" s="7">
        <v>154295.07500000027</v>
      </c>
      <c r="E1090" s="7">
        <v>170773.43899999993</v>
      </c>
      <c r="F1090" s="7">
        <f t="shared" si="1"/>
        <v>454537.155</v>
      </c>
      <c r="G1090" s="14">
        <f t="shared" si="2"/>
        <v>-0.003021888353</v>
      </c>
      <c r="I1090" s="12"/>
      <c r="J1090" s="12"/>
      <c r="K1090" s="12"/>
      <c r="L1090" s="12"/>
      <c r="M1090" s="12">
        <v>44672.0</v>
      </c>
      <c r="N1090" s="2">
        <v>438.06</v>
      </c>
      <c r="O1090" s="3" t="s">
        <v>652</v>
      </c>
      <c r="P1090" s="4" t="str">
        <f t="array" ref="P1090">XLOOKUP(O1090,Agregado!$B$2:$B$1511,Agregado!$G$2:$G$1511)</f>
        <v>#N/A</v>
      </c>
    </row>
    <row r="1091" ht="15.75" customHeight="1">
      <c r="B1091" s="13" t="s">
        <v>2010</v>
      </c>
      <c r="C1091" s="7">
        <v>126131.04700000011</v>
      </c>
      <c r="D1091" s="7">
        <v>154316.02500000029</v>
      </c>
      <c r="E1091" s="7">
        <v>171064.53499999992</v>
      </c>
      <c r="F1091" s="7">
        <f t="shared" si="1"/>
        <v>451511.607</v>
      </c>
      <c r="G1091" s="14">
        <f t="shared" si="2"/>
        <v>-0.006678579283</v>
      </c>
      <c r="I1091" s="12"/>
      <c r="J1091" s="12"/>
      <c r="K1091" s="12"/>
      <c r="L1091" s="12"/>
      <c r="M1091" s="12">
        <v>44673.0</v>
      </c>
      <c r="N1091" s="2">
        <v>426.04</v>
      </c>
      <c r="O1091" s="3" t="s">
        <v>653</v>
      </c>
      <c r="P1091" s="4" t="str">
        <f t="array" ref="P1091">XLOOKUP(O1091,Agregado!$B$2:$B$1511,Agregado!$G$2:$G$1511)</f>
        <v>#N/A</v>
      </c>
    </row>
    <row r="1092" ht="15.75" customHeight="1">
      <c r="B1092" s="13" t="s">
        <v>2011</v>
      </c>
      <c r="C1092" s="7">
        <v>127755.70400000011</v>
      </c>
      <c r="D1092" s="7">
        <v>154294.55600000027</v>
      </c>
      <c r="E1092" s="7">
        <v>170739.08799999993</v>
      </c>
      <c r="F1092" s="7">
        <f t="shared" si="1"/>
        <v>452789.348</v>
      </c>
      <c r="G1092" s="14">
        <f t="shared" si="2"/>
        <v>0.002825921709</v>
      </c>
      <c r="I1092" s="12"/>
      <c r="J1092" s="12"/>
      <c r="K1092" s="12"/>
      <c r="L1092" s="12"/>
      <c r="M1092" s="12">
        <v>44676.0</v>
      </c>
      <c r="N1092" s="2">
        <v>428.51</v>
      </c>
      <c r="O1092" s="3" t="s">
        <v>654</v>
      </c>
      <c r="P1092" s="4" t="str">
        <f t="array" ref="P1092">XLOOKUP(O1092,Agregado!$B$2:$B$1511,Agregado!$G$2:$G$1511)</f>
        <v>#N/A</v>
      </c>
    </row>
    <row r="1093" ht="15.75" customHeight="1">
      <c r="B1093" s="13" t="s">
        <v>2012</v>
      </c>
      <c r="C1093" s="7">
        <v>130619.57900000011</v>
      </c>
      <c r="D1093" s="7">
        <v>154232.48000000027</v>
      </c>
      <c r="E1093" s="7">
        <v>170988.86699999994</v>
      </c>
      <c r="F1093" s="7">
        <f t="shared" si="1"/>
        <v>455840.926</v>
      </c>
      <c r="G1093" s="14">
        <f t="shared" si="2"/>
        <v>0.006716900285</v>
      </c>
      <c r="I1093" s="12"/>
      <c r="J1093" s="12"/>
      <c r="K1093" s="12"/>
      <c r="L1093" s="12"/>
      <c r="M1093" s="12">
        <v>44677.0</v>
      </c>
      <c r="N1093" s="2">
        <v>416.1</v>
      </c>
      <c r="O1093" s="3" t="s">
        <v>655</v>
      </c>
      <c r="P1093" s="4" t="str">
        <f t="array" ref="P1093">XLOOKUP(O1093,Agregado!$B$2:$B$1511,Agregado!$G$2:$G$1511)</f>
        <v>#N/A</v>
      </c>
    </row>
    <row r="1094" ht="15.75" customHeight="1">
      <c r="B1094" s="13" t="s">
        <v>2013</v>
      </c>
      <c r="C1094" s="7">
        <v>127698.01100000012</v>
      </c>
      <c r="D1094" s="7">
        <v>153857.91200000027</v>
      </c>
      <c r="E1094" s="7">
        <v>171257.13199999995</v>
      </c>
      <c r="F1094" s="7">
        <f t="shared" si="1"/>
        <v>452813.055</v>
      </c>
      <c r="G1094" s="14">
        <f t="shared" si="2"/>
        <v>-0.006664543975</v>
      </c>
      <c r="I1094" s="12"/>
      <c r="J1094" s="12"/>
      <c r="K1094" s="12"/>
      <c r="L1094" s="12"/>
      <c r="M1094" s="12">
        <v>44678.0</v>
      </c>
      <c r="N1094" s="2">
        <v>417.27</v>
      </c>
      <c r="O1094" s="3" t="s">
        <v>656</v>
      </c>
      <c r="P1094" s="4" t="str">
        <f t="array" ref="P1094">XLOOKUP(O1094,Agregado!$B$2:$B$1511,Agregado!$G$2:$G$1511)</f>
        <v>#N/A</v>
      </c>
    </row>
    <row r="1095" ht="15.75" customHeight="1">
      <c r="B1095" s="13" t="s">
        <v>2014</v>
      </c>
      <c r="C1095" s="7">
        <v>127364.88400000012</v>
      </c>
      <c r="D1095" s="7">
        <v>153983.37200000026</v>
      </c>
      <c r="E1095" s="7">
        <v>171454.67699999997</v>
      </c>
      <c r="F1095" s="7">
        <f t="shared" si="1"/>
        <v>452802.933</v>
      </c>
      <c r="G1095" s="14">
        <f t="shared" si="2"/>
        <v>-0.00002235384564</v>
      </c>
      <c r="I1095" s="12"/>
      <c r="J1095" s="12"/>
      <c r="K1095" s="12"/>
      <c r="L1095" s="12"/>
      <c r="M1095" s="12">
        <v>44679.0</v>
      </c>
      <c r="N1095" s="2">
        <v>427.81</v>
      </c>
      <c r="O1095" s="3" t="s">
        <v>657</v>
      </c>
      <c r="P1095" s="4" t="str">
        <f t="array" ref="P1095">XLOOKUP(O1095,Agregado!$B$2:$B$1511,Agregado!$G$2:$G$1511)</f>
        <v>#N/A</v>
      </c>
    </row>
    <row r="1096" ht="15.75" customHeight="1">
      <c r="B1096" s="13" t="s">
        <v>2015</v>
      </c>
      <c r="C1096" s="7">
        <v>127000.37400000013</v>
      </c>
      <c r="D1096" s="7">
        <v>153961.83700000026</v>
      </c>
      <c r="E1096" s="7">
        <v>171223.54099999997</v>
      </c>
      <c r="F1096" s="7">
        <f t="shared" si="1"/>
        <v>452185.752</v>
      </c>
      <c r="G1096" s="14">
        <f t="shared" si="2"/>
        <v>-0.001363953176</v>
      </c>
      <c r="I1096" s="12"/>
      <c r="J1096" s="12"/>
      <c r="K1096" s="12"/>
      <c r="L1096" s="12"/>
      <c r="M1096" s="12">
        <v>44680.0</v>
      </c>
      <c r="N1096" s="2">
        <v>412.0</v>
      </c>
      <c r="O1096" s="3" t="s">
        <v>658</v>
      </c>
      <c r="P1096" s="4" t="str">
        <f t="array" ref="P1096">XLOOKUP(O1096,Agregado!$B$2:$B$1511,Agregado!$G$2:$G$1511)</f>
        <v>#N/A</v>
      </c>
    </row>
    <row r="1097" ht="15.75" customHeight="1">
      <c r="B1097" s="13" t="s">
        <v>2016</v>
      </c>
      <c r="C1097" s="7">
        <v>126855.61200000012</v>
      </c>
      <c r="D1097" s="7">
        <v>154211.06700000027</v>
      </c>
      <c r="E1097" s="7">
        <v>171068.46099999998</v>
      </c>
      <c r="F1097" s="7">
        <f t="shared" si="1"/>
        <v>452135.14</v>
      </c>
      <c r="G1097" s="14">
        <f t="shared" si="2"/>
        <v>-0.0001119337184</v>
      </c>
      <c r="I1097" s="12"/>
      <c r="J1097" s="12"/>
      <c r="K1097" s="12"/>
      <c r="L1097" s="12"/>
      <c r="M1097" s="12">
        <v>44683.0</v>
      </c>
      <c r="N1097" s="2">
        <v>414.48</v>
      </c>
      <c r="O1097" s="3">
        <v>44597.0</v>
      </c>
      <c r="P1097" s="4" t="str">
        <f t="array" ref="P1097">XLOOKUP(O1097,Agregado!$B$2:$B$1511,Agregado!$G$2:$G$1511)</f>
        <v>#N/A</v>
      </c>
    </row>
    <row r="1098" ht="15.75" customHeight="1">
      <c r="B1098" s="13" t="s">
        <v>2017</v>
      </c>
      <c r="C1098" s="7">
        <v>124984.10600000013</v>
      </c>
      <c r="D1098" s="7">
        <v>153901.25200000027</v>
      </c>
      <c r="E1098" s="7">
        <v>171776.70099999997</v>
      </c>
      <c r="F1098" s="7">
        <f t="shared" si="1"/>
        <v>450662.059</v>
      </c>
      <c r="G1098" s="14">
        <f t="shared" si="2"/>
        <v>-0.003263373677</v>
      </c>
      <c r="I1098" s="12"/>
      <c r="J1098" s="12"/>
      <c r="K1098" s="12"/>
      <c r="L1098" s="12"/>
      <c r="M1098" s="12">
        <v>44684.0</v>
      </c>
      <c r="N1098" s="2">
        <v>416.38</v>
      </c>
      <c r="O1098" s="3">
        <v>44625.0</v>
      </c>
      <c r="P1098" s="4" t="str">
        <f t="array" ref="P1098">XLOOKUP(O1098,Agregado!$B$2:$B$1511,Agregado!$G$2:$G$1511)</f>
        <v>#N/A</v>
      </c>
    </row>
    <row r="1099" ht="15.75" customHeight="1">
      <c r="B1099" s="13" t="s">
        <v>2018</v>
      </c>
      <c r="C1099" s="7">
        <v>130299.92600000012</v>
      </c>
      <c r="D1099" s="7">
        <v>154461.08400000026</v>
      </c>
      <c r="E1099" s="7">
        <v>172047.51599999997</v>
      </c>
      <c r="F1099" s="7">
        <f t="shared" si="1"/>
        <v>456808.526</v>
      </c>
      <c r="G1099" s="14">
        <f t="shared" si="2"/>
        <v>0.01354657902</v>
      </c>
      <c r="I1099" s="12"/>
      <c r="J1099" s="12"/>
      <c r="K1099" s="12"/>
      <c r="L1099" s="12"/>
      <c r="M1099" s="12">
        <v>44685.0</v>
      </c>
      <c r="N1099" s="2">
        <v>429.06</v>
      </c>
      <c r="O1099" s="3">
        <v>44656.0</v>
      </c>
      <c r="P1099" s="4" t="str">
        <f t="array" ref="P1099">XLOOKUP(O1099,Agregado!$B$2:$B$1511,Agregado!$G$2:$G$1511)</f>
        <v>#N/A</v>
      </c>
    </row>
    <row r="1100" ht="15.75" customHeight="1">
      <c r="B1100" s="13" t="s">
        <v>2019</v>
      </c>
      <c r="C1100" s="7">
        <v>127346.08800000012</v>
      </c>
      <c r="D1100" s="7">
        <v>154461.08400000026</v>
      </c>
      <c r="E1100" s="7">
        <v>171884.01999999996</v>
      </c>
      <c r="F1100" s="7">
        <f t="shared" si="1"/>
        <v>453691.192</v>
      </c>
      <c r="G1100" s="14">
        <f t="shared" si="2"/>
        <v>-0.006847550019</v>
      </c>
      <c r="I1100" s="12"/>
      <c r="J1100" s="12"/>
      <c r="K1100" s="12"/>
      <c r="L1100" s="12"/>
      <c r="M1100" s="12">
        <v>44686.0</v>
      </c>
      <c r="N1100" s="2">
        <v>413.81</v>
      </c>
      <c r="O1100" s="3">
        <v>44686.0</v>
      </c>
      <c r="P1100" s="4" t="str">
        <f t="array" ref="P1100">XLOOKUP(O1100,Agregado!$B$2:$B$1511,Agregado!$G$2:$G$1511)</f>
        <v>#N/A</v>
      </c>
    </row>
    <row r="1101" ht="15.75" customHeight="1">
      <c r="B1101" s="13" t="s">
        <v>2020</v>
      </c>
      <c r="C1101" s="7">
        <v>127817.23000000013</v>
      </c>
      <c r="D1101" s="7">
        <v>154480.79800000027</v>
      </c>
      <c r="E1101" s="7">
        <v>171979.31499999997</v>
      </c>
      <c r="F1101" s="7">
        <f t="shared" si="1"/>
        <v>454277.343</v>
      </c>
      <c r="G1101" s="14">
        <f t="shared" si="2"/>
        <v>0.001291126419</v>
      </c>
      <c r="I1101" s="12"/>
      <c r="J1101" s="12"/>
      <c r="K1101" s="12"/>
      <c r="L1101" s="12"/>
      <c r="M1101" s="12">
        <v>44687.0</v>
      </c>
      <c r="N1101" s="2">
        <v>411.34</v>
      </c>
      <c r="O1101" s="3">
        <v>44717.0</v>
      </c>
      <c r="P1101" s="4" t="str">
        <f t="array" ref="P1101">XLOOKUP(O1101,Agregado!$B$2:$B$1511,Agregado!$G$2:$G$1511)</f>
        <v>#N/A</v>
      </c>
    </row>
    <row r="1102" ht="15.75" customHeight="1">
      <c r="B1102" s="13" t="s">
        <v>2021</v>
      </c>
      <c r="C1102" s="7">
        <v>127817.23000000013</v>
      </c>
      <c r="D1102" s="7">
        <v>154559.57900000026</v>
      </c>
      <c r="E1102" s="7">
        <v>172269.00599999996</v>
      </c>
      <c r="F1102" s="7">
        <f t="shared" si="1"/>
        <v>454645.815</v>
      </c>
      <c r="G1102" s="14">
        <f t="shared" si="2"/>
        <v>0.000810788056</v>
      </c>
      <c r="I1102" s="12"/>
      <c r="J1102" s="12"/>
      <c r="K1102" s="12"/>
      <c r="L1102" s="12"/>
      <c r="M1102" s="12">
        <v>44690.0</v>
      </c>
      <c r="N1102" s="2">
        <v>398.17</v>
      </c>
      <c r="O1102" s="3">
        <v>44809.0</v>
      </c>
      <c r="P1102" s="4" t="str">
        <f t="array" ref="P1102">XLOOKUP(O1102,Agregado!$B$2:$B$1511,Agregado!$G$2:$G$1511)</f>
        <v>#N/A</v>
      </c>
    </row>
    <row r="1103" ht="15.75" customHeight="1">
      <c r="B1103" s="13" t="s">
        <v>2022</v>
      </c>
      <c r="C1103" s="7">
        <v>127094.28400000013</v>
      </c>
      <c r="D1103" s="7">
        <v>154438.57300000027</v>
      </c>
      <c r="E1103" s="7">
        <v>172330.26199999996</v>
      </c>
      <c r="F1103" s="7">
        <f t="shared" si="1"/>
        <v>453863.119</v>
      </c>
      <c r="G1103" s="14">
        <f t="shared" si="2"/>
        <v>-0.001723034666</v>
      </c>
      <c r="I1103" s="12"/>
      <c r="J1103" s="12"/>
      <c r="K1103" s="12"/>
      <c r="L1103" s="12"/>
      <c r="M1103" s="12">
        <v>44691.0</v>
      </c>
      <c r="N1103" s="2">
        <v>399.09</v>
      </c>
      <c r="O1103" s="3">
        <v>44839.0</v>
      </c>
      <c r="P1103" s="4" t="str">
        <f t="array" ref="P1103">XLOOKUP(O1103,Agregado!$B$2:$B$1511,Agregado!$G$2:$G$1511)</f>
        <v>#N/A</v>
      </c>
    </row>
    <row r="1104" ht="15.75" customHeight="1">
      <c r="B1104" s="13" t="s">
        <v>2023</v>
      </c>
      <c r="C1104" s="7">
        <v>127174.29900000013</v>
      </c>
      <c r="D1104" s="7">
        <v>154438.57300000027</v>
      </c>
      <c r="E1104" s="7">
        <v>172462.21899999995</v>
      </c>
      <c r="F1104" s="7">
        <f t="shared" si="1"/>
        <v>454075.091</v>
      </c>
      <c r="G1104" s="14">
        <f t="shared" si="2"/>
        <v>0.0004669304618</v>
      </c>
      <c r="I1104" s="12"/>
      <c r="J1104" s="12"/>
      <c r="K1104" s="12"/>
      <c r="L1104" s="12"/>
      <c r="M1104" s="12">
        <v>44692.0</v>
      </c>
      <c r="N1104" s="2">
        <v>392.75</v>
      </c>
      <c r="O1104" s="3">
        <v>44870.0</v>
      </c>
      <c r="P1104" s="4" t="str">
        <f t="array" ref="P1104">XLOOKUP(O1104,Agregado!$B$2:$B$1511,Agregado!$G$2:$G$1511)</f>
        <v>#N/A</v>
      </c>
    </row>
    <row r="1105" ht="15.75" customHeight="1">
      <c r="B1105" s="13" t="s">
        <v>2024</v>
      </c>
      <c r="C1105" s="7">
        <v>125460.07100000013</v>
      </c>
      <c r="D1105" s="7">
        <v>159459.91900000026</v>
      </c>
      <c r="E1105" s="7">
        <v>172529.13099999996</v>
      </c>
      <c r="F1105" s="7">
        <f t="shared" si="1"/>
        <v>457449.121</v>
      </c>
      <c r="G1105" s="14">
        <f t="shared" si="2"/>
        <v>0.007403084559</v>
      </c>
      <c r="I1105" s="12"/>
      <c r="J1105" s="12"/>
      <c r="K1105" s="12"/>
      <c r="L1105" s="12"/>
      <c r="M1105" s="12">
        <v>44693.0</v>
      </c>
      <c r="N1105" s="2">
        <v>392.34</v>
      </c>
      <c r="O1105" s="3">
        <v>44900.0</v>
      </c>
      <c r="P1105" s="4" t="str">
        <f t="array" ref="P1105">XLOOKUP(O1105,Agregado!$B$2:$B$1511,Agregado!$G$2:$G$1511)</f>
        <v>#N/A</v>
      </c>
    </row>
    <row r="1106" ht="15.75" customHeight="1">
      <c r="B1106" s="13" t="s">
        <v>2025</v>
      </c>
      <c r="C1106" s="7">
        <v>127027.21500000013</v>
      </c>
      <c r="D1106" s="7">
        <v>159400.90200000026</v>
      </c>
      <c r="E1106" s="7">
        <v>172673.14899999998</v>
      </c>
      <c r="F1106" s="7">
        <f t="shared" si="1"/>
        <v>459101.266</v>
      </c>
      <c r="G1106" s="14">
        <f t="shared" si="2"/>
        <v>0.003605141218</v>
      </c>
      <c r="I1106" s="12"/>
      <c r="J1106" s="12"/>
      <c r="K1106" s="12"/>
      <c r="L1106" s="12"/>
      <c r="M1106" s="12">
        <v>44694.0</v>
      </c>
      <c r="N1106" s="2">
        <v>401.72</v>
      </c>
      <c r="O1106" s="3" t="s">
        <v>659</v>
      </c>
      <c r="P1106" s="4" t="str">
        <f t="array" ref="P1106">XLOOKUP(O1106,Agregado!$B$2:$B$1511,Agregado!$G$2:$G$1511)</f>
        <v>#N/A</v>
      </c>
    </row>
    <row r="1107" ht="15.75" customHeight="1">
      <c r="B1107" s="13" t="s">
        <v>2026</v>
      </c>
      <c r="C1107" s="7">
        <v>128819.12300000012</v>
      </c>
      <c r="D1107" s="7">
        <v>159557.37700000027</v>
      </c>
      <c r="E1107" s="7">
        <v>172876.67599999998</v>
      </c>
      <c r="F1107" s="7">
        <f t="shared" si="1"/>
        <v>461253.176</v>
      </c>
      <c r="G1107" s="14">
        <f t="shared" si="2"/>
        <v>0.004676272147</v>
      </c>
      <c r="I1107" s="12"/>
      <c r="J1107" s="12"/>
      <c r="K1107" s="12"/>
      <c r="L1107" s="12"/>
      <c r="M1107" s="12">
        <v>44697.0</v>
      </c>
      <c r="N1107" s="2">
        <v>400.09</v>
      </c>
      <c r="O1107" s="3" t="s">
        <v>660</v>
      </c>
      <c r="P1107" s="4" t="str">
        <f t="array" ref="P1107">XLOOKUP(O1107,Agregado!$B$2:$B$1511,Agregado!$G$2:$G$1511)</f>
        <v>#N/A</v>
      </c>
    </row>
    <row r="1108" ht="15.75" customHeight="1">
      <c r="B1108" s="13" t="s">
        <v>2027</v>
      </c>
      <c r="C1108" s="7">
        <v>128936.00400000012</v>
      </c>
      <c r="D1108" s="7">
        <v>159772.56600000028</v>
      </c>
      <c r="E1108" s="7">
        <v>173048.30999999997</v>
      </c>
      <c r="F1108" s="7">
        <f t="shared" si="1"/>
        <v>461756.88</v>
      </c>
      <c r="G1108" s="14">
        <f t="shared" si="2"/>
        <v>0.001091437838</v>
      </c>
      <c r="I1108" s="12"/>
      <c r="J1108" s="12"/>
      <c r="K1108" s="12"/>
      <c r="L1108" s="12"/>
      <c r="M1108" s="12">
        <v>44698.0</v>
      </c>
      <c r="N1108" s="2">
        <v>408.32</v>
      </c>
      <c r="O1108" s="3" t="s">
        <v>661</v>
      </c>
      <c r="P1108" s="4" t="str">
        <f t="array" ref="P1108">XLOOKUP(O1108,Agregado!$B$2:$B$1511,Agregado!$G$2:$G$1511)</f>
        <v>#N/A</v>
      </c>
    </row>
    <row r="1109" ht="15.75" customHeight="1">
      <c r="B1109" s="13" t="s">
        <v>2028</v>
      </c>
      <c r="C1109" s="7">
        <v>130582.99000000012</v>
      </c>
      <c r="D1109" s="7">
        <v>160111.34100000028</v>
      </c>
      <c r="E1109" s="7">
        <v>173277.81299999997</v>
      </c>
      <c r="F1109" s="7">
        <f t="shared" si="1"/>
        <v>463972.144</v>
      </c>
      <c r="G1109" s="14">
        <f t="shared" si="2"/>
        <v>0.004785997135</v>
      </c>
      <c r="I1109" s="12"/>
      <c r="J1109" s="12"/>
      <c r="K1109" s="12"/>
      <c r="L1109" s="12"/>
      <c r="M1109" s="12">
        <v>44699.0</v>
      </c>
      <c r="N1109" s="2">
        <v>391.86</v>
      </c>
      <c r="O1109" s="3" t="s">
        <v>662</v>
      </c>
      <c r="P1109" s="4" t="str">
        <f t="array" ref="P1109">XLOOKUP(O1109,Agregado!$B$2:$B$1511,Agregado!$G$2:$G$1511)</f>
        <v>#N/A</v>
      </c>
    </row>
    <row r="1110" ht="15.75" customHeight="1">
      <c r="B1110" s="13" t="s">
        <v>2029</v>
      </c>
      <c r="C1110" s="7">
        <v>132275.70100000012</v>
      </c>
      <c r="D1110" s="7">
        <v>160447.3700000003</v>
      </c>
      <c r="E1110" s="7">
        <v>173849.68799999997</v>
      </c>
      <c r="F1110" s="7">
        <f t="shared" si="1"/>
        <v>466572.759</v>
      </c>
      <c r="G1110" s="14">
        <f t="shared" si="2"/>
        <v>0.00558946003</v>
      </c>
      <c r="I1110" s="12"/>
      <c r="J1110" s="12"/>
      <c r="K1110" s="12"/>
      <c r="L1110" s="12"/>
      <c r="M1110" s="12">
        <v>44700.0</v>
      </c>
      <c r="N1110" s="2">
        <v>389.46</v>
      </c>
      <c r="O1110" s="3" t="s">
        <v>663</v>
      </c>
      <c r="P1110" s="4" t="str">
        <f t="array" ref="P1110">XLOOKUP(O1110,Agregado!$B$2:$B$1511,Agregado!$G$2:$G$1511)</f>
        <v>#N/A</v>
      </c>
    </row>
    <row r="1111" ht="15.75" customHeight="1">
      <c r="B1111" s="13" t="s">
        <v>2030</v>
      </c>
      <c r="C1111" s="7">
        <v>135216.24600000013</v>
      </c>
      <c r="D1111" s="7">
        <v>160906.2990000003</v>
      </c>
      <c r="E1111" s="7">
        <v>174027.91499999998</v>
      </c>
      <c r="F1111" s="7">
        <f t="shared" si="1"/>
        <v>470150.46</v>
      </c>
      <c r="G1111" s="14">
        <f t="shared" si="2"/>
        <v>0.007638795162</v>
      </c>
      <c r="I1111" s="12"/>
      <c r="J1111" s="12"/>
      <c r="K1111" s="12"/>
      <c r="L1111" s="12"/>
      <c r="M1111" s="12">
        <v>44701.0</v>
      </c>
      <c r="N1111" s="2">
        <v>389.63</v>
      </c>
      <c r="O1111" s="3" t="s">
        <v>664</v>
      </c>
      <c r="P1111" s="4" t="str">
        <f t="array" ref="P1111">XLOOKUP(O1111,Agregado!$B$2:$B$1511,Agregado!$G$2:$G$1511)</f>
        <v>#N/A</v>
      </c>
    </row>
    <row r="1112" ht="15.75" customHeight="1">
      <c r="B1112" s="13" t="s">
        <v>2031</v>
      </c>
      <c r="C1112" s="7">
        <v>132865.69200000013</v>
      </c>
      <c r="D1112" s="7">
        <v>161679.6330000003</v>
      </c>
      <c r="E1112" s="7">
        <v>174325.83999999997</v>
      </c>
      <c r="F1112" s="7">
        <f t="shared" si="1"/>
        <v>468871.165</v>
      </c>
      <c r="G1112" s="14">
        <f t="shared" si="2"/>
        <v>-0.002724741917</v>
      </c>
      <c r="I1112" s="12"/>
      <c r="J1112" s="12"/>
      <c r="K1112" s="12"/>
      <c r="L1112" s="12"/>
      <c r="M1112" s="12">
        <v>44704.0</v>
      </c>
      <c r="N1112" s="2">
        <v>396.92</v>
      </c>
      <c r="O1112" s="3" t="s">
        <v>665</v>
      </c>
      <c r="P1112" s="4" t="str">
        <f t="array" ref="P1112">XLOOKUP(O1112,Agregado!$B$2:$B$1511,Agregado!$G$2:$G$1511)</f>
        <v>#N/A</v>
      </c>
    </row>
    <row r="1113" ht="15.75" customHeight="1">
      <c r="B1113" s="13" t="s">
        <v>2032</v>
      </c>
      <c r="C1113" s="7">
        <v>133758.66900000014</v>
      </c>
      <c r="D1113" s="7">
        <v>161846.4970000003</v>
      </c>
      <c r="E1113" s="7">
        <v>174566.07899999997</v>
      </c>
      <c r="F1113" s="7">
        <f t="shared" si="1"/>
        <v>470171.245</v>
      </c>
      <c r="G1113" s="14">
        <f t="shared" si="2"/>
        <v>0.002768950192</v>
      </c>
      <c r="I1113" s="12"/>
      <c r="J1113" s="12"/>
      <c r="K1113" s="12"/>
      <c r="L1113" s="12"/>
      <c r="M1113" s="12">
        <v>44705.0</v>
      </c>
      <c r="N1113" s="2">
        <v>393.89</v>
      </c>
      <c r="O1113" s="3" t="s">
        <v>666</v>
      </c>
      <c r="P1113" s="4" t="str">
        <f t="array" ref="P1113">XLOOKUP(O1113,Agregado!$B$2:$B$1511,Agregado!$G$2:$G$1511)</f>
        <v>#N/A</v>
      </c>
    </row>
    <row r="1114" ht="15.75" customHeight="1">
      <c r="B1114" s="13" t="s">
        <v>2033</v>
      </c>
      <c r="C1114" s="7">
        <v>135141.46200000015</v>
      </c>
      <c r="D1114" s="7">
        <v>162302.5340000003</v>
      </c>
      <c r="E1114" s="7">
        <v>174752.31699999998</v>
      </c>
      <c r="F1114" s="7">
        <f t="shared" si="1"/>
        <v>472196.313</v>
      </c>
      <c r="G1114" s="14">
        <f t="shared" si="2"/>
        <v>0.004297837081</v>
      </c>
      <c r="I1114" s="12"/>
      <c r="J1114" s="12"/>
      <c r="K1114" s="12"/>
      <c r="L1114" s="12"/>
      <c r="M1114" s="12">
        <v>44706.0</v>
      </c>
      <c r="N1114" s="2">
        <v>397.37</v>
      </c>
      <c r="O1114" s="3" t="s">
        <v>667</v>
      </c>
      <c r="P1114" s="4" t="str">
        <f t="array" ref="P1114">XLOOKUP(O1114,Agregado!$B$2:$B$1511,Agregado!$G$2:$G$1511)</f>
        <v>#N/A</v>
      </c>
    </row>
    <row r="1115" ht="15.75" customHeight="1">
      <c r="B1115" s="13" t="s">
        <v>2034</v>
      </c>
      <c r="C1115" s="7">
        <v>131433.36800000013</v>
      </c>
      <c r="D1115" s="7">
        <v>163125.57100000032</v>
      </c>
      <c r="E1115" s="7">
        <v>175317.85899999997</v>
      </c>
      <c r="F1115" s="7">
        <f t="shared" si="1"/>
        <v>469876.798</v>
      </c>
      <c r="G1115" s="14">
        <f t="shared" si="2"/>
        <v>-0.004924288062</v>
      </c>
      <c r="I1115" s="12"/>
      <c r="J1115" s="12"/>
      <c r="K1115" s="12"/>
      <c r="L1115" s="12"/>
      <c r="M1115" s="12">
        <v>44707.0</v>
      </c>
      <c r="N1115" s="2">
        <v>405.31</v>
      </c>
      <c r="O1115" s="3" t="s">
        <v>668</v>
      </c>
      <c r="P1115" s="4" t="str">
        <f t="array" ref="P1115">XLOOKUP(O1115,Agregado!$B$2:$B$1511,Agregado!$G$2:$G$1511)</f>
        <v>#N/A</v>
      </c>
    </row>
    <row r="1116" ht="15.75" customHeight="1">
      <c r="B1116" s="13" t="s">
        <v>2035</v>
      </c>
      <c r="C1116" s="7">
        <v>129638.82500000013</v>
      </c>
      <c r="D1116" s="7">
        <v>163586.66300000032</v>
      </c>
      <c r="E1116" s="7">
        <v>175669.91499999998</v>
      </c>
      <c r="F1116" s="7">
        <f t="shared" si="1"/>
        <v>468895.403</v>
      </c>
      <c r="G1116" s="14">
        <f t="shared" si="2"/>
        <v>-0.002090806175</v>
      </c>
      <c r="I1116" s="12"/>
      <c r="J1116" s="12"/>
      <c r="K1116" s="12"/>
      <c r="L1116" s="12"/>
      <c r="M1116" s="12">
        <v>44708.0</v>
      </c>
      <c r="N1116" s="2">
        <v>415.26</v>
      </c>
      <c r="O1116" s="3" t="s">
        <v>669</v>
      </c>
      <c r="P1116" s="4" t="str">
        <f t="array" ref="P1116">XLOOKUP(O1116,Agregado!$B$2:$B$1511,Agregado!$G$2:$G$1511)</f>
        <v>#N/A</v>
      </c>
    </row>
    <row r="1117" ht="15.75" customHeight="1">
      <c r="B1117" s="13" t="s">
        <v>2036</v>
      </c>
      <c r="C1117" s="7">
        <v>129413.01700000012</v>
      </c>
      <c r="D1117" s="7">
        <v>163916.54500000033</v>
      </c>
      <c r="E1117" s="7">
        <v>175617.61899999998</v>
      </c>
      <c r="F1117" s="7">
        <f t="shared" si="1"/>
        <v>468947.181</v>
      </c>
      <c r="G1117" s="14">
        <f t="shared" si="2"/>
        <v>0.0001104193837</v>
      </c>
      <c r="I1117" s="12"/>
      <c r="J1117" s="12"/>
      <c r="K1117" s="12"/>
      <c r="L1117" s="12"/>
      <c r="M1117" s="12">
        <v>44712.0</v>
      </c>
      <c r="N1117" s="2">
        <v>412.93</v>
      </c>
      <c r="O1117" s="3" t="s">
        <v>670</v>
      </c>
      <c r="P1117" s="4" t="str">
        <f t="array" ref="P1117">XLOOKUP(O1117,Agregado!$B$2:$B$1511,Agregado!$G$2:$G$1511)</f>
        <v>#N/A</v>
      </c>
    </row>
    <row r="1118" ht="15.75" customHeight="1">
      <c r="B1118" s="13" t="s">
        <v>2037</v>
      </c>
      <c r="C1118" s="7">
        <v>129639.53200000012</v>
      </c>
      <c r="D1118" s="7">
        <v>169273.29700000034</v>
      </c>
      <c r="E1118" s="7">
        <v>175631.74399999998</v>
      </c>
      <c r="F1118" s="7">
        <f t="shared" si="1"/>
        <v>474544.573</v>
      </c>
      <c r="G1118" s="14">
        <f t="shared" si="2"/>
        <v>0.01186540878</v>
      </c>
      <c r="I1118" s="12"/>
      <c r="J1118" s="12"/>
      <c r="K1118" s="12"/>
      <c r="L1118" s="12"/>
      <c r="M1118" s="12">
        <v>44713.0</v>
      </c>
      <c r="N1118" s="2">
        <v>409.59</v>
      </c>
      <c r="O1118" s="3">
        <v>44567.0</v>
      </c>
      <c r="P1118" s="4" t="str">
        <f t="array" ref="P1118">XLOOKUP(O1118,Agregado!$B$2:$B$1511,Agregado!$G$2:$G$1511)</f>
        <v>#N/A</v>
      </c>
    </row>
    <row r="1119" ht="15.75" customHeight="1">
      <c r="B1119" s="13" t="s">
        <v>2038</v>
      </c>
      <c r="C1119" s="7">
        <v>131011.56000000013</v>
      </c>
      <c r="D1119" s="7">
        <v>169335.93700000035</v>
      </c>
      <c r="E1119" s="7">
        <v>180117.27</v>
      </c>
      <c r="F1119" s="7">
        <f t="shared" si="1"/>
        <v>480464.767</v>
      </c>
      <c r="G1119" s="14">
        <f t="shared" si="2"/>
        <v>0.01239834961</v>
      </c>
      <c r="I1119" s="12"/>
      <c r="J1119" s="12"/>
      <c r="K1119" s="12"/>
      <c r="L1119" s="12"/>
      <c r="M1119" s="12">
        <v>44714.0</v>
      </c>
      <c r="N1119" s="2">
        <v>417.39</v>
      </c>
      <c r="O1119" s="3">
        <v>44598.0</v>
      </c>
      <c r="P1119" s="4" t="str">
        <f t="array" ref="P1119">XLOOKUP(O1119,Agregado!$B$2:$B$1511,Agregado!$G$2:$G$1511)</f>
        <v>#N/A</v>
      </c>
    </row>
    <row r="1120" ht="15.75" customHeight="1">
      <c r="B1120" s="13" t="s">
        <v>2039</v>
      </c>
      <c r="C1120" s="7">
        <v>130127.25000000013</v>
      </c>
      <c r="D1120" s="7">
        <v>169356.59200000035</v>
      </c>
      <c r="E1120" s="7">
        <v>180177.24099999998</v>
      </c>
      <c r="F1120" s="7">
        <f t="shared" si="1"/>
        <v>479661.083</v>
      </c>
      <c r="G1120" s="14">
        <f t="shared" si="2"/>
        <v>-0.001674122591</v>
      </c>
      <c r="I1120" s="12"/>
      <c r="J1120" s="12"/>
      <c r="K1120" s="12"/>
      <c r="L1120" s="12"/>
      <c r="M1120" s="12">
        <v>44715.0</v>
      </c>
      <c r="N1120" s="2">
        <v>410.54</v>
      </c>
      <c r="O1120" s="3">
        <v>44626.0</v>
      </c>
      <c r="P1120" s="4" t="str">
        <f t="array" ref="P1120">XLOOKUP(O1120,Agregado!$B$2:$B$1511,Agregado!$G$2:$G$1511)</f>
        <v>#N/A</v>
      </c>
    </row>
    <row r="1121" ht="15.75" customHeight="1">
      <c r="B1121" s="13" t="s">
        <v>2040</v>
      </c>
      <c r="C1121" s="7">
        <v>126794.04600000013</v>
      </c>
      <c r="D1121" s="7">
        <v>169075.16900000034</v>
      </c>
      <c r="E1121" s="7">
        <v>180316.58599999998</v>
      </c>
      <c r="F1121" s="7">
        <f t="shared" si="1"/>
        <v>476185.801</v>
      </c>
      <c r="G1121" s="14">
        <f t="shared" si="2"/>
        <v>-0.007271661124</v>
      </c>
      <c r="I1121" s="12"/>
      <c r="J1121" s="12"/>
      <c r="K1121" s="12"/>
      <c r="L1121" s="12"/>
      <c r="M1121" s="12">
        <v>44718.0</v>
      </c>
      <c r="N1121" s="2">
        <v>411.79</v>
      </c>
      <c r="O1121" s="3">
        <v>44718.0</v>
      </c>
      <c r="P1121" s="4" t="str">
        <f t="array" ref="P1121">XLOOKUP(O1121,Agregado!$B$2:$B$1511,Agregado!$G$2:$G$1511)</f>
        <v>#N/A</v>
      </c>
    </row>
    <row r="1122" ht="15.75" customHeight="1">
      <c r="B1122" s="13" t="s">
        <v>2041</v>
      </c>
      <c r="C1122" s="7">
        <v>121081.32700000014</v>
      </c>
      <c r="D1122" s="7">
        <v>169036.13500000033</v>
      </c>
      <c r="E1122" s="7">
        <v>180291.53199999998</v>
      </c>
      <c r="F1122" s="7">
        <f t="shared" si="1"/>
        <v>470408.994</v>
      </c>
      <c r="G1122" s="14">
        <f t="shared" si="2"/>
        <v>-0.0122056</v>
      </c>
      <c r="I1122" s="12"/>
      <c r="J1122" s="12"/>
      <c r="K1122" s="12"/>
      <c r="L1122" s="12"/>
      <c r="M1122" s="12">
        <v>44719.0</v>
      </c>
      <c r="N1122" s="2">
        <v>415.74</v>
      </c>
      <c r="O1122" s="3">
        <v>44748.0</v>
      </c>
      <c r="P1122" s="4" t="str">
        <f t="array" ref="P1122">XLOOKUP(O1122,Agregado!$B$2:$B$1511,Agregado!$G$2:$G$1511)</f>
        <v>#N/A</v>
      </c>
    </row>
    <row r="1123" ht="15.75" customHeight="1">
      <c r="B1123" s="13" t="s">
        <v>2042</v>
      </c>
      <c r="C1123" s="7">
        <v>120650.21300000013</v>
      </c>
      <c r="D1123" s="7">
        <v>168116.87200000032</v>
      </c>
      <c r="E1123" s="7">
        <v>180199.52599999998</v>
      </c>
      <c r="F1123" s="7">
        <f t="shared" si="1"/>
        <v>468966.611</v>
      </c>
      <c r="G1123" s="14">
        <f t="shared" si="2"/>
        <v>-0.003070942285</v>
      </c>
      <c r="I1123" s="12"/>
      <c r="J1123" s="12"/>
      <c r="K1123" s="12"/>
      <c r="L1123" s="12"/>
      <c r="M1123" s="12">
        <v>44720.0</v>
      </c>
      <c r="N1123" s="2">
        <v>411.22</v>
      </c>
      <c r="O1123" s="3">
        <v>44779.0</v>
      </c>
      <c r="P1123" s="4" t="str">
        <f t="array" ref="P1123">XLOOKUP(O1123,Agregado!$B$2:$B$1511,Agregado!$G$2:$G$1511)</f>
        <v>#N/A</v>
      </c>
    </row>
    <row r="1124" ht="15.75" customHeight="1">
      <c r="B1124" s="13" t="s">
        <v>2043</v>
      </c>
      <c r="C1124" s="7">
        <v>124890.60700000013</v>
      </c>
      <c r="D1124" s="7">
        <v>168079.48000000033</v>
      </c>
      <c r="E1124" s="7">
        <v>180312.85499999998</v>
      </c>
      <c r="F1124" s="7">
        <f t="shared" si="1"/>
        <v>473282.942</v>
      </c>
      <c r="G1124" s="14">
        <f t="shared" si="2"/>
        <v>0.009161821682</v>
      </c>
      <c r="I1124" s="12"/>
      <c r="J1124" s="12"/>
      <c r="K1124" s="12"/>
      <c r="L1124" s="12"/>
      <c r="M1124" s="12">
        <v>44721.0</v>
      </c>
      <c r="N1124" s="2">
        <v>401.44</v>
      </c>
      <c r="O1124" s="3">
        <v>44810.0</v>
      </c>
      <c r="P1124" s="4" t="str">
        <f t="array" ref="P1124">XLOOKUP(O1124,Agregado!$B$2:$B$1511,Agregado!$G$2:$G$1511)</f>
        <v>#N/A</v>
      </c>
    </row>
    <row r="1125" ht="15.75" customHeight="1">
      <c r="B1125" s="13" t="s">
        <v>2044</v>
      </c>
      <c r="C1125" s="7">
        <v>130784.75100000013</v>
      </c>
      <c r="D1125" s="7">
        <v>167756.99800000034</v>
      </c>
      <c r="E1125" s="7">
        <v>181250.97299999997</v>
      </c>
      <c r="F1125" s="7">
        <f t="shared" si="1"/>
        <v>479792.722</v>
      </c>
      <c r="G1125" s="14">
        <f t="shared" si="2"/>
        <v>0.01366078577</v>
      </c>
      <c r="I1125" s="12"/>
      <c r="J1125" s="12"/>
      <c r="K1125" s="12"/>
      <c r="L1125" s="12"/>
      <c r="M1125" s="12">
        <v>44722.0</v>
      </c>
      <c r="N1125" s="2">
        <v>389.8</v>
      </c>
      <c r="O1125" s="3">
        <v>44840.0</v>
      </c>
      <c r="P1125" s="4" t="str">
        <f t="array" ref="P1125">XLOOKUP(O1125,Agregado!$B$2:$B$1511,Agregado!$G$2:$G$1511)</f>
        <v>#N/A</v>
      </c>
    </row>
    <row r="1126" ht="15.75" customHeight="1">
      <c r="B1126" s="13" t="s">
        <v>2045</v>
      </c>
      <c r="C1126" s="7">
        <v>133370.73500000013</v>
      </c>
      <c r="D1126" s="7">
        <v>168179.15800000035</v>
      </c>
      <c r="E1126" s="7">
        <v>181414.36299999998</v>
      </c>
      <c r="F1126" s="7">
        <f t="shared" si="1"/>
        <v>482964.256</v>
      </c>
      <c r="G1126" s="14">
        <f t="shared" si="2"/>
        <v>0.006588465303</v>
      </c>
      <c r="I1126" s="12"/>
      <c r="J1126" s="12"/>
      <c r="K1126" s="12"/>
      <c r="L1126" s="12"/>
      <c r="M1126" s="12">
        <v>44725.0</v>
      </c>
      <c r="N1126" s="2">
        <v>375.0</v>
      </c>
      <c r="O1126" s="3" t="s">
        <v>671</v>
      </c>
      <c r="P1126" s="4" t="str">
        <f t="array" ref="P1126">XLOOKUP(O1126,Agregado!$B$2:$B$1511,Agregado!$G$2:$G$1511)</f>
        <v>#N/A</v>
      </c>
    </row>
    <row r="1127" ht="15.75" customHeight="1">
      <c r="B1127" s="13" t="s">
        <v>2046</v>
      </c>
      <c r="C1127" s="7">
        <v>133370.73500000013</v>
      </c>
      <c r="D1127" s="7">
        <v>168179.15800000035</v>
      </c>
      <c r="E1127" s="7">
        <v>181414.36299999998</v>
      </c>
      <c r="F1127" s="7">
        <f t="shared" si="1"/>
        <v>482964.256</v>
      </c>
      <c r="G1127" s="14">
        <f t="shared" si="2"/>
        <v>0</v>
      </c>
      <c r="I1127" s="12"/>
      <c r="J1127" s="12"/>
      <c r="K1127" s="12"/>
      <c r="L1127" s="12"/>
      <c r="M1127" s="12">
        <v>44726.0</v>
      </c>
      <c r="N1127" s="2">
        <v>373.87</v>
      </c>
      <c r="O1127" s="3" t="s">
        <v>672</v>
      </c>
      <c r="P1127" s="4" t="str">
        <f t="array" ref="P1127">XLOOKUP(O1127,Agregado!$B$2:$B$1511,Agregado!$G$2:$G$1511)</f>
        <v>#N/A</v>
      </c>
    </row>
    <row r="1128" ht="15.75" customHeight="1">
      <c r="B1128" s="13" t="s">
        <v>2047</v>
      </c>
      <c r="C1128" s="7">
        <v>136372.24800000014</v>
      </c>
      <c r="D1128" s="7">
        <v>167222.59000000035</v>
      </c>
      <c r="E1128" s="7">
        <v>180740.927</v>
      </c>
      <c r="F1128" s="7">
        <f t="shared" si="1"/>
        <v>484335.765</v>
      </c>
      <c r="G1128" s="14">
        <f t="shared" si="2"/>
        <v>0.002835748763</v>
      </c>
      <c r="I1128" s="12"/>
      <c r="J1128" s="12"/>
      <c r="K1128" s="12"/>
      <c r="L1128" s="12"/>
      <c r="M1128" s="12">
        <v>44727.0</v>
      </c>
      <c r="N1128" s="2">
        <v>379.2</v>
      </c>
      <c r="O1128" s="3" t="s">
        <v>673</v>
      </c>
      <c r="P1128" s="4" t="str">
        <f t="array" ref="P1128">XLOOKUP(O1128,Agregado!$B$2:$B$1511,Agregado!$G$2:$G$1511)</f>
        <v>#N/A</v>
      </c>
    </row>
    <row r="1129" ht="15.75" customHeight="1">
      <c r="B1129" s="13" t="s">
        <v>2048</v>
      </c>
      <c r="C1129" s="7">
        <v>132022.03700000013</v>
      </c>
      <c r="D1129" s="7">
        <v>166996.43000000034</v>
      </c>
      <c r="E1129" s="7">
        <v>180664.929</v>
      </c>
      <c r="F1129" s="7">
        <f t="shared" si="1"/>
        <v>479683.396</v>
      </c>
      <c r="G1129" s="14">
        <f t="shared" si="2"/>
        <v>-0.009652100928</v>
      </c>
      <c r="I1129" s="12"/>
      <c r="J1129" s="12"/>
      <c r="K1129" s="12"/>
      <c r="L1129" s="12"/>
      <c r="M1129" s="12">
        <v>44728.0</v>
      </c>
      <c r="N1129" s="2">
        <v>366.65</v>
      </c>
      <c r="O1129" s="3" t="s">
        <v>674</v>
      </c>
      <c r="P1129" s="4" t="str">
        <f t="array" ref="P1129">XLOOKUP(O1129,Agregado!$B$2:$B$1511,Agregado!$G$2:$G$1511)</f>
        <v>#N/A</v>
      </c>
    </row>
    <row r="1130" ht="15.75" customHeight="1">
      <c r="B1130" s="13" t="s">
        <v>2049</v>
      </c>
      <c r="C1130" s="7">
        <v>132902.18900000013</v>
      </c>
      <c r="D1130" s="7">
        <v>166525.86800000034</v>
      </c>
      <c r="E1130" s="7">
        <v>181029.945</v>
      </c>
      <c r="F1130" s="7">
        <f t="shared" si="1"/>
        <v>480458.002</v>
      </c>
      <c r="G1130" s="14">
        <f t="shared" si="2"/>
        <v>0.001613525195</v>
      </c>
      <c r="I1130" s="12"/>
      <c r="J1130" s="12"/>
      <c r="K1130" s="12"/>
      <c r="L1130" s="12"/>
      <c r="M1130" s="12">
        <v>44729.0</v>
      </c>
      <c r="N1130" s="2">
        <v>365.86</v>
      </c>
      <c r="O1130" s="3" t="s">
        <v>675</v>
      </c>
      <c r="P1130" s="4" t="str">
        <f t="array" ref="P1130">XLOOKUP(O1130,Agregado!$B$2:$B$1511,Agregado!$G$2:$G$1511)</f>
        <v>#N/A</v>
      </c>
    </row>
    <row r="1131" ht="15.75" customHeight="1">
      <c r="B1131" s="13" t="s">
        <v>2050</v>
      </c>
      <c r="C1131" s="7">
        <v>131276.29000000012</v>
      </c>
      <c r="D1131" s="7">
        <v>166373.84600000034</v>
      </c>
      <c r="E1131" s="7">
        <v>180908.749</v>
      </c>
      <c r="F1131" s="7">
        <f t="shared" si="1"/>
        <v>478558.885</v>
      </c>
      <c r="G1131" s="14">
        <f t="shared" si="2"/>
        <v>-0.003960554831</v>
      </c>
      <c r="I1131" s="3"/>
      <c r="J1131" s="3"/>
      <c r="K1131" s="3"/>
      <c r="L1131" s="3"/>
      <c r="M1131" s="3">
        <v>44002.0</v>
      </c>
      <c r="N1131" s="3"/>
      <c r="O1131" s="3" t="s">
        <v>676</v>
      </c>
      <c r="P1131" s="4" t="str">
        <f t="array" ref="P1131">XLOOKUP(O1131,Agregado!$B$2:$B$1511,Agregado!$G$2:$G$1511)</f>
        <v>#N/A</v>
      </c>
    </row>
    <row r="1132" ht="15.75" customHeight="1">
      <c r="B1132" s="13" t="s">
        <v>2051</v>
      </c>
      <c r="C1132" s="7">
        <v>133010.3590000001</v>
      </c>
      <c r="D1132" s="7">
        <v>166236.75800000035</v>
      </c>
      <c r="E1132" s="7">
        <v>181311.355</v>
      </c>
      <c r="F1132" s="7">
        <f t="shared" si="1"/>
        <v>480558.472</v>
      </c>
      <c r="G1132" s="14">
        <f t="shared" si="2"/>
        <v>0.004169645941</v>
      </c>
      <c r="I1132" s="12"/>
      <c r="J1132" s="12"/>
      <c r="K1132" s="12"/>
      <c r="L1132" s="12"/>
      <c r="M1132" s="12">
        <v>44733.0</v>
      </c>
      <c r="N1132" s="2">
        <v>375.07</v>
      </c>
      <c r="O1132" s="3" t="s">
        <v>677</v>
      </c>
      <c r="P1132" s="4" t="str">
        <f t="array" ref="P1132">XLOOKUP(O1132,Agregado!$B$2:$B$1511,Agregado!$G$2:$G$1511)</f>
        <v>#N/A</v>
      </c>
    </row>
    <row r="1133" ht="15.75" customHeight="1">
      <c r="B1133" s="13" t="s">
        <v>2052</v>
      </c>
      <c r="C1133" s="7">
        <v>133632.00800000012</v>
      </c>
      <c r="D1133" s="7">
        <v>165475.23700000034</v>
      </c>
      <c r="E1133" s="7">
        <v>181583.866</v>
      </c>
      <c r="F1133" s="7">
        <f t="shared" si="1"/>
        <v>480691.111</v>
      </c>
      <c r="G1133" s="14">
        <f t="shared" si="2"/>
        <v>0.000275972033</v>
      </c>
      <c r="I1133" s="12"/>
      <c r="J1133" s="12"/>
      <c r="K1133" s="12"/>
      <c r="L1133" s="12"/>
      <c r="M1133" s="12">
        <v>44734.0</v>
      </c>
      <c r="N1133" s="2">
        <v>374.39</v>
      </c>
      <c r="O1133" s="3" t="s">
        <v>678</v>
      </c>
      <c r="P1133" s="4" t="str">
        <f t="array" ref="P1133">XLOOKUP(O1133,Agregado!$B$2:$B$1511,Agregado!$G$2:$G$1511)</f>
        <v>#N/A</v>
      </c>
    </row>
    <row r="1134" ht="15.75" customHeight="1">
      <c r="B1134" s="13" t="s">
        <v>2053</v>
      </c>
      <c r="C1134" s="7">
        <v>133784.2890000001</v>
      </c>
      <c r="D1134" s="7">
        <v>165494.37000000034</v>
      </c>
      <c r="E1134" s="7">
        <v>182444.875</v>
      </c>
      <c r="F1134" s="7">
        <f t="shared" si="1"/>
        <v>481723.534</v>
      </c>
      <c r="G1134" s="14">
        <f t="shared" si="2"/>
        <v>0.002145485631</v>
      </c>
      <c r="I1134" s="12"/>
      <c r="J1134" s="12"/>
      <c r="K1134" s="12"/>
      <c r="L1134" s="12"/>
      <c r="M1134" s="12">
        <v>44735.0</v>
      </c>
      <c r="N1134" s="2">
        <v>378.06</v>
      </c>
      <c r="O1134" s="3" t="s">
        <v>679</v>
      </c>
      <c r="P1134" s="4" t="str">
        <f t="array" ref="P1134">XLOOKUP(O1134,Agregado!$B$2:$B$1511,Agregado!$G$2:$G$1511)</f>
        <v>#N/A</v>
      </c>
    </row>
    <row r="1135" ht="15.75" customHeight="1">
      <c r="B1135" s="13" t="s">
        <v>2054</v>
      </c>
      <c r="C1135" s="7">
        <v>133841.3600000001</v>
      </c>
      <c r="D1135" s="7">
        <v>165456.12700000036</v>
      </c>
      <c r="E1135" s="7">
        <v>181806.654</v>
      </c>
      <c r="F1135" s="7">
        <f t="shared" si="1"/>
        <v>481104.141</v>
      </c>
      <c r="G1135" s="14">
        <f t="shared" si="2"/>
        <v>-0.001286612551</v>
      </c>
      <c r="I1135" s="12"/>
      <c r="J1135" s="12"/>
      <c r="K1135" s="12"/>
      <c r="L1135" s="12"/>
      <c r="M1135" s="12">
        <v>44736.0</v>
      </c>
      <c r="N1135" s="2">
        <v>390.08</v>
      </c>
      <c r="O1135" s="3" t="s">
        <v>680</v>
      </c>
      <c r="P1135" s="4" t="str">
        <f t="array" ref="P1135">XLOOKUP(O1135,Agregado!$B$2:$B$1511,Agregado!$G$2:$G$1511)</f>
        <v>#N/A</v>
      </c>
    </row>
    <row r="1136" ht="15.75" customHeight="1">
      <c r="B1136" s="13" t="s">
        <v>2055</v>
      </c>
      <c r="C1136" s="7">
        <v>133501.8780000001</v>
      </c>
      <c r="D1136" s="7">
        <v>165380.29900000035</v>
      </c>
      <c r="E1136" s="7">
        <v>181667.97400000002</v>
      </c>
      <c r="F1136" s="7">
        <f t="shared" si="1"/>
        <v>480550.151</v>
      </c>
      <c r="G1136" s="14">
        <f t="shared" si="2"/>
        <v>-0.001152160534</v>
      </c>
      <c r="I1136" s="12"/>
      <c r="J1136" s="12"/>
      <c r="K1136" s="12"/>
      <c r="L1136" s="12"/>
      <c r="M1136" s="12">
        <v>44739.0</v>
      </c>
      <c r="N1136" s="2">
        <v>388.59</v>
      </c>
      <c r="O1136" s="3" t="s">
        <v>681</v>
      </c>
      <c r="P1136" s="4" t="str">
        <f t="array" ref="P1136">XLOOKUP(O1136,Agregado!$B$2:$B$1511,Agregado!$G$2:$G$1511)</f>
        <v>#N/A</v>
      </c>
    </row>
    <row r="1137" ht="15.75" customHeight="1">
      <c r="B1137" s="13" t="s">
        <v>2056</v>
      </c>
      <c r="C1137" s="7">
        <v>133349.4060000001</v>
      </c>
      <c r="D1137" s="7">
        <v>165552.71400000036</v>
      </c>
      <c r="E1137" s="7">
        <v>181837.35</v>
      </c>
      <c r="F1137" s="7">
        <f t="shared" si="1"/>
        <v>480739.47</v>
      </c>
      <c r="G1137" s="14">
        <f t="shared" si="2"/>
        <v>0.0003938854603</v>
      </c>
      <c r="I1137" s="12"/>
      <c r="J1137" s="12"/>
      <c r="K1137" s="12"/>
      <c r="L1137" s="12"/>
      <c r="M1137" s="12">
        <v>44740.0</v>
      </c>
      <c r="N1137" s="2">
        <v>380.65</v>
      </c>
      <c r="O1137" s="3" t="s">
        <v>682</v>
      </c>
      <c r="P1137" s="4" t="str">
        <f t="array" ref="P1137">XLOOKUP(O1137,Agregado!$B$2:$B$1511,Agregado!$G$2:$G$1511)</f>
        <v>#N/A</v>
      </c>
    </row>
    <row r="1138" ht="15.75" customHeight="1">
      <c r="B1138" s="13" t="s">
        <v>2057</v>
      </c>
      <c r="C1138" s="7">
        <v>129817.27100000011</v>
      </c>
      <c r="D1138" s="7">
        <v>165994.10900000035</v>
      </c>
      <c r="E1138" s="7">
        <v>182407.93</v>
      </c>
      <c r="F1138" s="7">
        <f t="shared" si="1"/>
        <v>478219.31</v>
      </c>
      <c r="G1138" s="14">
        <f t="shared" si="2"/>
        <v>-0.00525604615</v>
      </c>
      <c r="I1138" s="12"/>
      <c r="J1138" s="12"/>
      <c r="K1138" s="12"/>
      <c r="L1138" s="12"/>
      <c r="M1138" s="12">
        <v>44741.0</v>
      </c>
      <c r="N1138" s="2">
        <v>380.34</v>
      </c>
      <c r="O1138" s="3" t="s">
        <v>683</v>
      </c>
      <c r="P1138" s="4" t="str">
        <f t="array" ref="P1138">XLOOKUP(O1138,Agregado!$B$2:$B$1511,Agregado!$G$2:$G$1511)</f>
        <v>#N/A</v>
      </c>
    </row>
    <row r="1139" ht="15.75" customHeight="1">
      <c r="B1139" s="13" t="s">
        <v>2058</v>
      </c>
      <c r="C1139" s="7">
        <v>132059.1290000001</v>
      </c>
      <c r="D1139" s="7">
        <v>166186.70900000035</v>
      </c>
      <c r="E1139" s="7">
        <v>182719.45299999998</v>
      </c>
      <c r="F1139" s="7">
        <f t="shared" si="1"/>
        <v>480965.291</v>
      </c>
      <c r="G1139" s="14">
        <f t="shared" si="2"/>
        <v>0.005725672616</v>
      </c>
      <c r="I1139" s="12"/>
      <c r="J1139" s="12"/>
      <c r="K1139" s="12"/>
      <c r="L1139" s="12"/>
      <c r="M1139" s="12">
        <v>44742.0</v>
      </c>
      <c r="N1139" s="2">
        <v>377.25</v>
      </c>
      <c r="O1139" s="3" t="s">
        <v>684</v>
      </c>
      <c r="P1139" s="4" t="str">
        <f t="array" ref="P1139">XLOOKUP(O1139,Agregado!$B$2:$B$1511,Agregado!$G$2:$G$1511)</f>
        <v>#N/A</v>
      </c>
    </row>
    <row r="1140" ht="15.75" customHeight="1">
      <c r="B1140" s="13" t="s">
        <v>2059</v>
      </c>
      <c r="C1140" s="7">
        <v>130114.1300000001</v>
      </c>
      <c r="D1140" s="7">
        <v>166636.36900000036</v>
      </c>
      <c r="E1140" s="7">
        <v>182711.41499999998</v>
      </c>
      <c r="F1140" s="7">
        <f t="shared" si="1"/>
        <v>479461.914</v>
      </c>
      <c r="G1140" s="14">
        <f t="shared" si="2"/>
        <v>-0.003130644821</v>
      </c>
      <c r="I1140" s="12"/>
      <c r="J1140" s="12"/>
      <c r="K1140" s="12"/>
      <c r="L1140" s="12"/>
      <c r="M1140" s="12">
        <v>44743.0</v>
      </c>
      <c r="N1140" s="2">
        <v>381.24</v>
      </c>
      <c r="O1140" s="3">
        <v>44568.0</v>
      </c>
      <c r="P1140" s="4" t="str">
        <f t="array" ref="P1140">XLOOKUP(O1140,Agregado!$B$2:$B$1511,Agregado!$G$2:$G$1511)</f>
        <v>#N/A</v>
      </c>
    </row>
    <row r="1141" ht="15.75" customHeight="1">
      <c r="B1141" s="13" t="s">
        <v>2060</v>
      </c>
      <c r="C1141" s="7">
        <v>128539.87400000011</v>
      </c>
      <c r="D1141" s="7">
        <v>166558.22600000034</v>
      </c>
      <c r="E1141" s="7">
        <v>183196.06699999998</v>
      </c>
      <c r="F1141" s="7">
        <f t="shared" si="1"/>
        <v>478294.167</v>
      </c>
      <c r="G1141" s="14">
        <f t="shared" si="2"/>
        <v>-0.00243850726</v>
      </c>
      <c r="I1141" s="12"/>
      <c r="J1141" s="12"/>
      <c r="K1141" s="12"/>
      <c r="L1141" s="12"/>
      <c r="M1141" s="12">
        <v>44747.0</v>
      </c>
      <c r="N1141" s="2">
        <v>381.96</v>
      </c>
      <c r="O1141" s="3">
        <v>44688.0</v>
      </c>
      <c r="P1141" s="4" t="str">
        <f t="array" ref="P1141">XLOOKUP(O1141,Agregado!$B$2:$B$1511,Agregado!$G$2:$G$1511)</f>
        <v>#N/A</v>
      </c>
    </row>
    <row r="1142" ht="15.75" customHeight="1">
      <c r="B1142" s="13" t="s">
        <v>2061</v>
      </c>
      <c r="C1142" s="7">
        <v>127809.83100000011</v>
      </c>
      <c r="D1142" s="7">
        <v>166674.09100000034</v>
      </c>
      <c r="E1142" s="7">
        <v>183197.15699999998</v>
      </c>
      <c r="F1142" s="7">
        <f t="shared" si="1"/>
        <v>477681.079</v>
      </c>
      <c r="G1142" s="14">
        <f t="shared" si="2"/>
        <v>-0.001282644266</v>
      </c>
      <c r="I1142" s="12"/>
      <c r="J1142" s="12"/>
      <c r="K1142" s="12"/>
      <c r="L1142" s="12"/>
      <c r="M1142" s="12">
        <v>44748.0</v>
      </c>
      <c r="N1142" s="2">
        <v>383.25</v>
      </c>
      <c r="O1142" s="3">
        <v>44719.0</v>
      </c>
      <c r="P1142" s="4" t="str">
        <f t="array" ref="P1142">XLOOKUP(O1142,Agregado!$B$2:$B$1511,Agregado!$G$2:$G$1511)</f>
        <v>#N/A</v>
      </c>
    </row>
    <row r="1143" ht="15.75" customHeight="1">
      <c r="B1143" s="13" t="s">
        <v>2062</v>
      </c>
      <c r="C1143" s="7">
        <v>130170.1070000001</v>
      </c>
      <c r="D1143" s="7">
        <v>166961.08100000033</v>
      </c>
      <c r="E1143" s="7">
        <v>183452.10499999998</v>
      </c>
      <c r="F1143" s="7">
        <f t="shared" si="1"/>
        <v>480583.293</v>
      </c>
      <c r="G1143" s="14">
        <f t="shared" si="2"/>
        <v>0.006057248831</v>
      </c>
      <c r="I1143" s="12"/>
      <c r="J1143" s="12"/>
      <c r="K1143" s="12"/>
      <c r="L1143" s="12"/>
      <c r="M1143" s="12">
        <v>44749.0</v>
      </c>
      <c r="N1143" s="2">
        <v>388.99</v>
      </c>
      <c r="O1143" s="3">
        <v>44749.0</v>
      </c>
      <c r="P1143" s="4" t="str">
        <f t="array" ref="P1143">XLOOKUP(O1143,Agregado!$B$2:$B$1511,Agregado!$G$2:$G$1511)</f>
        <v>#N/A</v>
      </c>
    </row>
    <row r="1144" ht="15.75" customHeight="1">
      <c r="B1144" s="13" t="s">
        <v>2063</v>
      </c>
      <c r="C1144" s="7">
        <v>129014.1520000001</v>
      </c>
      <c r="D1144" s="7">
        <v>166903.93800000031</v>
      </c>
      <c r="E1144" s="7">
        <v>183318.69299999997</v>
      </c>
      <c r="F1144" s="7">
        <f t="shared" si="1"/>
        <v>479236.783</v>
      </c>
      <c r="G1144" s="14">
        <f t="shared" si="2"/>
        <v>-0.002805756864</v>
      </c>
      <c r="I1144" s="12"/>
      <c r="J1144" s="12"/>
      <c r="K1144" s="12"/>
      <c r="L1144" s="12"/>
      <c r="M1144" s="12">
        <v>44750.0</v>
      </c>
      <c r="N1144" s="2">
        <v>388.67</v>
      </c>
      <c r="O1144" s="3">
        <v>44780.0</v>
      </c>
      <c r="P1144" s="4" t="str">
        <f t="array" ref="P1144">XLOOKUP(O1144,Agregado!$B$2:$B$1511,Agregado!$G$2:$G$1511)</f>
        <v>#N/A</v>
      </c>
    </row>
    <row r="1145" ht="15.75" customHeight="1">
      <c r="B1145" s="13" t="s">
        <v>2064</v>
      </c>
      <c r="C1145" s="7">
        <v>129108.6300000001</v>
      </c>
      <c r="D1145" s="7">
        <v>166751.9930000003</v>
      </c>
      <c r="E1145" s="7">
        <v>183667.13499999998</v>
      </c>
      <c r="F1145" s="7">
        <f t="shared" si="1"/>
        <v>479527.758</v>
      </c>
      <c r="G1145" s="14">
        <f t="shared" si="2"/>
        <v>0.0006069790788</v>
      </c>
      <c r="I1145" s="12"/>
      <c r="J1145" s="12"/>
      <c r="K1145" s="12"/>
      <c r="L1145" s="12"/>
      <c r="M1145" s="12">
        <v>44753.0</v>
      </c>
      <c r="N1145" s="2">
        <v>384.23</v>
      </c>
      <c r="O1145" s="3">
        <v>44872.0</v>
      </c>
      <c r="P1145" s="4" t="str">
        <f t="array" ref="P1145">XLOOKUP(O1145,Agregado!$B$2:$B$1511,Agregado!$G$2:$G$1511)</f>
        <v>#N/A</v>
      </c>
    </row>
    <row r="1146" ht="15.75" customHeight="1">
      <c r="B1146" s="13" t="s">
        <v>2065</v>
      </c>
      <c r="C1146" s="7">
        <v>129108.6300000001</v>
      </c>
      <c r="D1146" s="7">
        <v>166713.27700000032</v>
      </c>
      <c r="E1146" s="7">
        <v>183704.13299999997</v>
      </c>
      <c r="F1146" s="7">
        <f t="shared" si="1"/>
        <v>479526.04</v>
      </c>
      <c r="G1146" s="14">
        <f t="shared" si="2"/>
        <v>-0.000003582697871</v>
      </c>
      <c r="I1146" s="12"/>
      <c r="J1146" s="12"/>
      <c r="K1146" s="12"/>
      <c r="L1146" s="12"/>
      <c r="M1146" s="12">
        <v>44754.0</v>
      </c>
      <c r="N1146" s="2">
        <v>380.83</v>
      </c>
      <c r="O1146" s="3">
        <v>44902.0</v>
      </c>
      <c r="P1146" s="4" t="str">
        <f t="array" ref="P1146">XLOOKUP(O1146,Agregado!$B$2:$B$1511,Agregado!$G$2:$G$1511)</f>
        <v>#N/A</v>
      </c>
    </row>
    <row r="1147" ht="15.75" customHeight="1">
      <c r="B1147" s="13" t="s">
        <v>2066</v>
      </c>
      <c r="C1147" s="7">
        <v>128211.0680000001</v>
      </c>
      <c r="D1147" s="7">
        <v>166866.84400000033</v>
      </c>
      <c r="E1147" s="7">
        <v>183880.28499999997</v>
      </c>
      <c r="F1147" s="7">
        <f t="shared" si="1"/>
        <v>478958.197</v>
      </c>
      <c r="G1147" s="14">
        <f t="shared" si="2"/>
        <v>-0.001184877214</v>
      </c>
      <c r="I1147" s="12"/>
      <c r="J1147" s="12"/>
      <c r="K1147" s="12"/>
      <c r="L1147" s="12"/>
      <c r="M1147" s="12">
        <v>44755.0</v>
      </c>
      <c r="N1147" s="2">
        <v>378.83</v>
      </c>
      <c r="O1147" s="3" t="s">
        <v>685</v>
      </c>
      <c r="P1147" s="4" t="str">
        <f t="array" ref="P1147">XLOOKUP(O1147,Agregado!$B$2:$B$1511,Agregado!$G$2:$G$1511)</f>
        <v>#N/A</v>
      </c>
    </row>
    <row r="1148" ht="15.75" customHeight="1">
      <c r="B1148" s="13" t="s">
        <v>2067</v>
      </c>
      <c r="C1148" s="7">
        <v>128956.8200000001</v>
      </c>
      <c r="D1148" s="7">
        <v>167083.84100000034</v>
      </c>
      <c r="E1148" s="7">
        <v>184026.87399999998</v>
      </c>
      <c r="F1148" s="7">
        <f t="shared" si="1"/>
        <v>480067.535</v>
      </c>
      <c r="G1148" s="14">
        <f t="shared" si="2"/>
        <v>0.002313469718</v>
      </c>
      <c r="I1148" s="12"/>
      <c r="J1148" s="12"/>
      <c r="K1148" s="12"/>
      <c r="L1148" s="12"/>
      <c r="M1148" s="12">
        <v>44756.0</v>
      </c>
      <c r="N1148" s="2">
        <v>377.91</v>
      </c>
      <c r="O1148" s="3" t="s">
        <v>686</v>
      </c>
      <c r="P1148" s="4" t="str">
        <f t="array" ref="P1148">XLOOKUP(O1148,Agregado!$B$2:$B$1511,Agregado!$G$2:$G$1511)</f>
        <v>#N/A</v>
      </c>
    </row>
    <row r="1149" ht="15.75" customHeight="1">
      <c r="B1149" s="13" t="s">
        <v>2068</v>
      </c>
      <c r="C1149" s="7">
        <v>129331.89800000009</v>
      </c>
      <c r="D1149" s="7">
        <v>166845.71700000032</v>
      </c>
      <c r="E1149" s="7">
        <v>184221.30599999998</v>
      </c>
      <c r="F1149" s="7">
        <f t="shared" si="1"/>
        <v>480398.921</v>
      </c>
      <c r="G1149" s="14">
        <f t="shared" si="2"/>
        <v>0.0006900522368</v>
      </c>
      <c r="I1149" s="12"/>
      <c r="J1149" s="12"/>
      <c r="K1149" s="12"/>
      <c r="L1149" s="12"/>
      <c r="M1149" s="12">
        <v>44757.0</v>
      </c>
      <c r="N1149" s="2">
        <v>385.13</v>
      </c>
      <c r="O1149" s="3" t="s">
        <v>687</v>
      </c>
      <c r="P1149" s="4" t="str">
        <f t="array" ref="P1149">XLOOKUP(O1149,Agregado!$B$2:$B$1511,Agregado!$G$2:$G$1511)</f>
        <v>#N/A</v>
      </c>
    </row>
    <row r="1150" ht="15.75" customHeight="1">
      <c r="B1150" s="13" t="s">
        <v>2069</v>
      </c>
      <c r="C1150" s="7">
        <v>129571.14500000009</v>
      </c>
      <c r="D1150" s="7">
        <v>167446.9520000003</v>
      </c>
      <c r="E1150" s="7">
        <v>184405.908</v>
      </c>
      <c r="F1150" s="7">
        <f t="shared" si="1"/>
        <v>481424.005</v>
      </c>
      <c r="G1150" s="14">
        <f t="shared" si="2"/>
        <v>0.002131544925</v>
      </c>
      <c r="I1150" s="12"/>
      <c r="J1150" s="12"/>
      <c r="K1150" s="12"/>
      <c r="L1150" s="12"/>
      <c r="M1150" s="12">
        <v>44760.0</v>
      </c>
      <c r="N1150" s="2">
        <v>381.95</v>
      </c>
      <c r="O1150" s="3" t="s">
        <v>688</v>
      </c>
      <c r="P1150" s="4" t="str">
        <f t="array" ref="P1150">XLOOKUP(O1150,Agregado!$B$2:$B$1511,Agregado!$G$2:$G$1511)</f>
        <v>#N/A</v>
      </c>
    </row>
    <row r="1151" ht="15.75" customHeight="1">
      <c r="B1151" s="13" t="s">
        <v>2070</v>
      </c>
      <c r="C1151" s="7">
        <v>131052.50400000009</v>
      </c>
      <c r="D1151" s="7">
        <v>166970.44800000032</v>
      </c>
      <c r="E1151" s="7">
        <v>184655.022</v>
      </c>
      <c r="F1151" s="7">
        <f t="shared" si="1"/>
        <v>482677.974</v>
      </c>
      <c r="G1151" s="14">
        <f t="shared" si="2"/>
        <v>0.002601321716</v>
      </c>
      <c r="I1151" s="12"/>
      <c r="J1151" s="12"/>
      <c r="K1151" s="12"/>
      <c r="L1151" s="12"/>
      <c r="M1151" s="12">
        <v>44761.0</v>
      </c>
      <c r="N1151" s="2">
        <v>392.27</v>
      </c>
      <c r="O1151" s="3" t="s">
        <v>689</v>
      </c>
      <c r="P1151" s="4" t="str">
        <f t="array" ref="P1151">XLOOKUP(O1151,Agregado!$B$2:$B$1511,Agregado!$G$2:$G$1511)</f>
        <v>#N/A</v>
      </c>
    </row>
    <row r="1152" ht="15.75" customHeight="1">
      <c r="B1152" s="13" t="s">
        <v>2071</v>
      </c>
      <c r="C1152" s="7">
        <v>132456.6930000001</v>
      </c>
      <c r="D1152" s="7">
        <v>167069.85000000033</v>
      </c>
      <c r="E1152" s="7">
        <v>185112.873</v>
      </c>
      <c r="F1152" s="7">
        <f t="shared" si="1"/>
        <v>484639.416</v>
      </c>
      <c r="G1152" s="14">
        <f t="shared" si="2"/>
        <v>0.004055431461</v>
      </c>
      <c r="I1152" s="12"/>
      <c r="J1152" s="12"/>
      <c r="K1152" s="12"/>
      <c r="L1152" s="12"/>
      <c r="M1152" s="12">
        <v>44762.0</v>
      </c>
      <c r="N1152" s="2">
        <v>394.77</v>
      </c>
      <c r="O1152" s="3" t="s">
        <v>690</v>
      </c>
      <c r="P1152" s="4" t="str">
        <f t="array" ref="P1152">XLOOKUP(O1152,Agregado!$B$2:$B$1511,Agregado!$G$2:$G$1511)</f>
        <v>#N/A</v>
      </c>
    </row>
    <row r="1153" ht="15.75" customHeight="1">
      <c r="B1153" s="13" t="s">
        <v>2072</v>
      </c>
      <c r="C1153" s="7">
        <v>132671.73500000007</v>
      </c>
      <c r="D1153" s="7">
        <v>167403.91700000034</v>
      </c>
      <c r="E1153" s="7">
        <v>185269.201</v>
      </c>
      <c r="F1153" s="7">
        <f t="shared" si="1"/>
        <v>485344.853</v>
      </c>
      <c r="G1153" s="14">
        <f t="shared" si="2"/>
        <v>0.001454533124</v>
      </c>
      <c r="I1153" s="12"/>
      <c r="J1153" s="12"/>
      <c r="K1153" s="12"/>
      <c r="L1153" s="12"/>
      <c r="M1153" s="12">
        <v>44763.0</v>
      </c>
      <c r="N1153" s="2">
        <v>398.79</v>
      </c>
      <c r="O1153" s="3" t="s">
        <v>691</v>
      </c>
      <c r="P1153" s="4" t="str">
        <f t="array" ref="P1153">XLOOKUP(O1153,Agregado!$B$2:$B$1511,Agregado!$G$2:$G$1511)</f>
        <v>#N/A</v>
      </c>
    </row>
    <row r="1154" ht="15.75" customHeight="1">
      <c r="B1154" s="13" t="s">
        <v>2073</v>
      </c>
      <c r="C1154" s="7">
        <v>130766.00200000008</v>
      </c>
      <c r="D1154" s="7">
        <v>167645.89900000033</v>
      </c>
      <c r="E1154" s="7">
        <v>185567.003</v>
      </c>
      <c r="F1154" s="7">
        <f t="shared" si="1"/>
        <v>483978.904</v>
      </c>
      <c r="G1154" s="14">
        <f t="shared" si="2"/>
        <v>-0.002818356394</v>
      </c>
      <c r="I1154" s="12"/>
      <c r="J1154" s="12"/>
      <c r="K1154" s="12"/>
      <c r="L1154" s="12"/>
      <c r="M1154" s="12">
        <v>44764.0</v>
      </c>
      <c r="N1154" s="2">
        <v>395.09</v>
      </c>
      <c r="O1154" s="3" t="s">
        <v>692</v>
      </c>
      <c r="P1154" s="4" t="str">
        <f t="array" ref="P1154">XLOOKUP(O1154,Agregado!$B$2:$B$1511,Agregado!$G$2:$G$1511)</f>
        <v>#N/A</v>
      </c>
    </row>
    <row r="1155" ht="15.75" customHeight="1">
      <c r="B1155" s="13" t="s">
        <v>2074</v>
      </c>
      <c r="C1155" s="7">
        <v>128958.77000000008</v>
      </c>
      <c r="D1155" s="7">
        <v>167707.13600000032</v>
      </c>
      <c r="E1155" s="7">
        <v>185578.87</v>
      </c>
      <c r="F1155" s="7">
        <f t="shared" si="1"/>
        <v>482244.776</v>
      </c>
      <c r="G1155" s="14">
        <f t="shared" si="2"/>
        <v>-0.003589499818</v>
      </c>
      <c r="I1155" s="12"/>
      <c r="J1155" s="12"/>
      <c r="K1155" s="12"/>
      <c r="L1155" s="12"/>
      <c r="M1155" s="12">
        <v>44767.0</v>
      </c>
      <c r="N1155" s="2">
        <v>395.57</v>
      </c>
      <c r="O1155" s="3" t="s">
        <v>693</v>
      </c>
      <c r="P1155" s="4" t="str">
        <f t="array" ref="P1155">XLOOKUP(O1155,Agregado!$B$2:$B$1511,Agregado!$G$2:$G$1511)</f>
        <v>#N/A</v>
      </c>
    </row>
    <row r="1156" ht="15.75" customHeight="1">
      <c r="B1156" s="13" t="s">
        <v>2075</v>
      </c>
      <c r="C1156" s="7">
        <v>130359.31500000008</v>
      </c>
      <c r="D1156" s="7">
        <v>167769.25000000032</v>
      </c>
      <c r="E1156" s="7">
        <v>185843.579</v>
      </c>
      <c r="F1156" s="7">
        <f t="shared" si="1"/>
        <v>483972.144</v>
      </c>
      <c r="G1156" s="14">
        <f t="shared" si="2"/>
        <v>0.00357553217</v>
      </c>
      <c r="I1156" s="12"/>
      <c r="J1156" s="12"/>
      <c r="K1156" s="12"/>
      <c r="L1156" s="12"/>
      <c r="M1156" s="12">
        <v>44768.0</v>
      </c>
      <c r="N1156" s="2">
        <v>390.89</v>
      </c>
      <c r="O1156" s="3" t="s">
        <v>694</v>
      </c>
      <c r="P1156" s="4" t="str">
        <f t="array" ref="P1156">XLOOKUP(O1156,Agregado!$B$2:$B$1511,Agregado!$G$2:$G$1511)</f>
        <v>#N/A</v>
      </c>
    </row>
    <row r="1157" ht="15.75" customHeight="1">
      <c r="B1157" s="13" t="s">
        <v>2076</v>
      </c>
      <c r="C1157" s="7">
        <v>128367.10700000008</v>
      </c>
      <c r="D1157" s="7">
        <v>167769.25000000032</v>
      </c>
      <c r="E1157" s="7">
        <v>186092.533</v>
      </c>
      <c r="F1157" s="7">
        <f t="shared" si="1"/>
        <v>482228.89</v>
      </c>
      <c r="G1157" s="14">
        <f t="shared" si="2"/>
        <v>-0.00360847449</v>
      </c>
      <c r="I1157" s="12"/>
      <c r="J1157" s="12"/>
      <c r="K1157" s="12"/>
      <c r="L1157" s="12"/>
      <c r="M1157" s="12">
        <v>44769.0</v>
      </c>
      <c r="N1157" s="2">
        <v>401.04</v>
      </c>
      <c r="O1157" s="3" t="s">
        <v>695</v>
      </c>
      <c r="P1157" s="4" t="str">
        <f t="array" ref="P1157">XLOOKUP(O1157,Agregado!$B$2:$B$1511,Agregado!$G$2:$G$1511)</f>
        <v>#N/A</v>
      </c>
    </row>
    <row r="1158" ht="15.75" customHeight="1">
      <c r="B1158" s="13" t="s">
        <v>2077</v>
      </c>
      <c r="C1158" s="7">
        <v>126939.00500000008</v>
      </c>
      <c r="D1158" s="7">
        <v>167851.28500000032</v>
      </c>
      <c r="E1158" s="7">
        <v>186199.897</v>
      </c>
      <c r="F1158" s="7">
        <f t="shared" si="1"/>
        <v>480990.187</v>
      </c>
      <c r="G1158" s="14">
        <f t="shared" si="2"/>
        <v>-0.002572008201</v>
      </c>
      <c r="I1158" s="12"/>
      <c r="J1158" s="12"/>
      <c r="K1158" s="12"/>
      <c r="L1158" s="12"/>
      <c r="M1158" s="12">
        <v>44770.0</v>
      </c>
      <c r="N1158" s="2">
        <v>406.07</v>
      </c>
      <c r="O1158" s="3" t="s">
        <v>696</v>
      </c>
      <c r="P1158" s="4" t="str">
        <f t="array" ref="P1158">XLOOKUP(O1158,Agregado!$B$2:$B$1511,Agregado!$G$2:$G$1511)</f>
        <v>#N/A</v>
      </c>
    </row>
    <row r="1159" ht="15.75" customHeight="1">
      <c r="B1159" s="13" t="s">
        <v>2078</v>
      </c>
      <c r="C1159" s="7">
        <v>127104.76800000008</v>
      </c>
      <c r="D1159" s="7">
        <v>168434.5250000003</v>
      </c>
      <c r="E1159" s="7">
        <v>186576.797</v>
      </c>
      <c r="F1159" s="7">
        <f t="shared" si="1"/>
        <v>482116.09</v>
      </c>
      <c r="G1159" s="14">
        <f t="shared" si="2"/>
        <v>0.002338067023</v>
      </c>
      <c r="I1159" s="12"/>
      <c r="J1159" s="12"/>
      <c r="K1159" s="12"/>
      <c r="L1159" s="12"/>
      <c r="M1159" s="12">
        <v>44771.0</v>
      </c>
      <c r="N1159" s="2">
        <v>411.99</v>
      </c>
      <c r="O1159" s="3" t="s">
        <v>697</v>
      </c>
      <c r="P1159" s="4" t="str">
        <f t="array" ref="P1159">XLOOKUP(O1159,Agregado!$B$2:$B$1511,Agregado!$G$2:$G$1511)</f>
        <v>#N/A</v>
      </c>
    </row>
    <row r="1160" ht="15.75" customHeight="1">
      <c r="B1160" s="13" t="s">
        <v>2079</v>
      </c>
      <c r="C1160" s="7">
        <v>128098.65500000009</v>
      </c>
      <c r="D1160" s="7">
        <v>168684.31300000031</v>
      </c>
      <c r="E1160" s="7">
        <v>186588.22999999998</v>
      </c>
      <c r="F1160" s="7">
        <f t="shared" si="1"/>
        <v>483371.198</v>
      </c>
      <c r="G1160" s="14">
        <f t="shared" si="2"/>
        <v>0.002599948695</v>
      </c>
      <c r="I1160" s="12"/>
      <c r="J1160" s="12"/>
      <c r="K1160" s="12"/>
      <c r="L1160" s="12"/>
      <c r="M1160" s="12">
        <v>44774.0</v>
      </c>
      <c r="N1160" s="2">
        <v>410.77</v>
      </c>
      <c r="O1160" s="3">
        <v>44569.0</v>
      </c>
      <c r="P1160" s="4" t="str">
        <f t="array" ref="P1160">XLOOKUP(O1160,Agregado!$B$2:$B$1511,Agregado!$G$2:$G$1511)</f>
        <v>#N/A</v>
      </c>
    </row>
    <row r="1161" ht="15.75" customHeight="1">
      <c r="B1161" s="13" t="s">
        <v>2080</v>
      </c>
      <c r="C1161" s="7">
        <v>129876.69200000008</v>
      </c>
      <c r="D1161" s="7">
        <v>168434.9000000003</v>
      </c>
      <c r="E1161" s="7">
        <v>186970.22799999997</v>
      </c>
      <c r="F1161" s="7">
        <f t="shared" si="1"/>
        <v>485281.82</v>
      </c>
      <c r="G1161" s="14">
        <f t="shared" si="2"/>
        <v>0.003944909978</v>
      </c>
      <c r="I1161" s="12"/>
      <c r="J1161" s="12"/>
      <c r="K1161" s="12"/>
      <c r="L1161" s="12"/>
      <c r="M1161" s="12">
        <v>44775.0</v>
      </c>
      <c r="N1161" s="2">
        <v>408.06</v>
      </c>
      <c r="O1161" s="3">
        <v>44600.0</v>
      </c>
      <c r="P1161" s="4" t="str">
        <f t="array" ref="P1161">XLOOKUP(O1161,Agregado!$B$2:$B$1511,Agregado!$G$2:$G$1511)</f>
        <v>#N/A</v>
      </c>
    </row>
    <row r="1162" ht="15.75" customHeight="1">
      <c r="B1162" s="13" t="s">
        <v>2081</v>
      </c>
      <c r="C1162" s="7">
        <v>130723.32500000008</v>
      </c>
      <c r="D1162" s="7">
        <v>168746.2860000003</v>
      </c>
      <c r="E1162" s="7">
        <v>187250.86599999998</v>
      </c>
      <c r="F1162" s="7">
        <f t="shared" si="1"/>
        <v>486720.477</v>
      </c>
      <c r="G1162" s="14">
        <f t="shared" si="2"/>
        <v>0.002960194755</v>
      </c>
      <c r="I1162" s="12"/>
      <c r="J1162" s="12"/>
      <c r="K1162" s="12"/>
      <c r="L1162" s="12"/>
      <c r="M1162" s="12">
        <v>44776.0</v>
      </c>
      <c r="N1162" s="2">
        <v>414.45</v>
      </c>
      <c r="O1162" s="3">
        <v>44628.0</v>
      </c>
      <c r="P1162" s="4" t="str">
        <f t="array" ref="P1162">XLOOKUP(O1162,Agregado!$B$2:$B$1511,Agregado!$G$2:$G$1511)</f>
        <v>#N/A</v>
      </c>
    </row>
    <row r="1163" ht="15.75" customHeight="1">
      <c r="B1163" s="13" t="s">
        <v>2082</v>
      </c>
      <c r="C1163" s="7">
        <v>130579.38300000009</v>
      </c>
      <c r="D1163" s="7">
        <v>168890.9910000003</v>
      </c>
      <c r="E1163" s="7">
        <v>187323.44599999997</v>
      </c>
      <c r="F1163" s="7">
        <f t="shared" si="1"/>
        <v>486793.82</v>
      </c>
      <c r="G1163" s="14">
        <f t="shared" si="2"/>
        <v>0.0001506767807</v>
      </c>
      <c r="I1163" s="12"/>
      <c r="J1163" s="12"/>
      <c r="K1163" s="12"/>
      <c r="L1163" s="12"/>
      <c r="M1163" s="12">
        <v>44777.0</v>
      </c>
      <c r="N1163" s="2">
        <v>414.17</v>
      </c>
      <c r="O1163" s="3">
        <v>44659.0</v>
      </c>
      <c r="P1163" s="4" t="str">
        <f t="array" ref="P1163">XLOOKUP(O1163,Agregado!$B$2:$B$1511,Agregado!$G$2:$G$1511)</f>
        <v>#N/A</v>
      </c>
    </row>
    <row r="1164" ht="15.75" customHeight="1">
      <c r="B1164" s="13" t="s">
        <v>2083</v>
      </c>
      <c r="C1164" s="7">
        <v>133540.5530000001</v>
      </c>
      <c r="D1164" s="7">
        <v>168827.6520000003</v>
      </c>
      <c r="E1164" s="7">
        <v>187441.52699999997</v>
      </c>
      <c r="F1164" s="7">
        <f t="shared" si="1"/>
        <v>489809.732</v>
      </c>
      <c r="G1164" s="14">
        <f t="shared" si="2"/>
        <v>0.006176347774</v>
      </c>
      <c r="I1164" s="12"/>
      <c r="J1164" s="12"/>
      <c r="K1164" s="12"/>
      <c r="L1164" s="12"/>
      <c r="M1164" s="12">
        <v>44778.0</v>
      </c>
      <c r="N1164" s="2">
        <v>413.47</v>
      </c>
      <c r="O1164" s="3">
        <v>44689.0</v>
      </c>
      <c r="P1164" s="4" t="str">
        <f t="array" ref="P1164">XLOOKUP(O1164,Agregado!$B$2:$B$1511,Agregado!$G$2:$G$1511)</f>
        <v>#N/A</v>
      </c>
    </row>
    <row r="1165" ht="15.75" customHeight="1">
      <c r="B1165" s="13" t="s">
        <v>2084</v>
      </c>
      <c r="C1165" s="7">
        <v>134821.0700000001</v>
      </c>
      <c r="D1165" s="7">
        <v>168890.9640000003</v>
      </c>
      <c r="E1165" s="7">
        <v>187872.75499999998</v>
      </c>
      <c r="F1165" s="7">
        <f t="shared" si="1"/>
        <v>491584.789</v>
      </c>
      <c r="G1165" s="14">
        <f t="shared" si="2"/>
        <v>0.003617421735</v>
      </c>
      <c r="I1165" s="12"/>
      <c r="J1165" s="12"/>
      <c r="K1165" s="12"/>
      <c r="L1165" s="12"/>
      <c r="M1165" s="12">
        <v>44781.0</v>
      </c>
      <c r="N1165" s="2">
        <v>412.99</v>
      </c>
      <c r="O1165" s="3">
        <v>44781.0</v>
      </c>
      <c r="P1165" s="4" t="str">
        <f t="array" ref="P1165">XLOOKUP(O1165,Agregado!$B$2:$B$1511,Agregado!$G$2:$G$1511)</f>
        <v>#N/A</v>
      </c>
    </row>
    <row r="1166" ht="15.75" customHeight="1">
      <c r="B1166" s="13" t="s">
        <v>2085</v>
      </c>
      <c r="C1166" s="7">
        <v>134351.2020000001</v>
      </c>
      <c r="D1166" s="7">
        <v>169878.6840000003</v>
      </c>
      <c r="E1166" s="7">
        <v>187951.52399999998</v>
      </c>
      <c r="F1166" s="7">
        <f t="shared" si="1"/>
        <v>492181.41</v>
      </c>
      <c r="G1166" s="14">
        <f t="shared" si="2"/>
        <v>0.001212932654</v>
      </c>
      <c r="I1166" s="12"/>
      <c r="J1166" s="12"/>
      <c r="K1166" s="12"/>
      <c r="L1166" s="12"/>
      <c r="M1166" s="12">
        <v>44782.0</v>
      </c>
      <c r="N1166" s="2">
        <v>411.35</v>
      </c>
      <c r="O1166" s="3">
        <v>44812.0</v>
      </c>
      <c r="P1166" s="4" t="str">
        <f t="array" ref="P1166">XLOOKUP(O1166,Agregado!$B$2:$B$1511,Agregado!$G$2:$G$1511)</f>
        <v>#N/A</v>
      </c>
    </row>
    <row r="1167" ht="15.75" customHeight="1">
      <c r="B1167" s="13" t="s">
        <v>2086</v>
      </c>
      <c r="C1167" s="7">
        <v>133321.9460000001</v>
      </c>
      <c r="D1167" s="7">
        <v>169943.3580000003</v>
      </c>
      <c r="E1167" s="7">
        <v>188018.118</v>
      </c>
      <c r="F1167" s="7">
        <f t="shared" si="1"/>
        <v>491283.422</v>
      </c>
      <c r="G1167" s="14">
        <f t="shared" si="2"/>
        <v>-0.001826172569</v>
      </c>
      <c r="I1167" s="12"/>
      <c r="J1167" s="12"/>
      <c r="K1167" s="12"/>
      <c r="L1167" s="12"/>
      <c r="M1167" s="12">
        <v>44783.0</v>
      </c>
      <c r="N1167" s="2">
        <v>419.99</v>
      </c>
      <c r="O1167" s="3">
        <v>44842.0</v>
      </c>
      <c r="P1167" s="4" t="str">
        <f t="array" ref="P1167">XLOOKUP(O1167,Agregado!$B$2:$B$1511,Agregado!$G$2:$G$1511)</f>
        <v>#N/A</v>
      </c>
    </row>
    <row r="1168" ht="15.75" customHeight="1">
      <c r="B1168" s="13" t="s">
        <v>2087</v>
      </c>
      <c r="C1168" s="7">
        <v>131903.99900000013</v>
      </c>
      <c r="D1168" s="7">
        <v>170116.1550000003</v>
      </c>
      <c r="E1168" s="7">
        <v>188469.163</v>
      </c>
      <c r="F1168" s="7">
        <f t="shared" si="1"/>
        <v>490489.317</v>
      </c>
      <c r="G1168" s="14">
        <f t="shared" si="2"/>
        <v>-0.001617696523</v>
      </c>
      <c r="I1168" s="12"/>
      <c r="J1168" s="12"/>
      <c r="K1168" s="12"/>
      <c r="L1168" s="12"/>
      <c r="M1168" s="12">
        <v>44784.0</v>
      </c>
      <c r="N1168" s="2">
        <v>419.99</v>
      </c>
      <c r="O1168" s="3">
        <v>44873.0</v>
      </c>
      <c r="P1168" s="4" t="str">
        <f t="array" ref="P1168">XLOOKUP(O1168,Agregado!$B$2:$B$1511,Agregado!$G$2:$G$1511)</f>
        <v>#N/A</v>
      </c>
    </row>
    <row r="1169" ht="15.75" customHeight="1">
      <c r="B1169" s="13" t="s">
        <v>2088</v>
      </c>
      <c r="C1169" s="7">
        <v>132223.98900000012</v>
      </c>
      <c r="D1169" s="7">
        <v>170201.94400000028</v>
      </c>
      <c r="E1169" s="7">
        <v>188216.817</v>
      </c>
      <c r="F1169" s="7">
        <f t="shared" si="1"/>
        <v>490642.75</v>
      </c>
      <c r="G1169" s="14">
        <f t="shared" si="2"/>
        <v>0.0003127672745</v>
      </c>
      <c r="I1169" s="12"/>
      <c r="J1169" s="12"/>
      <c r="K1169" s="12"/>
      <c r="L1169" s="12"/>
      <c r="M1169" s="12">
        <v>44785.0</v>
      </c>
      <c r="N1169" s="2">
        <v>427.1</v>
      </c>
      <c r="O1169" s="3">
        <v>44903.0</v>
      </c>
      <c r="P1169" s="4" t="str">
        <f t="array" ref="P1169">XLOOKUP(O1169,Agregado!$B$2:$B$1511,Agregado!$G$2:$G$1511)</f>
        <v>#N/A</v>
      </c>
    </row>
    <row r="1170" ht="15.75" customHeight="1">
      <c r="B1170" s="13" t="s">
        <v>2089</v>
      </c>
      <c r="C1170" s="7">
        <v>134084.41700000013</v>
      </c>
      <c r="D1170" s="7">
        <v>170201.94400000028</v>
      </c>
      <c r="E1170" s="7">
        <v>188505.439</v>
      </c>
      <c r="F1170" s="7">
        <f t="shared" si="1"/>
        <v>492791.8</v>
      </c>
      <c r="G1170" s="14">
        <f t="shared" si="2"/>
        <v>0.004370506244</v>
      </c>
      <c r="I1170" s="12"/>
      <c r="J1170" s="12"/>
      <c r="K1170" s="12"/>
      <c r="L1170" s="12"/>
      <c r="M1170" s="12">
        <v>44788.0</v>
      </c>
      <c r="N1170" s="2">
        <v>428.86</v>
      </c>
      <c r="O1170" s="3" t="s">
        <v>698</v>
      </c>
      <c r="P1170" s="4" t="str">
        <f t="array" ref="P1170">XLOOKUP(O1170,Agregado!$B$2:$B$1511,Agregado!$G$2:$G$1511)</f>
        <v>#N/A</v>
      </c>
    </row>
    <row r="1171" ht="15.75" customHeight="1">
      <c r="B1171" s="13" t="s">
        <v>2090</v>
      </c>
      <c r="C1171" s="7">
        <v>133620.00900000014</v>
      </c>
      <c r="D1171" s="7">
        <v>170265.61100000027</v>
      </c>
      <c r="E1171" s="7">
        <v>188936.654</v>
      </c>
      <c r="F1171" s="7">
        <f t="shared" si="1"/>
        <v>492822.274</v>
      </c>
      <c r="G1171" s="14">
        <f t="shared" si="2"/>
        <v>0.00006183759103</v>
      </c>
      <c r="I1171" s="12"/>
      <c r="J1171" s="12"/>
      <c r="K1171" s="12"/>
      <c r="L1171" s="12"/>
      <c r="M1171" s="12">
        <v>44789.0</v>
      </c>
      <c r="N1171" s="2">
        <v>429.7</v>
      </c>
      <c r="O1171" s="3" t="s">
        <v>699</v>
      </c>
      <c r="P1171" s="4" t="str">
        <f t="array" ref="P1171">XLOOKUP(O1171,Agregado!$B$2:$B$1511,Agregado!$G$2:$G$1511)</f>
        <v>#N/A</v>
      </c>
    </row>
    <row r="1172" ht="15.75" customHeight="1">
      <c r="B1172" s="13" t="s">
        <v>2091</v>
      </c>
      <c r="C1172" s="7">
        <v>133805.95700000014</v>
      </c>
      <c r="D1172" s="7">
        <v>170286.38100000026</v>
      </c>
      <c r="E1172" s="7">
        <v>189128.66</v>
      </c>
      <c r="F1172" s="7">
        <f t="shared" si="1"/>
        <v>493220.998</v>
      </c>
      <c r="G1172" s="14">
        <f t="shared" si="2"/>
        <v>0.0008087353427</v>
      </c>
      <c r="I1172" s="12"/>
      <c r="J1172" s="12"/>
      <c r="K1172" s="12"/>
      <c r="L1172" s="12"/>
      <c r="M1172" s="12">
        <v>44790.0</v>
      </c>
      <c r="N1172" s="2">
        <v>426.65</v>
      </c>
      <c r="O1172" s="3" t="s">
        <v>700</v>
      </c>
      <c r="P1172" s="4" t="str">
        <f t="array" ref="P1172">XLOOKUP(O1172,Agregado!$B$2:$B$1511,Agregado!$G$2:$G$1511)</f>
        <v>#N/A</v>
      </c>
    </row>
    <row r="1173" ht="15.75" customHeight="1">
      <c r="B1173" s="13" t="s">
        <v>2092</v>
      </c>
      <c r="C1173" s="7">
        <v>134280.10300000015</v>
      </c>
      <c r="D1173" s="7">
        <v>169706.11000000025</v>
      </c>
      <c r="E1173" s="7">
        <v>189132.932</v>
      </c>
      <c r="F1173" s="7">
        <f t="shared" si="1"/>
        <v>493119.145</v>
      </c>
      <c r="G1173" s="14">
        <f t="shared" si="2"/>
        <v>-0.0002065271318</v>
      </c>
      <c r="I1173" s="12"/>
      <c r="J1173" s="12"/>
      <c r="K1173" s="12"/>
      <c r="L1173" s="12"/>
      <c r="M1173" s="12">
        <v>44791.0</v>
      </c>
      <c r="N1173" s="2">
        <v>427.89</v>
      </c>
      <c r="O1173" s="3" t="s">
        <v>701</v>
      </c>
      <c r="P1173" s="4" t="str">
        <f t="array" ref="P1173">XLOOKUP(O1173,Agregado!$B$2:$B$1511,Agregado!$G$2:$G$1511)</f>
        <v>#N/A</v>
      </c>
    </row>
    <row r="1174" ht="15.75" customHeight="1">
      <c r="B1174" s="13" t="s">
        <v>2093</v>
      </c>
      <c r="C1174" s="7">
        <v>132770.80700000015</v>
      </c>
      <c r="D1174" s="7">
        <v>169664.54000000024</v>
      </c>
      <c r="E1174" s="7">
        <v>189148.701</v>
      </c>
      <c r="F1174" s="7">
        <f t="shared" si="1"/>
        <v>491584.048</v>
      </c>
      <c r="G1174" s="14">
        <f t="shared" si="2"/>
        <v>-0.003117890253</v>
      </c>
      <c r="I1174" s="12"/>
      <c r="J1174" s="12"/>
      <c r="K1174" s="12"/>
      <c r="L1174" s="12"/>
      <c r="M1174" s="12">
        <v>44792.0</v>
      </c>
      <c r="N1174" s="2">
        <v>422.14</v>
      </c>
      <c r="O1174" s="3" t="s">
        <v>702</v>
      </c>
      <c r="P1174" s="4" t="str">
        <f t="array" ref="P1174">XLOOKUP(O1174,Agregado!$B$2:$B$1511,Agregado!$G$2:$G$1511)</f>
        <v>#N/A</v>
      </c>
    </row>
    <row r="1175" ht="15.75" customHeight="1">
      <c r="B1175" s="13" t="s">
        <v>2094</v>
      </c>
      <c r="C1175" s="7">
        <v>133211.10200000016</v>
      </c>
      <c r="D1175" s="7">
        <v>169601.30500000025</v>
      </c>
      <c r="E1175" s="7">
        <v>189165.582</v>
      </c>
      <c r="F1175" s="7">
        <f t="shared" si="1"/>
        <v>491977.989</v>
      </c>
      <c r="G1175" s="14">
        <f t="shared" si="2"/>
        <v>0.0008010496669</v>
      </c>
      <c r="I1175" s="12"/>
      <c r="J1175" s="12"/>
      <c r="K1175" s="12"/>
      <c r="L1175" s="12"/>
      <c r="M1175" s="12">
        <v>44795.0</v>
      </c>
      <c r="N1175" s="2">
        <v>413.35</v>
      </c>
      <c r="O1175" s="3" t="s">
        <v>703</v>
      </c>
      <c r="P1175" s="4" t="str">
        <f t="array" ref="P1175">XLOOKUP(O1175,Agregado!$B$2:$B$1511,Agregado!$G$2:$G$1511)</f>
        <v>#N/A</v>
      </c>
    </row>
    <row r="1176" ht="15.75" customHeight="1">
      <c r="B1176" s="13" t="s">
        <v>2095</v>
      </c>
      <c r="C1176" s="7">
        <v>133069.26700000017</v>
      </c>
      <c r="D1176" s="7">
        <v>169397.61800000025</v>
      </c>
      <c r="E1176" s="7">
        <v>189234.19999999998</v>
      </c>
      <c r="F1176" s="7">
        <f t="shared" si="1"/>
        <v>491701.085</v>
      </c>
      <c r="G1176" s="14">
        <f t="shared" si="2"/>
        <v>-0.0005629966411</v>
      </c>
      <c r="I1176" s="12"/>
      <c r="J1176" s="12"/>
      <c r="K1176" s="12"/>
      <c r="L1176" s="12"/>
      <c r="M1176" s="12">
        <v>44796.0</v>
      </c>
      <c r="N1176" s="2">
        <v>412.35</v>
      </c>
      <c r="O1176" s="3" t="s">
        <v>704</v>
      </c>
      <c r="P1176" s="4" t="str">
        <f t="array" ref="P1176">XLOOKUP(O1176,Agregado!$B$2:$B$1511,Agregado!$G$2:$G$1511)</f>
        <v>#N/A</v>
      </c>
    </row>
    <row r="1177" ht="15.75" customHeight="1">
      <c r="B1177" s="13" t="s">
        <v>2096</v>
      </c>
      <c r="C1177" s="7">
        <v>130090.27600000017</v>
      </c>
      <c r="D1177" s="7">
        <v>169417.85200000025</v>
      </c>
      <c r="E1177" s="7">
        <v>189131.734</v>
      </c>
      <c r="F1177" s="7">
        <f t="shared" si="1"/>
        <v>488639.862</v>
      </c>
      <c r="G1177" s="14">
        <f t="shared" si="2"/>
        <v>-0.006245241432</v>
      </c>
      <c r="I1177" s="12"/>
      <c r="J1177" s="12"/>
      <c r="K1177" s="12"/>
      <c r="L1177" s="12"/>
      <c r="M1177" s="12">
        <v>44797.0</v>
      </c>
      <c r="N1177" s="2">
        <v>413.67</v>
      </c>
      <c r="O1177" s="3" t="s">
        <v>705</v>
      </c>
      <c r="P1177" s="4" t="str">
        <f t="array" ref="P1177">XLOOKUP(O1177,Agregado!$B$2:$B$1511,Agregado!$G$2:$G$1511)</f>
        <v>#N/A</v>
      </c>
    </row>
    <row r="1178" ht="15.75" customHeight="1">
      <c r="B1178" s="13" t="s">
        <v>2097</v>
      </c>
      <c r="C1178" s="7">
        <v>129393.48000000017</v>
      </c>
      <c r="D1178" s="7">
        <v>170018.22200000024</v>
      </c>
      <c r="E1178" s="7">
        <v>189199.82</v>
      </c>
      <c r="F1178" s="7">
        <f t="shared" si="1"/>
        <v>488611.522</v>
      </c>
      <c r="G1178" s="14">
        <f t="shared" si="2"/>
        <v>-0.00005799940624</v>
      </c>
      <c r="I1178" s="12"/>
      <c r="J1178" s="12"/>
      <c r="K1178" s="12"/>
      <c r="L1178" s="12"/>
      <c r="M1178" s="12">
        <v>44798.0</v>
      </c>
      <c r="N1178" s="2">
        <v>419.51</v>
      </c>
      <c r="O1178" s="3" t="s">
        <v>706</v>
      </c>
      <c r="P1178" s="4" t="str">
        <f t="array" ref="P1178">XLOOKUP(O1178,Agregado!$B$2:$B$1511,Agregado!$G$2:$G$1511)</f>
        <v>#N/A</v>
      </c>
    </row>
    <row r="1179" ht="15.75" customHeight="1">
      <c r="B1179" s="13" t="s">
        <v>2098</v>
      </c>
      <c r="C1179" s="7">
        <v>129610.80800000016</v>
      </c>
      <c r="D1179" s="7">
        <v>170018.22200000024</v>
      </c>
      <c r="E1179" s="7">
        <v>189443.083</v>
      </c>
      <c r="F1179" s="7">
        <f t="shared" si="1"/>
        <v>489072.113</v>
      </c>
      <c r="G1179" s="14">
        <f t="shared" si="2"/>
        <v>0.0009422087423</v>
      </c>
      <c r="I1179" s="12"/>
      <c r="J1179" s="12"/>
      <c r="K1179" s="12"/>
      <c r="L1179" s="12"/>
      <c r="M1179" s="12">
        <v>44799.0</v>
      </c>
      <c r="N1179" s="2">
        <v>405.31</v>
      </c>
      <c r="O1179" s="3" t="s">
        <v>707</v>
      </c>
      <c r="P1179" s="4" t="str">
        <f t="array" ref="P1179">XLOOKUP(O1179,Agregado!$B$2:$B$1511,Agregado!$G$2:$G$1511)</f>
        <v>#N/A</v>
      </c>
    </row>
    <row r="1180" ht="15.75" customHeight="1">
      <c r="B1180" s="13" t="s">
        <v>2099</v>
      </c>
      <c r="C1180" s="7">
        <v>129432.43200000016</v>
      </c>
      <c r="D1180" s="7">
        <v>169898.68500000023</v>
      </c>
      <c r="E1180" s="7">
        <v>189688.20200000002</v>
      </c>
      <c r="F1180" s="7">
        <f t="shared" si="1"/>
        <v>489019.319</v>
      </c>
      <c r="G1180" s="14">
        <f t="shared" si="2"/>
        <v>-0.0001079530979</v>
      </c>
      <c r="I1180" s="12"/>
      <c r="J1180" s="12"/>
      <c r="K1180" s="12"/>
      <c r="L1180" s="12"/>
      <c r="M1180" s="12">
        <v>44802.0</v>
      </c>
      <c r="N1180" s="2">
        <v>402.63</v>
      </c>
      <c r="O1180" s="3" t="s">
        <v>708</v>
      </c>
      <c r="P1180" s="4" t="str">
        <f t="array" ref="P1180">XLOOKUP(O1180,Agregado!$B$2:$B$1511,Agregado!$G$2:$G$1511)</f>
        <v>#N/A</v>
      </c>
    </row>
    <row r="1181" ht="15.75" customHeight="1">
      <c r="B1181" s="13" t="s">
        <v>2100</v>
      </c>
      <c r="C1181" s="7">
        <v>127628.42600000017</v>
      </c>
      <c r="D1181" s="7">
        <v>169938.10600000023</v>
      </c>
      <c r="E1181" s="7">
        <v>189812.578</v>
      </c>
      <c r="F1181" s="7">
        <f t="shared" si="1"/>
        <v>487379.11</v>
      </c>
      <c r="G1181" s="14">
        <f t="shared" si="2"/>
        <v>-0.003359715653</v>
      </c>
      <c r="I1181" s="12"/>
      <c r="J1181" s="12"/>
      <c r="K1181" s="12"/>
      <c r="L1181" s="12"/>
      <c r="M1181" s="12">
        <v>44803.0</v>
      </c>
      <c r="N1181" s="2">
        <v>398.21</v>
      </c>
      <c r="O1181" s="3" t="s">
        <v>709</v>
      </c>
      <c r="P1181" s="4" t="str">
        <f t="array" ref="P1181">XLOOKUP(O1181,Agregado!$B$2:$B$1511,Agregado!$G$2:$G$1511)</f>
        <v>#N/A</v>
      </c>
    </row>
    <row r="1182" ht="15.75" customHeight="1">
      <c r="B1182" s="13" t="s">
        <v>2101</v>
      </c>
      <c r="C1182" s="7">
        <v>127960.42900000016</v>
      </c>
      <c r="D1182" s="7">
        <v>169820.32200000022</v>
      </c>
      <c r="E1182" s="7">
        <v>189858.908</v>
      </c>
      <c r="F1182" s="7">
        <f t="shared" si="1"/>
        <v>487639.659</v>
      </c>
      <c r="G1182" s="14">
        <f t="shared" si="2"/>
        <v>0.0005344492116</v>
      </c>
      <c r="I1182" s="12"/>
      <c r="J1182" s="12"/>
      <c r="K1182" s="12"/>
      <c r="L1182" s="12"/>
      <c r="M1182" s="12">
        <v>44804.0</v>
      </c>
      <c r="N1182" s="2">
        <v>395.18</v>
      </c>
      <c r="O1182" s="3" t="s">
        <v>710</v>
      </c>
      <c r="P1182" s="4" t="str">
        <f t="array" ref="P1182">XLOOKUP(O1182,Agregado!$B$2:$B$1511,Agregado!$G$2:$G$1511)</f>
        <v>#N/A</v>
      </c>
    </row>
    <row r="1183" ht="15.75" customHeight="1">
      <c r="B1183" s="13" t="s">
        <v>2102</v>
      </c>
      <c r="C1183" s="7">
        <v>129392.29700000017</v>
      </c>
      <c r="D1183" s="7">
        <v>170200.15600000022</v>
      </c>
      <c r="E1183" s="7">
        <v>190329.033</v>
      </c>
      <c r="F1183" s="7">
        <f t="shared" si="1"/>
        <v>489921.486</v>
      </c>
      <c r="G1183" s="14">
        <f t="shared" si="2"/>
        <v>0.004668416203</v>
      </c>
      <c r="I1183" s="12"/>
      <c r="J1183" s="12"/>
      <c r="K1183" s="12"/>
      <c r="L1183" s="12"/>
      <c r="M1183" s="12">
        <v>44805.0</v>
      </c>
      <c r="N1183" s="2">
        <v>396.42</v>
      </c>
      <c r="O1183" s="3">
        <v>44570.0</v>
      </c>
      <c r="P1183" s="4" t="str">
        <f t="array" ref="P1183">XLOOKUP(O1183,Agregado!$B$2:$B$1511,Agregado!$G$2:$G$1511)</f>
        <v>#N/A</v>
      </c>
    </row>
    <row r="1184" ht="15.75" customHeight="1">
      <c r="B1184" s="13" t="s">
        <v>2103</v>
      </c>
      <c r="C1184" s="7">
        <v>129612.52300000016</v>
      </c>
      <c r="D1184" s="7">
        <v>170461.7930000002</v>
      </c>
      <c r="E1184" s="7">
        <v>190426.801</v>
      </c>
      <c r="F1184" s="7">
        <f t="shared" si="1"/>
        <v>490501.117</v>
      </c>
      <c r="G1184" s="14">
        <f t="shared" si="2"/>
        <v>0.001182410658</v>
      </c>
      <c r="I1184" s="12"/>
      <c r="J1184" s="12"/>
      <c r="K1184" s="12"/>
      <c r="L1184" s="12"/>
      <c r="M1184" s="12">
        <v>44806.0</v>
      </c>
      <c r="N1184" s="2">
        <v>392.24</v>
      </c>
      <c r="O1184" s="3">
        <v>44601.0</v>
      </c>
      <c r="P1184" s="4" t="str">
        <f t="array" ref="P1184">XLOOKUP(O1184,Agregado!$B$2:$B$1511,Agregado!$G$2:$G$1511)</f>
        <v>#N/A</v>
      </c>
    </row>
    <row r="1185" ht="15.75" customHeight="1">
      <c r="B1185" s="13" t="s">
        <v>2104</v>
      </c>
      <c r="C1185" s="7">
        <v>130832.13400000017</v>
      </c>
      <c r="D1185" s="7">
        <v>170563.9680000002</v>
      </c>
      <c r="E1185" s="7">
        <v>190604.608</v>
      </c>
      <c r="F1185" s="7">
        <f t="shared" si="1"/>
        <v>492000.71</v>
      </c>
      <c r="G1185" s="14">
        <f t="shared" si="2"/>
        <v>0.00305260331</v>
      </c>
      <c r="I1185" s="12"/>
      <c r="J1185" s="12"/>
      <c r="K1185" s="12"/>
      <c r="L1185" s="12"/>
      <c r="M1185" s="12">
        <v>44810.0</v>
      </c>
      <c r="N1185" s="2">
        <v>390.76</v>
      </c>
      <c r="O1185" s="3">
        <v>44721.0</v>
      </c>
      <c r="P1185" s="4" t="str">
        <f t="array" ref="P1185">XLOOKUP(O1185,Agregado!$B$2:$B$1511,Agregado!$G$2:$G$1511)</f>
        <v>#N/A</v>
      </c>
    </row>
    <row r="1186" ht="15.75" customHeight="1">
      <c r="B1186" s="13" t="s">
        <v>2105</v>
      </c>
      <c r="C1186" s="7">
        <v>130195.35800000017</v>
      </c>
      <c r="D1186" s="7">
        <v>170460.7120000002</v>
      </c>
      <c r="E1186" s="7">
        <v>190695.766</v>
      </c>
      <c r="F1186" s="7">
        <f t="shared" si="1"/>
        <v>491351.836</v>
      </c>
      <c r="G1186" s="14">
        <f t="shared" si="2"/>
        <v>-0.001319718135</v>
      </c>
      <c r="I1186" s="12"/>
      <c r="J1186" s="12"/>
      <c r="K1186" s="12"/>
      <c r="L1186" s="12"/>
      <c r="M1186" s="12">
        <v>44811.0</v>
      </c>
      <c r="N1186" s="2">
        <v>397.78</v>
      </c>
      <c r="O1186" s="3">
        <v>44751.0</v>
      </c>
      <c r="P1186" s="4" t="str">
        <f t="array" ref="P1186">XLOOKUP(O1186,Agregado!$B$2:$B$1511,Agregado!$G$2:$G$1511)</f>
        <v>#N/A</v>
      </c>
    </row>
    <row r="1187" ht="15.75" customHeight="1">
      <c r="B1187" s="13" t="s">
        <v>2106</v>
      </c>
      <c r="C1187" s="7">
        <v>124219.77700000016</v>
      </c>
      <c r="D1187" s="7">
        <v>170460.7120000002</v>
      </c>
      <c r="E1187" s="7">
        <v>190812.956</v>
      </c>
      <c r="F1187" s="7">
        <f t="shared" si="1"/>
        <v>485493.445</v>
      </c>
      <c r="G1187" s="14">
        <f t="shared" si="2"/>
        <v>-0.01199465535</v>
      </c>
      <c r="I1187" s="12"/>
      <c r="J1187" s="12"/>
      <c r="K1187" s="12"/>
      <c r="L1187" s="12"/>
      <c r="M1187" s="12">
        <v>44812.0</v>
      </c>
      <c r="N1187" s="2">
        <v>400.38</v>
      </c>
      <c r="O1187" s="3">
        <v>44782.0</v>
      </c>
      <c r="P1187" s="4" t="str">
        <f t="array" ref="P1187">XLOOKUP(O1187,Agregado!$B$2:$B$1511,Agregado!$G$2:$G$1511)</f>
        <v>#N/A</v>
      </c>
    </row>
    <row r="1188" ht="15.75" customHeight="1">
      <c r="B1188" s="13" t="s">
        <v>2107</v>
      </c>
      <c r="C1188" s="7">
        <v>122878.27000000016</v>
      </c>
      <c r="D1188" s="7">
        <v>170401.2180000002</v>
      </c>
      <c r="E1188" s="7">
        <v>192400.77000000002</v>
      </c>
      <c r="F1188" s="7">
        <f t="shared" si="1"/>
        <v>485680.258</v>
      </c>
      <c r="G1188" s="14">
        <f t="shared" si="2"/>
        <v>0.0003847159406</v>
      </c>
      <c r="I1188" s="12"/>
      <c r="J1188" s="12"/>
      <c r="K1188" s="12"/>
      <c r="L1188" s="12"/>
      <c r="M1188" s="12">
        <v>44813.0</v>
      </c>
      <c r="N1188" s="2">
        <v>406.6</v>
      </c>
      <c r="O1188" s="3">
        <v>44813.0</v>
      </c>
      <c r="P1188" s="4" t="str">
        <f t="array" ref="P1188">XLOOKUP(O1188,Agregado!$B$2:$B$1511,Agregado!$G$2:$G$1511)</f>
        <v>#N/A</v>
      </c>
    </row>
    <row r="1189" ht="15.75" customHeight="1">
      <c r="B1189" s="13" t="s">
        <v>2108</v>
      </c>
      <c r="C1189" s="7">
        <v>127462.56600000017</v>
      </c>
      <c r="D1189" s="7">
        <v>170283.5650000002</v>
      </c>
      <c r="E1189" s="7">
        <v>192523.95900000003</v>
      </c>
      <c r="F1189" s="7">
        <f t="shared" si="1"/>
        <v>490270.09</v>
      </c>
      <c r="G1189" s="14">
        <f t="shared" si="2"/>
        <v>0.009405941293</v>
      </c>
      <c r="I1189" s="12"/>
      <c r="J1189" s="12"/>
      <c r="K1189" s="12"/>
      <c r="L1189" s="12"/>
      <c r="M1189" s="12">
        <v>44816.0</v>
      </c>
      <c r="N1189" s="2">
        <v>410.97</v>
      </c>
      <c r="O1189" s="3">
        <v>44904.0</v>
      </c>
      <c r="P1189" s="4" t="str">
        <f t="array" ref="P1189">XLOOKUP(O1189,Agregado!$B$2:$B$1511,Agregado!$G$2:$G$1511)</f>
        <v>#N/A</v>
      </c>
    </row>
    <row r="1190" ht="15.75" customHeight="1">
      <c r="B1190" s="13" t="s">
        <v>2109</v>
      </c>
      <c r="C1190" s="7">
        <v>126903.20100000016</v>
      </c>
      <c r="D1190" s="7">
        <v>170439.31100000022</v>
      </c>
      <c r="E1190" s="7">
        <v>191437.92100000003</v>
      </c>
      <c r="F1190" s="7">
        <f t="shared" si="1"/>
        <v>488780.433</v>
      </c>
      <c r="G1190" s="14">
        <f t="shared" si="2"/>
        <v>-0.00304306696</v>
      </c>
      <c r="I1190" s="12"/>
      <c r="J1190" s="12"/>
      <c r="K1190" s="12"/>
      <c r="L1190" s="12"/>
      <c r="M1190" s="12">
        <v>44817.0</v>
      </c>
      <c r="N1190" s="2">
        <v>393.1</v>
      </c>
      <c r="O1190" s="3" t="s">
        <v>711</v>
      </c>
      <c r="P1190" s="4" t="str">
        <f t="array" ref="P1190">XLOOKUP(O1190,Agregado!$B$2:$B$1511,Agregado!$G$2:$G$1511)</f>
        <v>#N/A</v>
      </c>
    </row>
    <row r="1191" ht="15.75" customHeight="1">
      <c r="B1191" s="13" t="s">
        <v>2110</v>
      </c>
      <c r="C1191" s="7">
        <v>130165.91500000015</v>
      </c>
      <c r="D1191" s="7">
        <v>170400.10700000022</v>
      </c>
      <c r="E1191" s="7">
        <v>191549.27100000004</v>
      </c>
      <c r="F1191" s="7">
        <f t="shared" si="1"/>
        <v>492115.293</v>
      </c>
      <c r="G1191" s="14">
        <f t="shared" si="2"/>
        <v>0.006799648037</v>
      </c>
      <c r="I1191" s="12"/>
      <c r="J1191" s="12"/>
      <c r="K1191" s="12"/>
      <c r="L1191" s="12"/>
      <c r="M1191" s="12">
        <v>44818.0</v>
      </c>
      <c r="N1191" s="2">
        <v>394.6</v>
      </c>
      <c r="O1191" s="3" t="s">
        <v>712</v>
      </c>
      <c r="P1191" s="4" t="str">
        <f t="array" ref="P1191">XLOOKUP(O1191,Agregado!$B$2:$B$1511,Agregado!$G$2:$G$1511)</f>
        <v>#N/A</v>
      </c>
    </row>
    <row r="1192" ht="15.75" customHeight="1">
      <c r="B1192" s="13" t="s">
        <v>2111</v>
      </c>
      <c r="C1192" s="7">
        <v>129762.67000000016</v>
      </c>
      <c r="D1192" s="7">
        <v>170341.9640000002</v>
      </c>
      <c r="E1192" s="7">
        <v>191688.92200000005</v>
      </c>
      <c r="F1192" s="7">
        <f t="shared" si="1"/>
        <v>491793.556</v>
      </c>
      <c r="G1192" s="14">
        <f t="shared" si="2"/>
        <v>-0.000653997597</v>
      </c>
      <c r="I1192" s="12"/>
      <c r="J1192" s="12"/>
      <c r="K1192" s="12"/>
      <c r="L1192" s="12"/>
      <c r="M1192" s="12">
        <v>44819.0</v>
      </c>
      <c r="N1192" s="2">
        <v>390.12</v>
      </c>
      <c r="O1192" s="3" t="s">
        <v>713</v>
      </c>
      <c r="P1192" s="4" t="str">
        <f t="array" ref="P1192">XLOOKUP(O1192,Agregado!$B$2:$B$1511,Agregado!$G$2:$G$1511)</f>
        <v>#N/A</v>
      </c>
    </row>
    <row r="1193" ht="15.75" customHeight="1">
      <c r="B1193" s="13" t="s">
        <v>2112</v>
      </c>
      <c r="C1193" s="7">
        <v>127176.82400000015</v>
      </c>
      <c r="D1193" s="7">
        <v>170589.6220000002</v>
      </c>
      <c r="E1193" s="7">
        <v>191694.80500000005</v>
      </c>
      <c r="F1193" s="7">
        <f t="shared" si="1"/>
        <v>489461.251</v>
      </c>
      <c r="G1193" s="14">
        <f t="shared" si="2"/>
        <v>-0.004753728339</v>
      </c>
      <c r="I1193" s="12"/>
      <c r="J1193" s="12"/>
      <c r="K1193" s="12"/>
      <c r="L1193" s="12"/>
      <c r="M1193" s="12">
        <v>44820.0</v>
      </c>
      <c r="N1193" s="2">
        <v>385.56</v>
      </c>
      <c r="O1193" s="3" t="s">
        <v>714</v>
      </c>
      <c r="P1193" s="4" t="str">
        <f t="array" ref="P1193">XLOOKUP(O1193,Agregado!$B$2:$B$1511,Agregado!$G$2:$G$1511)</f>
        <v>#N/A</v>
      </c>
    </row>
    <row r="1194" ht="15.75" customHeight="1">
      <c r="B1194" s="13" t="s">
        <v>2113</v>
      </c>
      <c r="C1194" s="7">
        <v>127569.87300000015</v>
      </c>
      <c r="D1194" s="7">
        <v>170551.8400000002</v>
      </c>
      <c r="E1194" s="7">
        <v>191875.21200000006</v>
      </c>
      <c r="F1194" s="7">
        <f t="shared" si="1"/>
        <v>489996.925</v>
      </c>
      <c r="G1194" s="14">
        <f t="shared" si="2"/>
        <v>0.001093817105</v>
      </c>
      <c r="I1194" s="12"/>
      <c r="J1194" s="12"/>
      <c r="K1194" s="12"/>
      <c r="L1194" s="12"/>
      <c r="M1194" s="12">
        <v>44823.0</v>
      </c>
      <c r="N1194" s="2">
        <v>388.55</v>
      </c>
      <c r="O1194" s="3" t="s">
        <v>715</v>
      </c>
      <c r="P1194" s="4" t="str">
        <f t="array" ref="P1194">XLOOKUP(O1194,Agregado!$B$2:$B$1511,Agregado!$G$2:$G$1511)</f>
        <v>#N/A</v>
      </c>
    </row>
    <row r="1195" ht="15.75" customHeight="1">
      <c r="B1195" s="13" t="s">
        <v>2114</v>
      </c>
      <c r="C1195" s="7">
        <v>128232.07500000016</v>
      </c>
      <c r="D1195" s="7">
        <v>169939.1670000002</v>
      </c>
      <c r="E1195" s="7">
        <v>192321.23600000006</v>
      </c>
      <c r="F1195" s="7">
        <f t="shared" si="1"/>
        <v>490492.478</v>
      </c>
      <c r="G1195" s="14">
        <f t="shared" si="2"/>
        <v>0.001010827941</v>
      </c>
      <c r="I1195" s="12"/>
      <c r="J1195" s="12"/>
      <c r="K1195" s="12"/>
      <c r="L1195" s="12"/>
      <c r="M1195" s="12">
        <v>44824.0</v>
      </c>
      <c r="N1195" s="2">
        <v>384.09</v>
      </c>
      <c r="O1195" s="3" t="s">
        <v>716</v>
      </c>
      <c r="P1195" s="4" t="str">
        <f t="array" ref="P1195">XLOOKUP(O1195,Agregado!$B$2:$B$1511,Agregado!$G$2:$G$1511)</f>
        <v>#N/A</v>
      </c>
    </row>
    <row r="1196" ht="15.75" customHeight="1">
      <c r="B1196" s="13" t="s">
        <v>2115</v>
      </c>
      <c r="C1196" s="7">
        <v>132455.49600000016</v>
      </c>
      <c r="D1196" s="7">
        <v>170085.39600000018</v>
      </c>
      <c r="E1196" s="7">
        <v>192612.32100000005</v>
      </c>
      <c r="F1196" s="7">
        <f t="shared" si="1"/>
        <v>495153.213</v>
      </c>
      <c r="G1196" s="14">
        <f t="shared" si="2"/>
        <v>0.009457292373</v>
      </c>
      <c r="I1196" s="12"/>
      <c r="J1196" s="12"/>
      <c r="K1196" s="12"/>
      <c r="L1196" s="12"/>
      <c r="M1196" s="12">
        <v>44825.0</v>
      </c>
      <c r="N1196" s="2">
        <v>377.39</v>
      </c>
      <c r="O1196" s="3" t="s">
        <v>717</v>
      </c>
      <c r="P1196" s="4" t="str">
        <f t="array" ref="P1196">XLOOKUP(O1196,Agregado!$B$2:$B$1511,Agregado!$G$2:$G$1511)</f>
        <v>#N/A</v>
      </c>
    </row>
    <row r="1197" ht="15.75" customHeight="1">
      <c r="B1197" s="13" t="s">
        <v>2116</v>
      </c>
      <c r="C1197" s="7">
        <v>130911.29900000016</v>
      </c>
      <c r="D1197" s="7">
        <v>170906.23900000018</v>
      </c>
      <c r="E1197" s="7">
        <v>193073.40000000005</v>
      </c>
      <c r="F1197" s="7">
        <f t="shared" si="1"/>
        <v>494890.938</v>
      </c>
      <c r="G1197" s="14">
        <f t="shared" si="2"/>
        <v>-0.0005298248687</v>
      </c>
      <c r="I1197" s="12"/>
      <c r="J1197" s="12"/>
      <c r="K1197" s="12"/>
      <c r="L1197" s="12"/>
      <c r="M1197" s="12">
        <v>44826.0</v>
      </c>
      <c r="N1197" s="2">
        <v>374.22</v>
      </c>
      <c r="O1197" s="3" t="s">
        <v>718</v>
      </c>
      <c r="P1197" s="4" t="str">
        <f t="array" ref="P1197">XLOOKUP(O1197,Agregado!$B$2:$B$1511,Agregado!$G$2:$G$1511)</f>
        <v>#N/A</v>
      </c>
    </row>
    <row r="1198" ht="15.75" customHeight="1">
      <c r="B1198" s="13" t="s">
        <v>2117</v>
      </c>
      <c r="C1198" s="7">
        <v>133078.75900000017</v>
      </c>
      <c r="D1198" s="7">
        <v>171073.64700000017</v>
      </c>
      <c r="E1198" s="7">
        <v>193167.02400000006</v>
      </c>
      <c r="F1198" s="7">
        <f t="shared" si="1"/>
        <v>497319.43</v>
      </c>
      <c r="G1198" s="14">
        <f t="shared" si="2"/>
        <v>0.00489512492</v>
      </c>
      <c r="I1198" s="12"/>
      <c r="J1198" s="12"/>
      <c r="K1198" s="12"/>
      <c r="L1198" s="12"/>
      <c r="M1198" s="12">
        <v>44827.0</v>
      </c>
      <c r="N1198" s="2">
        <v>367.95</v>
      </c>
      <c r="O1198" s="3" t="s">
        <v>719</v>
      </c>
      <c r="P1198" s="4" t="str">
        <f t="array" ref="P1198">XLOOKUP(O1198,Agregado!$B$2:$B$1511,Agregado!$G$2:$G$1511)</f>
        <v>#N/A</v>
      </c>
    </row>
    <row r="1199" ht="15.75" customHeight="1">
      <c r="B1199" s="13" t="s">
        <v>2118</v>
      </c>
      <c r="C1199" s="7">
        <v>131791.05500000017</v>
      </c>
      <c r="D1199" s="7">
        <v>171182.91000000018</v>
      </c>
      <c r="E1199" s="7">
        <v>192883.71000000005</v>
      </c>
      <c r="F1199" s="7">
        <f t="shared" si="1"/>
        <v>495857.675</v>
      </c>
      <c r="G1199" s="14">
        <f t="shared" si="2"/>
        <v>-0.002943595957</v>
      </c>
      <c r="I1199" s="12"/>
      <c r="J1199" s="12"/>
      <c r="K1199" s="12"/>
      <c r="L1199" s="12"/>
      <c r="M1199" s="12">
        <v>44830.0</v>
      </c>
      <c r="N1199" s="2">
        <v>364.31</v>
      </c>
      <c r="O1199" s="3" t="s">
        <v>720</v>
      </c>
      <c r="P1199" s="4" t="str">
        <f t="array" ref="P1199">XLOOKUP(O1199,Agregado!$B$2:$B$1511,Agregado!$G$2:$G$1511)</f>
        <v>#N/A</v>
      </c>
    </row>
    <row r="1200" ht="15.75" customHeight="1">
      <c r="B1200" s="13" t="s">
        <v>2119</v>
      </c>
      <c r="C1200" s="7">
        <v>135971.29800000016</v>
      </c>
      <c r="D1200" s="7">
        <v>171075.28800000018</v>
      </c>
      <c r="E1200" s="7">
        <v>192623.60400000005</v>
      </c>
      <c r="F1200" s="7">
        <f t="shared" si="1"/>
        <v>499670.19</v>
      </c>
      <c r="G1200" s="14">
        <f t="shared" si="2"/>
        <v>0.007659320794</v>
      </c>
      <c r="I1200" s="12"/>
      <c r="J1200" s="12"/>
      <c r="K1200" s="12"/>
      <c r="L1200" s="12"/>
      <c r="M1200" s="12">
        <v>44831.0</v>
      </c>
      <c r="N1200" s="2">
        <v>363.38</v>
      </c>
      <c r="O1200" s="3" t="s">
        <v>721</v>
      </c>
      <c r="P1200" s="4" t="str">
        <f t="array" ref="P1200">XLOOKUP(O1200,Agregado!$B$2:$B$1511,Agregado!$G$2:$G$1511)</f>
        <v>#N/A</v>
      </c>
    </row>
    <row r="1201" ht="15.75" customHeight="1">
      <c r="B1201" s="13" t="s">
        <v>2120</v>
      </c>
      <c r="C1201" s="7">
        <v>133277.25900000017</v>
      </c>
      <c r="D1201" s="7">
        <v>171700.93600000016</v>
      </c>
      <c r="E1201" s="7">
        <v>193486.15800000005</v>
      </c>
      <c r="F1201" s="7">
        <f t="shared" si="1"/>
        <v>498464.353</v>
      </c>
      <c r="G1201" s="14">
        <f t="shared" si="2"/>
        <v>-0.002416182458</v>
      </c>
      <c r="I1201" s="12"/>
      <c r="J1201" s="12"/>
      <c r="K1201" s="12"/>
      <c r="L1201" s="12"/>
      <c r="M1201" s="12">
        <v>44832.0</v>
      </c>
      <c r="N1201" s="2">
        <v>370.53</v>
      </c>
      <c r="O1201" s="3" t="s">
        <v>722</v>
      </c>
      <c r="P1201" s="4" t="str">
        <f t="array" ref="P1201">XLOOKUP(O1201,Agregado!$B$2:$B$1511,Agregado!$G$2:$G$1511)</f>
        <v>#N/A</v>
      </c>
    </row>
    <row r="1202" ht="15.75" customHeight="1">
      <c r="B1202" s="13" t="s">
        <v>2121</v>
      </c>
      <c r="C1202" s="7">
        <v>132389.48900000018</v>
      </c>
      <c r="D1202" s="7">
        <v>171890.59600000017</v>
      </c>
      <c r="E1202" s="7">
        <v>193610.47500000006</v>
      </c>
      <c r="F1202" s="7">
        <f t="shared" si="1"/>
        <v>497890.56</v>
      </c>
      <c r="G1202" s="14">
        <f t="shared" si="2"/>
        <v>-0.001151784482</v>
      </c>
      <c r="I1202" s="12"/>
      <c r="J1202" s="12"/>
      <c r="K1202" s="12"/>
      <c r="L1202" s="12"/>
      <c r="M1202" s="12">
        <v>44833.0</v>
      </c>
      <c r="N1202" s="2">
        <v>362.79</v>
      </c>
      <c r="O1202" s="3" t="s">
        <v>723</v>
      </c>
      <c r="P1202" s="4" t="str">
        <f t="array" ref="P1202">XLOOKUP(O1202,Agregado!$B$2:$B$1511,Agregado!$G$2:$G$1511)</f>
        <v>#N/A</v>
      </c>
    </row>
    <row r="1203" ht="15.75" customHeight="1">
      <c r="B1203" s="13" t="s">
        <v>2122</v>
      </c>
      <c r="C1203" s="7">
        <v>131597.68700000018</v>
      </c>
      <c r="D1203" s="7">
        <v>171720.23200000016</v>
      </c>
      <c r="E1203" s="7">
        <v>193872.75500000006</v>
      </c>
      <c r="F1203" s="7">
        <f t="shared" si="1"/>
        <v>497190.674</v>
      </c>
      <c r="G1203" s="14">
        <f t="shared" si="2"/>
        <v>-0.001406691417</v>
      </c>
      <c r="I1203" s="12"/>
      <c r="J1203" s="12"/>
      <c r="K1203" s="12"/>
      <c r="L1203" s="12"/>
      <c r="M1203" s="12">
        <v>44834.0</v>
      </c>
      <c r="N1203" s="2">
        <v>357.18</v>
      </c>
      <c r="O1203" s="3" t="s">
        <v>724</v>
      </c>
      <c r="P1203" s="4" t="str">
        <f t="array" ref="P1203">XLOOKUP(O1203,Agregado!$B$2:$B$1511,Agregado!$G$2:$G$1511)</f>
        <v>#N/A</v>
      </c>
    </row>
    <row r="1204" ht="15.75" customHeight="1">
      <c r="B1204" s="13" t="s">
        <v>2123</v>
      </c>
      <c r="C1204" s="7">
        <v>130981.76800000019</v>
      </c>
      <c r="D1204" s="7">
        <v>172076.29700000017</v>
      </c>
      <c r="E1204" s="7">
        <v>194005.85800000007</v>
      </c>
      <c r="F1204" s="7">
        <f t="shared" si="1"/>
        <v>497063.923</v>
      </c>
      <c r="G1204" s="14">
        <f t="shared" si="2"/>
        <v>-0.0002549668889</v>
      </c>
      <c r="I1204" s="12"/>
      <c r="J1204" s="12"/>
      <c r="K1204" s="12"/>
      <c r="L1204" s="12"/>
      <c r="M1204" s="12">
        <v>44837.0</v>
      </c>
      <c r="N1204" s="2">
        <v>366.61</v>
      </c>
      <c r="O1204" s="3">
        <v>44630.0</v>
      </c>
      <c r="P1204" s="4" t="str">
        <f t="array" ref="P1204">XLOOKUP(O1204,Agregado!$B$2:$B$1511,Agregado!$G$2:$G$1511)</f>
        <v>#N/A</v>
      </c>
    </row>
    <row r="1205" ht="15.75" customHeight="1">
      <c r="B1205" s="13" t="s">
        <v>2124</v>
      </c>
      <c r="C1205" s="7">
        <v>129058.67600000018</v>
      </c>
      <c r="D1205" s="7">
        <v>171967.00100000016</v>
      </c>
      <c r="E1205" s="7">
        <v>194311.29600000006</v>
      </c>
      <c r="F1205" s="7">
        <f t="shared" si="1"/>
        <v>495336.973</v>
      </c>
      <c r="G1205" s="14">
        <f t="shared" si="2"/>
        <v>-0.003480351036</v>
      </c>
      <c r="I1205" s="12"/>
      <c r="J1205" s="12"/>
      <c r="K1205" s="12"/>
      <c r="L1205" s="12"/>
      <c r="M1205" s="12">
        <v>44838.0</v>
      </c>
      <c r="N1205" s="2">
        <v>377.97</v>
      </c>
      <c r="O1205" s="3">
        <v>44661.0</v>
      </c>
      <c r="P1205" s="4" t="str">
        <f t="array" ref="P1205">XLOOKUP(O1205,Agregado!$B$2:$B$1511,Agregado!$G$2:$G$1511)</f>
        <v>#N/A</v>
      </c>
    </row>
    <row r="1206" ht="15.75" customHeight="1">
      <c r="B1206" s="13" t="s">
        <v>2125</v>
      </c>
      <c r="C1206" s="7">
        <v>132732.0010000002</v>
      </c>
      <c r="D1206" s="7">
        <v>172183.95500000016</v>
      </c>
      <c r="E1206" s="7">
        <v>194425.31600000005</v>
      </c>
      <c r="F1206" s="7">
        <f t="shared" si="1"/>
        <v>499341.272</v>
      </c>
      <c r="G1206" s="14">
        <f t="shared" si="2"/>
        <v>0.008051489318</v>
      </c>
      <c r="I1206" s="12"/>
      <c r="J1206" s="12"/>
      <c r="K1206" s="12"/>
      <c r="L1206" s="12"/>
      <c r="M1206" s="12">
        <v>44839.0</v>
      </c>
      <c r="N1206" s="2">
        <v>377.09</v>
      </c>
      <c r="O1206" s="3">
        <v>44691.0</v>
      </c>
      <c r="P1206" s="4" t="str">
        <f t="array" ref="P1206">XLOOKUP(O1206,Agregado!$B$2:$B$1511,Agregado!$G$2:$G$1511)</f>
        <v>#N/A</v>
      </c>
    </row>
    <row r="1207" ht="15.75" customHeight="1">
      <c r="B1207" s="13" t="s">
        <v>2126</v>
      </c>
      <c r="C1207" s="7">
        <v>133429.6880000002</v>
      </c>
      <c r="D1207" s="7">
        <v>172363.57400000017</v>
      </c>
      <c r="E1207" s="7">
        <v>194322.68600000005</v>
      </c>
      <c r="F1207" s="7">
        <f t="shared" si="1"/>
        <v>500115.948</v>
      </c>
      <c r="G1207" s="14">
        <f t="shared" si="2"/>
        <v>0.001550193724</v>
      </c>
      <c r="I1207" s="12"/>
      <c r="J1207" s="12"/>
      <c r="K1207" s="12"/>
      <c r="L1207" s="12"/>
      <c r="M1207" s="12">
        <v>44840.0</v>
      </c>
      <c r="N1207" s="2">
        <v>373.2</v>
      </c>
      <c r="O1207" s="3">
        <v>44722.0</v>
      </c>
      <c r="P1207" s="4" t="str">
        <f t="array" ref="P1207">XLOOKUP(O1207,Agregado!$B$2:$B$1511,Agregado!$G$2:$G$1511)</f>
        <v>#N/A</v>
      </c>
    </row>
    <row r="1208" ht="15.75" customHeight="1">
      <c r="B1208" s="13" t="s">
        <v>2127</v>
      </c>
      <c r="C1208" s="7">
        <v>133126.5600000002</v>
      </c>
      <c r="D1208" s="7">
        <v>172345.67100000018</v>
      </c>
      <c r="E1208" s="7">
        <v>194383.72200000004</v>
      </c>
      <c r="F1208" s="7">
        <f t="shared" si="1"/>
        <v>499855.953</v>
      </c>
      <c r="G1208" s="14">
        <f t="shared" si="2"/>
        <v>-0.0005200046233</v>
      </c>
      <c r="I1208" s="12"/>
      <c r="J1208" s="12"/>
      <c r="K1208" s="12"/>
      <c r="L1208" s="12"/>
      <c r="M1208" s="12">
        <v>44841.0</v>
      </c>
      <c r="N1208" s="2">
        <v>362.79</v>
      </c>
      <c r="O1208" s="3">
        <v>44752.0</v>
      </c>
      <c r="P1208" s="4" t="str">
        <f t="array" ref="P1208">XLOOKUP(O1208,Agregado!$B$2:$B$1511,Agregado!$G$2:$G$1511)</f>
        <v>#N/A</v>
      </c>
    </row>
    <row r="1209" ht="15.75" customHeight="1">
      <c r="B1209" s="13" t="s">
        <v>2128</v>
      </c>
      <c r="C1209" s="7">
        <v>135614.8040000002</v>
      </c>
      <c r="D1209" s="7">
        <v>172474.2650000002</v>
      </c>
      <c r="E1209" s="7">
        <v>194462.68600000005</v>
      </c>
      <c r="F1209" s="7">
        <f t="shared" si="1"/>
        <v>502551.755</v>
      </c>
      <c r="G1209" s="14">
        <f t="shared" si="2"/>
        <v>0.005378666739</v>
      </c>
      <c r="I1209" s="12"/>
      <c r="J1209" s="12"/>
      <c r="K1209" s="12"/>
      <c r="L1209" s="12"/>
      <c r="M1209" s="12">
        <v>44844.0</v>
      </c>
      <c r="N1209" s="2">
        <v>360.02</v>
      </c>
      <c r="O1209" s="3">
        <v>44844.0</v>
      </c>
      <c r="P1209" s="4" t="str">
        <f t="array" ref="P1209">XLOOKUP(O1209,Agregado!$B$2:$B$1511,Agregado!$G$2:$G$1511)</f>
        <v>#N/A</v>
      </c>
    </row>
    <row r="1210" ht="15.75" customHeight="1">
      <c r="B1210" s="13" t="s">
        <v>2129</v>
      </c>
      <c r="C1210" s="7">
        <v>136740.2410000002</v>
      </c>
      <c r="D1210" s="7">
        <v>172563.94800000018</v>
      </c>
      <c r="E1210" s="7">
        <v>194337.69300000006</v>
      </c>
      <c r="F1210" s="7">
        <f t="shared" si="1"/>
        <v>503641.882</v>
      </c>
      <c r="G1210" s="14">
        <f t="shared" si="2"/>
        <v>0.002166834268</v>
      </c>
      <c r="I1210" s="12"/>
      <c r="J1210" s="12"/>
      <c r="K1210" s="12"/>
      <c r="L1210" s="12"/>
      <c r="M1210" s="12">
        <v>44845.0</v>
      </c>
      <c r="N1210" s="2">
        <v>357.74</v>
      </c>
      <c r="O1210" s="3">
        <v>44875.0</v>
      </c>
      <c r="P1210" s="4" t="str">
        <f t="array" ref="P1210">XLOOKUP(O1210,Agregado!$B$2:$B$1511,Agregado!$G$2:$G$1511)</f>
        <v>#N/A</v>
      </c>
    </row>
    <row r="1211" ht="15.75" customHeight="1">
      <c r="B1211" s="13" t="s">
        <v>2130</v>
      </c>
      <c r="C1211" s="7">
        <v>138922.27600000022</v>
      </c>
      <c r="D1211" s="7">
        <v>172987.41000000018</v>
      </c>
      <c r="E1211" s="7">
        <v>194335.24500000005</v>
      </c>
      <c r="F1211" s="7">
        <f t="shared" si="1"/>
        <v>506244.931</v>
      </c>
      <c r="G1211" s="14">
        <f t="shared" si="2"/>
        <v>0.005155141608</v>
      </c>
      <c r="I1211" s="12"/>
      <c r="J1211" s="12"/>
      <c r="K1211" s="12"/>
      <c r="L1211" s="12"/>
      <c r="M1211" s="12">
        <v>44846.0</v>
      </c>
      <c r="N1211" s="2">
        <v>356.56</v>
      </c>
      <c r="O1211" s="3">
        <v>44905.0</v>
      </c>
      <c r="P1211" s="4" t="str">
        <f t="array" ref="P1211">XLOOKUP(O1211,Agregado!$B$2:$B$1511,Agregado!$G$2:$G$1511)</f>
        <v>#N/A</v>
      </c>
    </row>
    <row r="1212" ht="15.75" customHeight="1">
      <c r="B1212" s="13" t="s">
        <v>2131</v>
      </c>
      <c r="C1212" s="7">
        <v>138848.0920000002</v>
      </c>
      <c r="D1212" s="7">
        <v>172652.21000000017</v>
      </c>
      <c r="E1212" s="7">
        <v>194838.13000000006</v>
      </c>
      <c r="F1212" s="7">
        <f t="shared" si="1"/>
        <v>506338.432</v>
      </c>
      <c r="G1212" s="14">
        <f t="shared" si="2"/>
        <v>0.0001846781286</v>
      </c>
      <c r="I1212" s="12"/>
      <c r="J1212" s="12"/>
      <c r="K1212" s="12"/>
      <c r="L1212" s="12"/>
      <c r="M1212" s="12">
        <v>44847.0</v>
      </c>
      <c r="N1212" s="2">
        <v>365.97</v>
      </c>
      <c r="O1212" s="3" t="s">
        <v>725</v>
      </c>
      <c r="P1212" s="4" t="str">
        <f t="array" ref="P1212">XLOOKUP(O1212,Agregado!$B$2:$B$1511,Agregado!$G$2:$G$1511)</f>
        <v>#N/A</v>
      </c>
    </row>
    <row r="1213" ht="15.75" customHeight="1">
      <c r="B1213" s="13" t="s">
        <v>2132</v>
      </c>
      <c r="C1213" s="7">
        <v>139050.7390000002</v>
      </c>
      <c r="D1213" s="7">
        <v>172985.17200000017</v>
      </c>
      <c r="E1213" s="7">
        <v>195087.06500000006</v>
      </c>
      <c r="F1213" s="7">
        <f t="shared" si="1"/>
        <v>507122.976</v>
      </c>
      <c r="G1213" s="14">
        <f t="shared" si="2"/>
        <v>0.001548246732</v>
      </c>
      <c r="I1213" s="12"/>
      <c r="J1213" s="12"/>
      <c r="K1213" s="12"/>
      <c r="L1213" s="12"/>
      <c r="M1213" s="12">
        <v>44848.0</v>
      </c>
      <c r="N1213" s="2">
        <v>357.63</v>
      </c>
      <c r="O1213" s="3" t="s">
        <v>726</v>
      </c>
      <c r="P1213" s="4" t="str">
        <f t="array" ref="P1213">XLOOKUP(O1213,Agregado!$B$2:$B$1511,Agregado!$G$2:$G$1511)</f>
        <v>#N/A</v>
      </c>
    </row>
    <row r="1214" ht="15.75" customHeight="1">
      <c r="B1214" s="13" t="s">
        <v>2133</v>
      </c>
      <c r="C1214" s="7">
        <v>137771.2640000002</v>
      </c>
      <c r="D1214" s="7">
        <v>173664.22700000016</v>
      </c>
      <c r="E1214" s="7">
        <v>195491.12700000007</v>
      </c>
      <c r="F1214" s="7">
        <f t="shared" si="1"/>
        <v>506926.618</v>
      </c>
      <c r="G1214" s="14">
        <f t="shared" si="2"/>
        <v>-0.0003872749491</v>
      </c>
      <c r="I1214" s="12"/>
      <c r="J1214" s="12"/>
      <c r="K1214" s="12"/>
      <c r="L1214" s="12"/>
      <c r="M1214" s="12">
        <v>44851.0</v>
      </c>
      <c r="N1214" s="2">
        <v>366.82</v>
      </c>
      <c r="O1214" s="3" t="s">
        <v>727</v>
      </c>
      <c r="P1214" s="4" t="str">
        <f t="array" ref="P1214">XLOOKUP(O1214,Agregado!$B$2:$B$1511,Agregado!$G$2:$G$1511)</f>
        <v>#N/A</v>
      </c>
    </row>
    <row r="1215" ht="15.75" customHeight="1">
      <c r="B1215" s="13" t="s">
        <v>2134</v>
      </c>
      <c r="C1215" s="7">
        <v>139193.3410000002</v>
      </c>
      <c r="D1215" s="7">
        <v>173983.63300000015</v>
      </c>
      <c r="E1215" s="7">
        <v>195624.05400000006</v>
      </c>
      <c r="F1215" s="7">
        <f t="shared" si="1"/>
        <v>508801.028</v>
      </c>
      <c r="G1215" s="14">
        <f t="shared" si="2"/>
        <v>0.003690777021</v>
      </c>
      <c r="I1215" s="12"/>
      <c r="J1215" s="12"/>
      <c r="K1215" s="12"/>
      <c r="L1215" s="12"/>
      <c r="M1215" s="12">
        <v>44852.0</v>
      </c>
      <c r="N1215" s="2">
        <v>371.13</v>
      </c>
      <c r="O1215" s="3" t="s">
        <v>728</v>
      </c>
      <c r="P1215" s="4" t="str">
        <f t="array" ref="P1215">XLOOKUP(O1215,Agregado!$B$2:$B$1511,Agregado!$G$2:$G$1511)</f>
        <v>#N/A</v>
      </c>
    </row>
    <row r="1216" ht="15.75" customHeight="1">
      <c r="B1216" s="13" t="s">
        <v>2135</v>
      </c>
      <c r="C1216" s="7">
        <v>144551.5420000002</v>
      </c>
      <c r="D1216" s="7">
        <v>174135.72700000016</v>
      </c>
      <c r="E1216" s="7">
        <v>195371.56200000006</v>
      </c>
      <c r="F1216" s="7">
        <f t="shared" si="1"/>
        <v>514058.831</v>
      </c>
      <c r="G1216" s="14">
        <f t="shared" si="2"/>
        <v>0.01028068364</v>
      </c>
      <c r="I1216" s="12"/>
      <c r="J1216" s="12"/>
      <c r="K1216" s="12"/>
      <c r="L1216" s="12"/>
      <c r="M1216" s="12">
        <v>44853.0</v>
      </c>
      <c r="N1216" s="2">
        <v>368.5</v>
      </c>
      <c r="O1216" s="3" t="s">
        <v>729</v>
      </c>
      <c r="P1216" s="4" t="str">
        <f t="array" ref="P1216">XLOOKUP(O1216,Agregado!$B$2:$B$1511,Agregado!$G$2:$G$1511)</f>
        <v>#N/A</v>
      </c>
    </row>
    <row r="1217" ht="15.75" customHeight="1">
      <c r="B1217" s="13" t="s">
        <v>2136</v>
      </c>
      <c r="C1217" s="7">
        <v>142242.60300000018</v>
      </c>
      <c r="D1217" s="7">
        <v>174696.04000000015</v>
      </c>
      <c r="E1217" s="7">
        <v>195650.20500000007</v>
      </c>
      <c r="F1217" s="7">
        <f t="shared" si="1"/>
        <v>512588.848</v>
      </c>
      <c r="G1217" s="14">
        <f t="shared" si="2"/>
        <v>-0.002863658166</v>
      </c>
      <c r="I1217" s="12"/>
      <c r="J1217" s="12"/>
      <c r="K1217" s="12"/>
      <c r="L1217" s="12"/>
      <c r="M1217" s="12">
        <v>44854.0</v>
      </c>
      <c r="N1217" s="2">
        <v>365.41</v>
      </c>
      <c r="O1217" s="3" t="s">
        <v>730</v>
      </c>
      <c r="P1217" s="4" t="str">
        <f t="array" ref="P1217">XLOOKUP(O1217,Agregado!$B$2:$B$1511,Agregado!$G$2:$G$1511)</f>
        <v>#N/A</v>
      </c>
    </row>
    <row r="1218" ht="15.75" customHeight="1">
      <c r="B1218" s="13" t="s">
        <v>2137</v>
      </c>
      <c r="C1218" s="7">
        <v>146711.85500000019</v>
      </c>
      <c r="D1218" s="7">
        <v>175252.22100000017</v>
      </c>
      <c r="E1218" s="7">
        <v>196770.11000000007</v>
      </c>
      <c r="F1218" s="7">
        <f t="shared" si="1"/>
        <v>518734.186</v>
      </c>
      <c r="G1218" s="14">
        <f t="shared" si="2"/>
        <v>0.01191752832</v>
      </c>
      <c r="I1218" s="12"/>
      <c r="J1218" s="12"/>
      <c r="K1218" s="12"/>
      <c r="L1218" s="12"/>
      <c r="M1218" s="12">
        <v>44855.0</v>
      </c>
      <c r="N1218" s="2">
        <v>374.29</v>
      </c>
      <c r="O1218" s="3" t="s">
        <v>731</v>
      </c>
      <c r="P1218" s="4" t="str">
        <f t="array" ref="P1218">XLOOKUP(O1218,Agregado!$B$2:$B$1511,Agregado!$G$2:$G$1511)</f>
        <v>#N/A</v>
      </c>
    </row>
    <row r="1219" ht="15.75" customHeight="1">
      <c r="B1219" s="13" t="s">
        <v>2138</v>
      </c>
      <c r="C1219" s="7">
        <v>145591.82000000018</v>
      </c>
      <c r="D1219" s="7">
        <v>175480.96900000016</v>
      </c>
      <c r="E1219" s="7">
        <v>196208.25700000007</v>
      </c>
      <c r="F1219" s="7">
        <f t="shared" si="1"/>
        <v>517281.046</v>
      </c>
      <c r="G1219" s="14">
        <f t="shared" si="2"/>
        <v>-0.00280525017</v>
      </c>
      <c r="I1219" s="12"/>
      <c r="J1219" s="12"/>
      <c r="K1219" s="12"/>
      <c r="L1219" s="12"/>
      <c r="M1219" s="12">
        <v>44858.0</v>
      </c>
      <c r="N1219" s="2">
        <v>378.87</v>
      </c>
      <c r="O1219" s="3" t="s">
        <v>732</v>
      </c>
      <c r="P1219" s="4" t="str">
        <f t="array" ref="P1219">XLOOKUP(O1219,Agregado!$B$2:$B$1511,Agregado!$G$2:$G$1511)</f>
        <v>#N/A</v>
      </c>
    </row>
    <row r="1220" ht="15.75" customHeight="1">
      <c r="B1220" s="13" t="s">
        <v>2139</v>
      </c>
      <c r="C1220" s="7">
        <v>145727.9880000002</v>
      </c>
      <c r="D1220" s="7">
        <v>175578.63800000015</v>
      </c>
      <c r="E1220" s="7">
        <v>196371.43900000007</v>
      </c>
      <c r="F1220" s="7">
        <f t="shared" si="1"/>
        <v>517678.065</v>
      </c>
      <c r="G1220" s="14">
        <f t="shared" si="2"/>
        <v>0.0007672168209</v>
      </c>
      <c r="I1220" s="12"/>
      <c r="J1220" s="12"/>
      <c r="K1220" s="12"/>
      <c r="L1220" s="12"/>
      <c r="M1220" s="12">
        <v>44859.0</v>
      </c>
      <c r="N1220" s="2">
        <v>384.92</v>
      </c>
      <c r="O1220" s="3" t="s">
        <v>733</v>
      </c>
      <c r="P1220" s="4" t="str">
        <f t="array" ref="P1220">XLOOKUP(O1220,Agregado!$B$2:$B$1511,Agregado!$G$2:$G$1511)</f>
        <v>#N/A</v>
      </c>
    </row>
    <row r="1221" ht="15.75" customHeight="1">
      <c r="B1221" s="13" t="s">
        <v>2140</v>
      </c>
      <c r="C1221" s="7">
        <v>150555.07600000018</v>
      </c>
      <c r="D1221" s="7">
        <v>175520.47100000017</v>
      </c>
      <c r="E1221" s="7">
        <v>196967.80700000006</v>
      </c>
      <c r="F1221" s="7">
        <f t="shared" si="1"/>
        <v>523043.354</v>
      </c>
      <c r="G1221" s="14">
        <f t="shared" si="2"/>
        <v>0.01031080256</v>
      </c>
      <c r="I1221" s="12"/>
      <c r="J1221" s="12"/>
      <c r="K1221" s="12"/>
      <c r="L1221" s="12"/>
      <c r="M1221" s="12">
        <v>44860.0</v>
      </c>
      <c r="N1221" s="2">
        <v>382.02</v>
      </c>
      <c r="O1221" s="3" t="s">
        <v>734</v>
      </c>
      <c r="P1221" s="4" t="str">
        <f t="array" ref="P1221">XLOOKUP(O1221,Agregado!$B$2:$B$1511,Agregado!$G$2:$G$1511)</f>
        <v>#N/A</v>
      </c>
    </row>
    <row r="1222" ht="15.75" customHeight="1">
      <c r="B1222" s="13" t="s">
        <v>2141</v>
      </c>
      <c r="C1222" s="7">
        <v>149132.09500000018</v>
      </c>
      <c r="D1222" s="7">
        <v>175810.11500000017</v>
      </c>
      <c r="E1222" s="7">
        <v>198358.71800000005</v>
      </c>
      <c r="F1222" s="7">
        <f t="shared" si="1"/>
        <v>523300.928</v>
      </c>
      <c r="G1222" s="14">
        <f t="shared" si="2"/>
        <v>0.0004923312711</v>
      </c>
      <c r="I1222" s="12"/>
      <c r="J1222" s="12"/>
      <c r="K1222" s="12"/>
      <c r="L1222" s="12"/>
      <c r="M1222" s="12">
        <v>44861.0</v>
      </c>
      <c r="N1222" s="2">
        <v>379.98</v>
      </c>
      <c r="O1222" s="3" t="s">
        <v>735</v>
      </c>
      <c r="P1222" s="4" t="str">
        <f t="array" ref="P1222">XLOOKUP(O1222,Agregado!$B$2:$B$1511,Agregado!$G$2:$G$1511)</f>
        <v>#N/A</v>
      </c>
    </row>
    <row r="1223" ht="15.75" customHeight="1">
      <c r="B1223" s="13" t="s">
        <v>2142</v>
      </c>
      <c r="C1223" s="7">
        <v>145475.88500000018</v>
      </c>
      <c r="D1223" s="7">
        <v>175847.76900000017</v>
      </c>
      <c r="E1223" s="7">
        <v>198233.05100000006</v>
      </c>
      <c r="F1223" s="7">
        <f t="shared" si="1"/>
        <v>519556.705</v>
      </c>
      <c r="G1223" s="14">
        <f t="shared" si="2"/>
        <v>-0.007180729124</v>
      </c>
      <c r="I1223" s="12"/>
      <c r="J1223" s="12"/>
      <c r="K1223" s="12"/>
      <c r="L1223" s="12"/>
      <c r="M1223" s="12">
        <v>44862.0</v>
      </c>
      <c r="N1223" s="2">
        <v>389.02</v>
      </c>
      <c r="O1223" s="3" t="s">
        <v>736</v>
      </c>
      <c r="P1223" s="4" t="str">
        <f t="array" ref="P1223">XLOOKUP(O1223,Agregado!$B$2:$B$1511,Agregado!$G$2:$G$1511)</f>
        <v>#N/A</v>
      </c>
    </row>
    <row r="1224" ht="15.75" customHeight="1">
      <c r="B1224" s="13" t="s">
        <v>2143</v>
      </c>
      <c r="C1224" s="7">
        <v>142228.9090000002</v>
      </c>
      <c r="D1224" s="7">
        <v>175847.76900000017</v>
      </c>
      <c r="E1224" s="7">
        <v>197791.87600000008</v>
      </c>
      <c r="F1224" s="7">
        <f t="shared" si="1"/>
        <v>515868.554</v>
      </c>
      <c r="G1224" s="14">
        <f t="shared" si="2"/>
        <v>-0.007123964895</v>
      </c>
      <c r="I1224" s="12"/>
      <c r="J1224" s="12"/>
      <c r="K1224" s="12"/>
      <c r="L1224" s="12"/>
      <c r="M1224" s="12">
        <v>44865.0</v>
      </c>
      <c r="N1224" s="2">
        <v>386.21</v>
      </c>
      <c r="O1224" s="3" t="s">
        <v>737</v>
      </c>
      <c r="P1224" s="4" t="str">
        <f t="array" ref="P1224">XLOOKUP(O1224,Agregado!$B$2:$B$1511,Agregado!$G$2:$G$1511)</f>
        <v>#N/A</v>
      </c>
    </row>
    <row r="1225" ht="15.75" customHeight="1">
      <c r="B1225" s="13" t="s">
        <v>2144</v>
      </c>
      <c r="C1225" s="7">
        <v>140648.86900000018</v>
      </c>
      <c r="D1225" s="7">
        <v>175828.88100000017</v>
      </c>
      <c r="E1225" s="7">
        <v>197839.80000000008</v>
      </c>
      <c r="F1225" s="7">
        <f t="shared" si="1"/>
        <v>514317.55</v>
      </c>
      <c r="G1225" s="14">
        <f t="shared" si="2"/>
        <v>-0.003011116469</v>
      </c>
      <c r="I1225" s="12"/>
      <c r="J1225" s="12"/>
      <c r="K1225" s="12"/>
      <c r="L1225" s="12"/>
      <c r="M1225" s="12">
        <v>44866.0</v>
      </c>
      <c r="N1225" s="2">
        <v>384.52</v>
      </c>
      <c r="O1225" s="3">
        <v>44572.0</v>
      </c>
      <c r="P1225" s="4" t="str">
        <f t="array" ref="P1225">XLOOKUP(O1225,Agregado!$B$2:$B$1511,Agregado!$G$2:$G$1511)</f>
        <v>#N/A</v>
      </c>
    </row>
    <row r="1226" ht="15.75" customHeight="1">
      <c r="B1226" s="13" t="s">
        <v>2145</v>
      </c>
      <c r="C1226" s="7">
        <v>140326.02400000018</v>
      </c>
      <c r="D1226" s="7">
        <v>175828.88100000017</v>
      </c>
      <c r="E1226" s="7">
        <v>197886.87400000007</v>
      </c>
      <c r="F1226" s="7">
        <f t="shared" si="1"/>
        <v>514041.779</v>
      </c>
      <c r="G1226" s="14">
        <f t="shared" si="2"/>
        <v>-0.0005363319976</v>
      </c>
      <c r="I1226" s="12"/>
      <c r="J1226" s="12"/>
      <c r="K1226" s="12"/>
      <c r="L1226" s="12"/>
      <c r="M1226" s="12">
        <v>44867.0</v>
      </c>
      <c r="N1226" s="2">
        <v>374.87</v>
      </c>
      <c r="O1226" s="3">
        <v>44603.0</v>
      </c>
      <c r="P1226" s="4" t="str">
        <f t="array" ref="P1226">XLOOKUP(O1226,Agregado!$B$2:$B$1511,Agregado!$G$2:$G$1511)</f>
        <v>#N/A</v>
      </c>
    </row>
    <row r="1227" ht="15.75" customHeight="1">
      <c r="B1227" s="13" t="s">
        <v>2146</v>
      </c>
      <c r="C1227" s="7">
        <v>139466.6590000002</v>
      </c>
      <c r="D1227" s="7">
        <v>175924.76300000018</v>
      </c>
      <c r="E1227" s="7">
        <v>198007.44400000008</v>
      </c>
      <c r="F1227" s="7">
        <f t="shared" si="1"/>
        <v>513398.866</v>
      </c>
      <c r="G1227" s="14">
        <f t="shared" si="2"/>
        <v>-0.001251484623</v>
      </c>
      <c r="I1227" s="12"/>
      <c r="J1227" s="12"/>
      <c r="K1227" s="12"/>
      <c r="L1227" s="12"/>
      <c r="M1227" s="12">
        <v>44868.0</v>
      </c>
      <c r="N1227" s="2">
        <v>371.01</v>
      </c>
      <c r="O1227" s="3">
        <v>44631.0</v>
      </c>
      <c r="P1227" s="4" t="str">
        <f t="array" ref="P1227">XLOOKUP(O1227,Agregado!$B$2:$B$1511,Agregado!$G$2:$G$1511)</f>
        <v>#N/A</v>
      </c>
    </row>
    <row r="1228" ht="15.75" customHeight="1">
      <c r="B1228" s="13" t="s">
        <v>2147</v>
      </c>
      <c r="C1228" s="7">
        <v>138849.3870000002</v>
      </c>
      <c r="D1228" s="7">
        <v>174140.47000000018</v>
      </c>
      <c r="E1228" s="7">
        <v>198099.10000000006</v>
      </c>
      <c r="F1228" s="7">
        <f t="shared" si="1"/>
        <v>511088.957</v>
      </c>
      <c r="G1228" s="14">
        <f t="shared" si="2"/>
        <v>-0.004509400429</v>
      </c>
      <c r="I1228" s="12"/>
      <c r="J1228" s="12"/>
      <c r="K1228" s="12"/>
      <c r="L1228" s="12"/>
      <c r="M1228" s="12">
        <v>44869.0</v>
      </c>
      <c r="N1228" s="2">
        <v>376.35</v>
      </c>
      <c r="O1228" s="3">
        <v>44662.0</v>
      </c>
      <c r="P1228" s="4" t="str">
        <f t="array" ref="P1228">XLOOKUP(O1228,Agregado!$B$2:$B$1511,Agregado!$G$2:$G$1511)</f>
        <v>#N/A</v>
      </c>
    </row>
    <row r="1229" ht="15.75" customHeight="1">
      <c r="B1229" s="13" t="s">
        <v>2148</v>
      </c>
      <c r="C1229" s="7">
        <v>143093.55900000018</v>
      </c>
      <c r="D1229" s="7">
        <v>174180.11900000018</v>
      </c>
      <c r="E1229" s="7">
        <v>198212.65500000006</v>
      </c>
      <c r="F1229" s="7">
        <f t="shared" si="1"/>
        <v>515486.333</v>
      </c>
      <c r="G1229" s="14">
        <f t="shared" si="2"/>
        <v>0.00856713178</v>
      </c>
      <c r="I1229" s="12"/>
      <c r="J1229" s="12"/>
      <c r="K1229" s="12"/>
      <c r="L1229" s="12"/>
      <c r="M1229" s="12">
        <v>44872.0</v>
      </c>
      <c r="N1229" s="2">
        <v>379.95</v>
      </c>
      <c r="O1229" s="3">
        <v>44753.0</v>
      </c>
      <c r="P1229" s="4" t="str">
        <f t="array" ref="P1229">XLOOKUP(O1229,Agregado!$B$2:$B$1511,Agregado!$G$2:$G$1511)</f>
        <v>#N/A</v>
      </c>
    </row>
    <row r="1230" ht="15.75" customHeight="1">
      <c r="B1230" s="13" t="s">
        <v>2149</v>
      </c>
      <c r="C1230" s="7">
        <v>145245.1450000002</v>
      </c>
      <c r="D1230" s="7">
        <v>174340.1810000002</v>
      </c>
      <c r="E1230" s="7">
        <v>198071.70300000007</v>
      </c>
      <c r="F1230" s="7">
        <f t="shared" si="1"/>
        <v>517657.029</v>
      </c>
      <c r="G1230" s="14">
        <f t="shared" si="2"/>
        <v>0.004202125811</v>
      </c>
      <c r="I1230" s="12"/>
      <c r="J1230" s="12"/>
      <c r="K1230" s="12"/>
      <c r="L1230" s="12"/>
      <c r="M1230" s="12">
        <v>44873.0</v>
      </c>
      <c r="N1230" s="2">
        <v>382.0</v>
      </c>
      <c r="O1230" s="3">
        <v>44784.0</v>
      </c>
      <c r="P1230" s="4" t="str">
        <f t="array" ref="P1230">XLOOKUP(O1230,Agregado!$B$2:$B$1511,Agregado!$G$2:$G$1511)</f>
        <v>#N/A</v>
      </c>
    </row>
    <row r="1231" ht="15.75" customHeight="1">
      <c r="B1231" s="13" t="s">
        <v>2150</v>
      </c>
      <c r="C1231" s="7">
        <v>148207.50500000018</v>
      </c>
      <c r="D1231" s="7">
        <v>175450.85300000018</v>
      </c>
      <c r="E1231" s="7">
        <v>198318.40000000005</v>
      </c>
      <c r="F1231" s="7">
        <f t="shared" si="1"/>
        <v>521976.758</v>
      </c>
      <c r="G1231" s="14">
        <f t="shared" si="2"/>
        <v>0.008310145194</v>
      </c>
      <c r="I1231" s="12"/>
      <c r="J1231" s="12"/>
      <c r="K1231" s="12"/>
      <c r="L1231" s="12"/>
      <c r="M1231" s="12">
        <v>44874.0</v>
      </c>
      <c r="N1231" s="2">
        <v>374.13</v>
      </c>
      <c r="O1231" s="3">
        <v>44815.0</v>
      </c>
      <c r="P1231" s="4" t="str">
        <f t="array" ref="P1231">XLOOKUP(O1231,Agregado!$B$2:$B$1511,Agregado!$G$2:$G$1511)</f>
        <v>#N/A</v>
      </c>
    </row>
    <row r="1232" ht="15.75" customHeight="1">
      <c r="B1232" s="13" t="s">
        <v>2151</v>
      </c>
      <c r="C1232" s="7">
        <v>146573.8980000002</v>
      </c>
      <c r="D1232" s="7">
        <v>175550.89100000018</v>
      </c>
      <c r="E1232" s="7">
        <v>198797.04200000004</v>
      </c>
      <c r="F1232" s="7">
        <f t="shared" si="1"/>
        <v>520921.831</v>
      </c>
      <c r="G1232" s="14">
        <f t="shared" si="2"/>
        <v>-0.002023067959</v>
      </c>
      <c r="I1232" s="12"/>
      <c r="J1232" s="12"/>
      <c r="K1232" s="12"/>
      <c r="L1232" s="12"/>
      <c r="M1232" s="12">
        <v>44875.0</v>
      </c>
      <c r="N1232" s="2">
        <v>394.69</v>
      </c>
      <c r="O1232" s="3">
        <v>44845.0</v>
      </c>
      <c r="P1232" s="4" t="str">
        <f t="array" ref="P1232">XLOOKUP(O1232,Agregado!$B$2:$B$1511,Agregado!$G$2:$G$1511)</f>
        <v>#N/A</v>
      </c>
    </row>
    <row r="1233" ht="15.75" customHeight="1">
      <c r="B1233" s="13" t="s">
        <v>2152</v>
      </c>
      <c r="C1233" s="7">
        <v>144202.38000000018</v>
      </c>
      <c r="D1233" s="7">
        <v>175669.9740000002</v>
      </c>
      <c r="E1233" s="7">
        <v>198912.39600000004</v>
      </c>
      <c r="F1233" s="7">
        <f t="shared" si="1"/>
        <v>518784.75</v>
      </c>
      <c r="G1233" s="14">
        <f t="shared" si="2"/>
        <v>-0.004110936775</v>
      </c>
      <c r="I1233" s="12"/>
      <c r="J1233" s="12"/>
      <c r="K1233" s="12"/>
      <c r="L1233" s="12"/>
      <c r="M1233" s="12">
        <v>44876.0</v>
      </c>
      <c r="N1233" s="2">
        <v>398.51</v>
      </c>
      <c r="O1233" s="3">
        <v>44876.0</v>
      </c>
      <c r="P1233" s="4" t="str">
        <f t="array" ref="P1233">XLOOKUP(O1233,Agregado!$B$2:$B$1511,Agregado!$G$2:$G$1511)</f>
        <v>#N/A</v>
      </c>
    </row>
    <row r="1234" ht="15.75" customHeight="1">
      <c r="B1234" s="13" t="s">
        <v>2153</v>
      </c>
      <c r="C1234" s="7">
        <v>145167.97000000018</v>
      </c>
      <c r="D1234" s="7">
        <v>175590.8140000002</v>
      </c>
      <c r="E1234" s="7">
        <v>198980.59300000002</v>
      </c>
      <c r="F1234" s="7">
        <f t="shared" si="1"/>
        <v>519739.377</v>
      </c>
      <c r="G1234" s="14">
        <f t="shared" si="2"/>
        <v>0.001838430604</v>
      </c>
      <c r="I1234" s="12"/>
      <c r="J1234" s="12"/>
      <c r="K1234" s="12"/>
      <c r="L1234" s="12"/>
      <c r="M1234" s="12">
        <v>44879.0</v>
      </c>
      <c r="N1234" s="2">
        <v>395.12</v>
      </c>
      <c r="O1234" s="3" t="s">
        <v>738</v>
      </c>
      <c r="P1234" s="4" t="str">
        <f t="array" ref="P1234">XLOOKUP(O1234,Agregado!$B$2:$B$1511,Agregado!$G$2:$G$1511)</f>
        <v>#N/A</v>
      </c>
    </row>
    <row r="1235" ht="15.75" customHeight="1">
      <c r="B1235" s="13" t="s">
        <v>2154</v>
      </c>
      <c r="C1235" s="7">
        <v>146771.74800000017</v>
      </c>
      <c r="D1235" s="7">
        <v>175590.8140000002</v>
      </c>
      <c r="E1235" s="7">
        <v>199037.472</v>
      </c>
      <c r="F1235" s="7">
        <f t="shared" si="1"/>
        <v>521400.034</v>
      </c>
      <c r="G1235" s="14">
        <f t="shared" si="2"/>
        <v>0.003190078852</v>
      </c>
      <c r="I1235" s="12"/>
      <c r="J1235" s="12"/>
      <c r="K1235" s="12"/>
      <c r="L1235" s="12"/>
      <c r="M1235" s="12">
        <v>44880.0</v>
      </c>
      <c r="N1235" s="2">
        <v>398.49</v>
      </c>
      <c r="O1235" s="3" t="s">
        <v>739</v>
      </c>
      <c r="P1235" s="4" t="str">
        <f t="array" ref="P1235">XLOOKUP(O1235,Agregado!$B$2:$B$1511,Agregado!$G$2:$G$1511)</f>
        <v>#N/A</v>
      </c>
    </row>
    <row r="1236" ht="15.75" customHeight="1">
      <c r="B1236" s="13" t="s">
        <v>2155</v>
      </c>
      <c r="C1236" s="7">
        <v>147698.84200000018</v>
      </c>
      <c r="D1236" s="7">
        <v>175709.6720000002</v>
      </c>
      <c r="E1236" s="7">
        <v>199383.30800000002</v>
      </c>
      <c r="F1236" s="7">
        <f t="shared" si="1"/>
        <v>522791.822</v>
      </c>
      <c r="G1236" s="14">
        <f t="shared" si="2"/>
        <v>0.002665772226</v>
      </c>
      <c r="I1236" s="12"/>
      <c r="J1236" s="12"/>
      <c r="K1236" s="12"/>
      <c r="L1236" s="12"/>
      <c r="M1236" s="12">
        <v>44881.0</v>
      </c>
      <c r="N1236" s="2">
        <v>395.45</v>
      </c>
      <c r="O1236" s="3" t="s">
        <v>740</v>
      </c>
      <c r="P1236" s="4" t="str">
        <f t="array" ref="P1236">XLOOKUP(O1236,Agregado!$B$2:$B$1511,Agregado!$G$2:$G$1511)</f>
        <v>#N/A</v>
      </c>
    </row>
    <row r="1237" ht="15.75" customHeight="1">
      <c r="B1237" s="13" t="s">
        <v>2156</v>
      </c>
      <c r="C1237" s="7">
        <v>145199.79800000018</v>
      </c>
      <c r="D1237" s="7">
        <v>175589.1970000002</v>
      </c>
      <c r="E1237" s="7">
        <v>194804.01</v>
      </c>
      <c r="F1237" s="7">
        <f t="shared" si="1"/>
        <v>515593.005</v>
      </c>
      <c r="G1237" s="14">
        <f t="shared" si="2"/>
        <v>-0.01386563468</v>
      </c>
      <c r="I1237" s="12"/>
      <c r="J1237" s="12"/>
      <c r="K1237" s="12"/>
      <c r="L1237" s="12"/>
      <c r="M1237" s="12">
        <v>44882.0</v>
      </c>
      <c r="N1237" s="2">
        <v>394.24</v>
      </c>
      <c r="O1237" s="3" t="s">
        <v>741</v>
      </c>
      <c r="P1237" s="4" t="str">
        <f t="array" ref="P1237">XLOOKUP(O1237,Agregado!$B$2:$B$1511,Agregado!$G$2:$G$1511)</f>
        <v>#N/A</v>
      </c>
    </row>
    <row r="1238" ht="15.75" customHeight="1">
      <c r="B1238" s="13" t="s">
        <v>2157</v>
      </c>
      <c r="C1238" s="7">
        <v>145883.57000000018</v>
      </c>
      <c r="D1238" s="7">
        <v>175710.39100000018</v>
      </c>
      <c r="E1238" s="7">
        <v>194885.526</v>
      </c>
      <c r="F1238" s="7">
        <f t="shared" si="1"/>
        <v>516479.487</v>
      </c>
      <c r="G1238" s="14">
        <f t="shared" si="2"/>
        <v>0.001717868124</v>
      </c>
      <c r="I1238" s="12"/>
      <c r="J1238" s="12"/>
      <c r="K1238" s="12"/>
      <c r="L1238" s="12"/>
      <c r="M1238" s="12">
        <v>44883.0</v>
      </c>
      <c r="N1238" s="2">
        <v>396.03</v>
      </c>
      <c r="O1238" s="3" t="s">
        <v>742</v>
      </c>
      <c r="P1238" s="4" t="str">
        <f t="array" ref="P1238">XLOOKUP(O1238,Agregado!$B$2:$B$1511,Agregado!$G$2:$G$1511)</f>
        <v>#N/A</v>
      </c>
    </row>
    <row r="1239" ht="15.75" customHeight="1">
      <c r="B1239" s="13" t="s">
        <v>2158</v>
      </c>
      <c r="C1239" s="7">
        <v>146768.2190000002</v>
      </c>
      <c r="D1239" s="7">
        <v>175871.94100000017</v>
      </c>
      <c r="E1239" s="7">
        <v>194962.32100000003</v>
      </c>
      <c r="F1239" s="7">
        <f t="shared" si="1"/>
        <v>517602.481</v>
      </c>
      <c r="G1239" s="14">
        <f t="shared" si="2"/>
        <v>0.002171964073</v>
      </c>
      <c r="I1239" s="12"/>
      <c r="J1239" s="12"/>
      <c r="K1239" s="12"/>
      <c r="L1239" s="12"/>
      <c r="M1239" s="12">
        <v>44886.0</v>
      </c>
      <c r="N1239" s="2">
        <v>394.59</v>
      </c>
      <c r="O1239" s="3" t="s">
        <v>743</v>
      </c>
      <c r="P1239" s="4" t="str">
        <f t="array" ref="P1239">XLOOKUP(O1239,Agregado!$B$2:$B$1511,Agregado!$G$2:$G$1511)</f>
        <v>#N/A</v>
      </c>
    </row>
    <row r="1240" ht="15.75" customHeight="1">
      <c r="B1240" s="13" t="s">
        <v>2159</v>
      </c>
      <c r="C1240" s="7">
        <v>145283.4490000002</v>
      </c>
      <c r="D1240" s="7">
        <v>175991.23300000015</v>
      </c>
      <c r="E1240" s="7">
        <v>195236.74800000002</v>
      </c>
      <c r="F1240" s="7">
        <f t="shared" si="1"/>
        <v>516511.43</v>
      </c>
      <c r="G1240" s="14">
        <f t="shared" si="2"/>
        <v>-0.002110118418</v>
      </c>
      <c r="I1240" s="12"/>
      <c r="J1240" s="12"/>
      <c r="K1240" s="12"/>
      <c r="L1240" s="12"/>
      <c r="M1240" s="12">
        <v>44887.0</v>
      </c>
      <c r="N1240" s="2">
        <v>399.9</v>
      </c>
      <c r="O1240" s="3" t="s">
        <v>744</v>
      </c>
      <c r="P1240" s="4" t="str">
        <f t="array" ref="P1240">XLOOKUP(O1240,Agregado!$B$2:$B$1511,Agregado!$G$2:$G$1511)</f>
        <v>#N/A</v>
      </c>
    </row>
    <row r="1241" ht="15.75" customHeight="1">
      <c r="B1241" s="13" t="s">
        <v>2160</v>
      </c>
      <c r="C1241" s="7">
        <v>144552.0640000002</v>
      </c>
      <c r="D1241" s="7">
        <v>176427.97800000015</v>
      </c>
      <c r="E1241" s="7">
        <v>195317.28100000002</v>
      </c>
      <c r="F1241" s="7">
        <f t="shared" si="1"/>
        <v>516297.323</v>
      </c>
      <c r="G1241" s="14">
        <f t="shared" si="2"/>
        <v>-0.0004146111319</v>
      </c>
      <c r="I1241" s="12"/>
      <c r="J1241" s="12"/>
      <c r="K1241" s="12"/>
      <c r="L1241" s="12"/>
      <c r="M1241" s="12">
        <v>44888.0</v>
      </c>
      <c r="N1241" s="2">
        <v>402.42</v>
      </c>
      <c r="O1241" s="3" t="s">
        <v>745</v>
      </c>
      <c r="P1241" s="4" t="str">
        <f t="array" ref="P1241">XLOOKUP(O1241,Agregado!$B$2:$B$1511,Agregado!$G$2:$G$1511)</f>
        <v>#N/A</v>
      </c>
    </row>
    <row r="1242" ht="15.75" customHeight="1">
      <c r="B1242" s="13" t="s">
        <v>2161</v>
      </c>
      <c r="C1242" s="7">
        <v>138743.23600000018</v>
      </c>
      <c r="D1242" s="7">
        <v>176550.80800000014</v>
      </c>
      <c r="E1242" s="7">
        <v>195284.997</v>
      </c>
      <c r="F1242" s="7">
        <f t="shared" si="1"/>
        <v>510579.041</v>
      </c>
      <c r="G1242" s="14">
        <f t="shared" si="2"/>
        <v>-0.01113735072</v>
      </c>
      <c r="I1242" s="12"/>
      <c r="J1242" s="12"/>
      <c r="K1242" s="12"/>
      <c r="L1242" s="12"/>
      <c r="M1242" s="12">
        <v>44890.0</v>
      </c>
      <c r="N1242" s="2">
        <v>402.33</v>
      </c>
      <c r="O1242" s="3" t="s">
        <v>746</v>
      </c>
      <c r="P1242" s="4" t="str">
        <f t="array" ref="P1242">XLOOKUP(O1242,Agregado!$B$2:$B$1511,Agregado!$G$2:$G$1511)</f>
        <v>#N/A</v>
      </c>
    </row>
    <row r="1243" ht="15.75" customHeight="1">
      <c r="B1243" s="13" t="s">
        <v>2162</v>
      </c>
      <c r="C1243" s="7">
        <v>140352.26900000017</v>
      </c>
      <c r="D1243" s="7">
        <v>177184.99300000013</v>
      </c>
      <c r="E1243" s="7">
        <v>195551.583</v>
      </c>
      <c r="F1243" s="7">
        <f t="shared" si="1"/>
        <v>513088.845</v>
      </c>
      <c r="G1243" s="14">
        <f t="shared" si="2"/>
        <v>0.004903561132</v>
      </c>
      <c r="I1243" s="12"/>
      <c r="J1243" s="12"/>
      <c r="K1243" s="12"/>
      <c r="L1243" s="12"/>
      <c r="M1243" s="12">
        <v>44893.0</v>
      </c>
      <c r="N1243" s="2">
        <v>395.91</v>
      </c>
      <c r="O1243" s="3" t="s">
        <v>747</v>
      </c>
      <c r="P1243" s="4" t="str">
        <f t="array" ref="P1243">XLOOKUP(O1243,Agregado!$B$2:$B$1511,Agregado!$G$2:$G$1511)</f>
        <v>#N/A</v>
      </c>
    </row>
    <row r="1244" ht="15.75" customHeight="1">
      <c r="B1244" s="13" t="s">
        <v>2163</v>
      </c>
      <c r="C1244" s="7">
        <v>138358.48300000018</v>
      </c>
      <c r="D1244" s="7">
        <v>177491.51300000012</v>
      </c>
      <c r="E1244" s="7">
        <v>195815.89700000003</v>
      </c>
      <c r="F1244" s="7">
        <f t="shared" si="1"/>
        <v>511665.893</v>
      </c>
      <c r="G1244" s="14">
        <f t="shared" si="2"/>
        <v>-0.00277715801</v>
      </c>
      <c r="I1244" s="12"/>
      <c r="J1244" s="12"/>
      <c r="K1244" s="12"/>
      <c r="L1244" s="12"/>
      <c r="M1244" s="12">
        <v>44894.0</v>
      </c>
      <c r="N1244" s="2">
        <v>395.23</v>
      </c>
      <c r="O1244" s="3" t="s">
        <v>748</v>
      </c>
      <c r="P1244" s="4" t="str">
        <f t="array" ref="P1244">XLOOKUP(O1244,Agregado!$B$2:$B$1511,Agregado!$G$2:$G$1511)</f>
        <v>#N/A</v>
      </c>
    </row>
    <row r="1245" ht="15.75" customHeight="1">
      <c r="B1245" s="13" t="s">
        <v>2164</v>
      </c>
      <c r="C1245" s="7">
        <v>137719.04100000017</v>
      </c>
      <c r="D1245" s="7">
        <v>177551.72100000014</v>
      </c>
      <c r="E1245" s="7">
        <v>196031.507</v>
      </c>
      <c r="F1245" s="7">
        <f t="shared" si="1"/>
        <v>511302.269</v>
      </c>
      <c r="G1245" s="14">
        <f t="shared" si="2"/>
        <v>-0.000710919516</v>
      </c>
      <c r="I1245" s="12"/>
      <c r="J1245" s="12"/>
      <c r="K1245" s="12"/>
      <c r="L1245" s="12"/>
      <c r="M1245" s="12">
        <v>44895.0</v>
      </c>
      <c r="N1245" s="2">
        <v>407.68</v>
      </c>
      <c r="O1245" s="3" t="s">
        <v>749</v>
      </c>
      <c r="P1245" s="4" t="str">
        <f t="array" ref="P1245">XLOOKUP(O1245,Agregado!$B$2:$B$1511,Agregado!$G$2:$G$1511)</f>
        <v>#N/A</v>
      </c>
    </row>
    <row r="1246" ht="15.75" customHeight="1">
      <c r="B1246" s="13" t="s">
        <v>2165</v>
      </c>
      <c r="C1246" s="7">
        <v>137443.2870000002</v>
      </c>
      <c r="D1246" s="7">
        <v>177749.53100000013</v>
      </c>
      <c r="E1246" s="7">
        <v>196040.04</v>
      </c>
      <c r="F1246" s="7">
        <f t="shared" si="1"/>
        <v>511232.858</v>
      </c>
      <c r="G1246" s="14">
        <f t="shared" si="2"/>
        <v>-0.0001357625734</v>
      </c>
      <c r="I1246" s="12"/>
      <c r="J1246" s="12"/>
      <c r="K1246" s="12"/>
      <c r="L1246" s="12"/>
      <c r="M1246" s="12">
        <v>44896.0</v>
      </c>
      <c r="N1246" s="2">
        <v>407.38</v>
      </c>
      <c r="O1246" s="3">
        <v>44573.0</v>
      </c>
      <c r="P1246" s="4" t="str">
        <f t="array" ref="P1246">XLOOKUP(O1246,Agregado!$B$2:$B$1511,Agregado!$G$2:$G$1511)</f>
        <v>#N/A</v>
      </c>
    </row>
    <row r="1247" ht="15.75" customHeight="1">
      <c r="B1247" s="13" t="s">
        <v>2166</v>
      </c>
      <c r="C1247" s="7">
        <v>139311.04900000017</v>
      </c>
      <c r="D1247" s="7">
        <v>177413.87300000014</v>
      </c>
      <c r="E1247" s="7">
        <v>196006.423</v>
      </c>
      <c r="F1247" s="7">
        <f t="shared" si="1"/>
        <v>512731.345</v>
      </c>
      <c r="G1247" s="14">
        <f t="shared" si="2"/>
        <v>0.002926836828</v>
      </c>
      <c r="I1247" s="12"/>
      <c r="J1247" s="12"/>
      <c r="K1247" s="12"/>
      <c r="L1247" s="12"/>
      <c r="M1247" s="12">
        <v>44897.0</v>
      </c>
      <c r="N1247" s="2">
        <v>406.91</v>
      </c>
      <c r="O1247" s="3">
        <v>44604.0</v>
      </c>
      <c r="P1247" s="4" t="str">
        <f t="array" ref="P1247">XLOOKUP(O1247,Agregado!$B$2:$B$1511,Agregado!$G$2:$G$1511)</f>
        <v>#N/A</v>
      </c>
    </row>
    <row r="1248" ht="15.75" customHeight="1">
      <c r="B1248" s="13" t="s">
        <v>2167</v>
      </c>
      <c r="C1248" s="7">
        <v>141549.65000000017</v>
      </c>
      <c r="D1248" s="7">
        <v>177055.74600000013</v>
      </c>
      <c r="E1248" s="7">
        <v>196181.437</v>
      </c>
      <c r="F1248" s="7">
        <f t="shared" si="1"/>
        <v>514786.833</v>
      </c>
      <c r="G1248" s="14">
        <f t="shared" si="2"/>
        <v>0.004000884434</v>
      </c>
      <c r="I1248" s="12"/>
      <c r="J1248" s="12"/>
      <c r="K1248" s="12"/>
      <c r="L1248" s="12"/>
      <c r="M1248" s="12">
        <v>44900.0</v>
      </c>
      <c r="N1248" s="2">
        <v>399.59</v>
      </c>
      <c r="O1248" s="3">
        <v>44693.0</v>
      </c>
      <c r="P1248" s="4" t="str">
        <f t="array" ref="P1248">XLOOKUP(O1248,Agregado!$B$2:$B$1511,Agregado!$G$2:$G$1511)</f>
        <v>#N/A</v>
      </c>
    </row>
    <row r="1249" ht="15.75" customHeight="1">
      <c r="B1249" s="13" t="s">
        <v>2168</v>
      </c>
      <c r="C1249" s="7">
        <v>144617.60100000017</v>
      </c>
      <c r="D1249" s="7">
        <v>176858.24100000013</v>
      </c>
      <c r="E1249" s="7">
        <v>195890.252</v>
      </c>
      <c r="F1249" s="7">
        <f t="shared" si="1"/>
        <v>517366.094</v>
      </c>
      <c r="G1249" s="14">
        <f t="shared" si="2"/>
        <v>0.004997837629</v>
      </c>
      <c r="I1249" s="12"/>
      <c r="J1249" s="12"/>
      <c r="K1249" s="12"/>
      <c r="L1249" s="12"/>
      <c r="M1249" s="12">
        <v>44901.0</v>
      </c>
      <c r="N1249" s="2">
        <v>393.83</v>
      </c>
      <c r="O1249" s="3">
        <v>44724.0</v>
      </c>
      <c r="P1249" s="4" t="str">
        <f t="array" ref="P1249">XLOOKUP(O1249,Agregado!$B$2:$B$1511,Agregado!$G$2:$G$1511)</f>
        <v>#N/A</v>
      </c>
    </row>
    <row r="1250" ht="15.75" customHeight="1">
      <c r="B1250" s="13" t="s">
        <v>2169</v>
      </c>
      <c r="C1250" s="7">
        <v>147888.72700000016</v>
      </c>
      <c r="D1250" s="7">
        <v>176497.65400000013</v>
      </c>
      <c r="E1250" s="7">
        <v>195988.318</v>
      </c>
      <c r="F1250" s="7">
        <f t="shared" si="1"/>
        <v>520374.699</v>
      </c>
      <c r="G1250" s="14">
        <f t="shared" si="2"/>
        <v>0.005798390985</v>
      </c>
      <c r="I1250" s="12"/>
      <c r="J1250" s="12"/>
      <c r="K1250" s="12"/>
      <c r="L1250" s="12"/>
      <c r="M1250" s="12">
        <v>44902.0</v>
      </c>
      <c r="N1250" s="2">
        <v>393.16</v>
      </c>
      <c r="O1250" s="3">
        <v>44754.0</v>
      </c>
      <c r="P1250" s="4" t="str">
        <f t="array" ref="P1250">XLOOKUP(O1250,Agregado!$B$2:$B$1511,Agregado!$G$2:$G$1511)</f>
        <v>#N/A</v>
      </c>
    </row>
    <row r="1251" ht="15.75" customHeight="1">
      <c r="B1251" s="13" t="s">
        <v>2170</v>
      </c>
      <c r="C1251" s="7">
        <v>149254.94000000015</v>
      </c>
      <c r="D1251" s="7">
        <v>179752.7640000001</v>
      </c>
      <c r="E1251" s="7">
        <v>195761.143</v>
      </c>
      <c r="F1251" s="7">
        <f t="shared" si="1"/>
        <v>524768.847</v>
      </c>
      <c r="G1251" s="14">
        <f t="shared" si="2"/>
        <v>0.00840874712</v>
      </c>
      <c r="I1251" s="12"/>
      <c r="J1251" s="12"/>
      <c r="K1251" s="12"/>
      <c r="L1251" s="12"/>
      <c r="M1251" s="12">
        <v>44903.0</v>
      </c>
      <c r="N1251" s="2">
        <v>396.24</v>
      </c>
      <c r="O1251" s="3">
        <v>44785.0</v>
      </c>
      <c r="P1251" s="4" t="str">
        <f t="array" ref="P1251">XLOOKUP(O1251,Agregado!$B$2:$B$1511,Agregado!$G$2:$G$1511)</f>
        <v>#N/A</v>
      </c>
    </row>
    <row r="1252" ht="15.75" customHeight="1">
      <c r="B1252" s="13" t="s">
        <v>2171</v>
      </c>
      <c r="C1252" s="7">
        <v>148975.30300000016</v>
      </c>
      <c r="D1252" s="7">
        <v>174659.02100000012</v>
      </c>
      <c r="E1252" s="7">
        <v>196030.95700000002</v>
      </c>
      <c r="F1252" s="7">
        <f t="shared" si="1"/>
        <v>519665.281</v>
      </c>
      <c r="G1252" s="14">
        <f t="shared" si="2"/>
        <v>-0.009772960273</v>
      </c>
      <c r="I1252" s="12"/>
      <c r="J1252" s="12"/>
      <c r="K1252" s="12"/>
      <c r="L1252" s="12"/>
      <c r="M1252" s="12">
        <v>44904.0</v>
      </c>
      <c r="N1252" s="2">
        <v>393.28</v>
      </c>
      <c r="O1252" s="3">
        <v>44816.0</v>
      </c>
      <c r="P1252" s="4" t="str">
        <f t="array" ref="P1252">XLOOKUP(O1252,Agregado!$B$2:$B$1511,Agregado!$G$2:$G$1511)</f>
        <v>#N/A</v>
      </c>
    </row>
    <row r="1253" ht="15.75" customHeight="1">
      <c r="B1253" s="13" t="s">
        <v>2172</v>
      </c>
      <c r="C1253" s="7">
        <v>143442.97500000015</v>
      </c>
      <c r="D1253" s="7">
        <v>175438.17800000013</v>
      </c>
      <c r="E1253" s="7">
        <v>196394.89800000002</v>
      </c>
      <c r="F1253" s="7">
        <f t="shared" si="1"/>
        <v>515276.051</v>
      </c>
      <c r="G1253" s="14">
        <f t="shared" si="2"/>
        <v>-0.008482135518</v>
      </c>
      <c r="I1253" s="12"/>
      <c r="J1253" s="12"/>
      <c r="K1253" s="12"/>
      <c r="L1253" s="12"/>
      <c r="M1253" s="12">
        <v>44907.0</v>
      </c>
      <c r="N1253" s="2">
        <v>398.95</v>
      </c>
      <c r="O1253" s="3">
        <v>44907.0</v>
      </c>
      <c r="P1253" s="4" t="str">
        <f t="array" ref="P1253">XLOOKUP(O1253,Agregado!$B$2:$B$1511,Agregado!$G$2:$G$1511)</f>
        <v>#N/A</v>
      </c>
    </row>
    <row r="1254" ht="15.75" customHeight="1">
      <c r="B1254" s="13" t="s">
        <v>2173</v>
      </c>
      <c r="C1254" s="7">
        <v>142004.74100000015</v>
      </c>
      <c r="D1254" s="7">
        <v>175592.28500000012</v>
      </c>
      <c r="E1254" s="7">
        <v>195999.486</v>
      </c>
      <c r="F1254" s="7">
        <f t="shared" si="1"/>
        <v>513596.512</v>
      </c>
      <c r="G1254" s="14">
        <f t="shared" si="2"/>
        <v>-0.003264817339</v>
      </c>
      <c r="I1254" s="12"/>
      <c r="J1254" s="12"/>
      <c r="K1254" s="12"/>
      <c r="L1254" s="12"/>
      <c r="M1254" s="12">
        <v>44908.0</v>
      </c>
      <c r="N1254" s="2">
        <v>401.97</v>
      </c>
      <c r="O1254" s="3" t="s">
        <v>750</v>
      </c>
      <c r="P1254" s="4" t="str">
        <f t="array" ref="P1254">XLOOKUP(O1254,Agregado!$B$2:$B$1511,Agregado!$G$2:$G$1511)</f>
        <v>#N/A</v>
      </c>
    </row>
    <row r="1255" ht="15.75" customHeight="1">
      <c r="B1255" s="13" t="s">
        <v>2174</v>
      </c>
      <c r="C1255" s="7">
        <v>141472.60600000015</v>
      </c>
      <c r="D1255" s="7">
        <v>175458.6470000001</v>
      </c>
      <c r="E1255" s="7">
        <v>196315.41700000002</v>
      </c>
      <c r="F1255" s="7">
        <f t="shared" si="1"/>
        <v>513246.67</v>
      </c>
      <c r="G1255" s="14">
        <f t="shared" si="2"/>
        <v>-0.0006813932637</v>
      </c>
      <c r="I1255" s="12"/>
      <c r="J1255" s="12"/>
      <c r="K1255" s="12"/>
      <c r="L1255" s="12"/>
      <c r="M1255" s="12">
        <v>44909.0</v>
      </c>
      <c r="N1255" s="2">
        <v>399.4</v>
      </c>
      <c r="O1255" s="3" t="s">
        <v>751</v>
      </c>
      <c r="P1255" s="4" t="str">
        <f t="array" ref="P1255">XLOOKUP(O1255,Agregado!$B$2:$B$1511,Agregado!$G$2:$G$1511)</f>
        <v>#N/A</v>
      </c>
    </row>
    <row r="1256" ht="15.75" customHeight="1">
      <c r="B1256" s="13" t="s">
        <v>2175</v>
      </c>
      <c r="C1256" s="7">
        <v>142842.41800000015</v>
      </c>
      <c r="D1256" s="7">
        <v>175477.7590000001</v>
      </c>
      <c r="E1256" s="7">
        <v>196332.89800000002</v>
      </c>
      <c r="F1256" s="7">
        <f t="shared" si="1"/>
        <v>514653.075</v>
      </c>
      <c r="G1256" s="14">
        <f t="shared" si="2"/>
        <v>0.002736465077</v>
      </c>
      <c r="I1256" s="12"/>
      <c r="J1256" s="12"/>
      <c r="K1256" s="12"/>
      <c r="L1256" s="12"/>
      <c r="M1256" s="12">
        <v>44910.0</v>
      </c>
      <c r="N1256" s="2">
        <v>389.63</v>
      </c>
      <c r="O1256" s="3" t="s">
        <v>752</v>
      </c>
      <c r="P1256" s="4" t="str">
        <f t="array" ref="P1256">XLOOKUP(O1256,Agregado!$B$2:$B$1511,Agregado!$G$2:$G$1511)</f>
        <v>#N/A</v>
      </c>
    </row>
    <row r="1257" ht="15.75" customHeight="1">
      <c r="B1257" s="13" t="s">
        <v>2176</v>
      </c>
      <c r="C1257" s="7">
        <v>144387.27600000016</v>
      </c>
      <c r="D1257" s="7">
        <v>173421.5170000001</v>
      </c>
      <c r="E1257" s="7">
        <v>196057.88100000002</v>
      </c>
      <c r="F1257" s="7">
        <f t="shared" si="1"/>
        <v>513866.674</v>
      </c>
      <c r="G1257" s="14">
        <f t="shared" si="2"/>
        <v>-0.001529190186</v>
      </c>
      <c r="I1257" s="12"/>
      <c r="J1257" s="12"/>
      <c r="K1257" s="12"/>
      <c r="L1257" s="12"/>
      <c r="M1257" s="12">
        <v>44911.0</v>
      </c>
      <c r="N1257" s="2">
        <v>383.27</v>
      </c>
      <c r="O1257" s="3" t="s">
        <v>753</v>
      </c>
      <c r="P1257" s="4" t="str">
        <f t="array" ref="P1257">XLOOKUP(O1257,Agregado!$B$2:$B$1511,Agregado!$G$2:$G$1511)</f>
        <v>#N/A</v>
      </c>
    </row>
    <row r="1258" ht="15.75" customHeight="1">
      <c r="B1258" s="13" t="s">
        <v>2177</v>
      </c>
      <c r="C1258" s="7">
        <v>143816.32900000017</v>
      </c>
      <c r="D1258" s="7">
        <v>173650.9350000001</v>
      </c>
      <c r="E1258" s="7">
        <v>196618.56600000002</v>
      </c>
      <c r="F1258" s="7">
        <f t="shared" si="1"/>
        <v>514085.83</v>
      </c>
      <c r="G1258" s="14">
        <f t="shared" si="2"/>
        <v>0.0004263932477</v>
      </c>
      <c r="I1258" s="12"/>
      <c r="J1258" s="12"/>
      <c r="K1258" s="12"/>
      <c r="L1258" s="12"/>
      <c r="M1258" s="12">
        <v>44914.0</v>
      </c>
      <c r="N1258" s="2">
        <v>380.02</v>
      </c>
      <c r="O1258" s="3" t="s">
        <v>754</v>
      </c>
      <c r="P1258" s="4" t="str">
        <f t="array" ref="P1258">XLOOKUP(O1258,Agregado!$B$2:$B$1511,Agregado!$G$2:$G$1511)</f>
        <v>#N/A</v>
      </c>
    </row>
    <row r="1259" ht="15.75" customHeight="1">
      <c r="B1259" s="13" t="s">
        <v>2178</v>
      </c>
      <c r="C1259" s="7">
        <v>144333.20600000018</v>
      </c>
      <c r="D1259" s="7">
        <v>173727.85800000012</v>
      </c>
      <c r="E1259" s="7">
        <v>196616.34000000003</v>
      </c>
      <c r="F1259" s="7">
        <f t="shared" si="1"/>
        <v>514677.404</v>
      </c>
      <c r="G1259" s="14">
        <f t="shared" si="2"/>
        <v>0.001150068443</v>
      </c>
      <c r="I1259" s="12"/>
      <c r="J1259" s="12"/>
      <c r="K1259" s="12"/>
      <c r="L1259" s="12"/>
      <c r="M1259" s="12">
        <v>44915.0</v>
      </c>
      <c r="N1259" s="2">
        <v>380.54</v>
      </c>
      <c r="O1259" s="3" t="s">
        <v>755</v>
      </c>
      <c r="P1259" s="4" t="str">
        <f t="array" ref="P1259">XLOOKUP(O1259,Agregado!$B$2:$B$1511,Agregado!$G$2:$G$1511)</f>
        <v>#N/A</v>
      </c>
    </row>
    <row r="1260" ht="15.75" customHeight="1">
      <c r="B1260" s="13" t="s">
        <v>2179</v>
      </c>
      <c r="C1260" s="7">
        <v>143570.5040000002</v>
      </c>
      <c r="D1260" s="7">
        <v>173574.62200000012</v>
      </c>
      <c r="E1260" s="7">
        <v>196567.00000000003</v>
      </c>
      <c r="F1260" s="7">
        <f t="shared" si="1"/>
        <v>513712.126</v>
      </c>
      <c r="G1260" s="14">
        <f t="shared" si="2"/>
        <v>-0.001877261982</v>
      </c>
      <c r="I1260" s="12"/>
      <c r="J1260" s="12"/>
      <c r="K1260" s="12"/>
      <c r="L1260" s="12"/>
      <c r="M1260" s="12">
        <v>44916.0</v>
      </c>
      <c r="N1260" s="2">
        <v>386.23</v>
      </c>
      <c r="O1260" s="3" t="s">
        <v>756</v>
      </c>
      <c r="P1260" s="4" t="str">
        <f t="array" ref="P1260">XLOOKUP(O1260,Agregado!$B$2:$B$1511,Agregado!$G$2:$G$1511)</f>
        <v>#N/A</v>
      </c>
    </row>
    <row r="1261" ht="15.75" customHeight="1">
      <c r="B1261" s="13" t="s">
        <v>2180</v>
      </c>
      <c r="C1261" s="7">
        <v>141083.82000000018</v>
      </c>
      <c r="D1261" s="7">
        <v>173442.15200000012</v>
      </c>
      <c r="E1261" s="7">
        <v>196258.86300000004</v>
      </c>
      <c r="F1261" s="7">
        <f t="shared" si="1"/>
        <v>510784.835</v>
      </c>
      <c r="G1261" s="14">
        <f t="shared" si="2"/>
        <v>-0.005714607418</v>
      </c>
      <c r="I1261" s="12"/>
      <c r="J1261" s="12"/>
      <c r="K1261" s="12"/>
      <c r="L1261" s="12"/>
      <c r="M1261" s="12">
        <v>44917.0</v>
      </c>
      <c r="N1261" s="2">
        <v>380.72</v>
      </c>
      <c r="O1261" s="3" t="s">
        <v>757</v>
      </c>
      <c r="P1261" s="4" t="str">
        <f t="array" ref="P1261">XLOOKUP(O1261,Agregado!$B$2:$B$1511,Agregado!$G$2:$G$1511)</f>
        <v>#N/A</v>
      </c>
    </row>
    <row r="1262" ht="15.75" customHeight="1">
      <c r="B1262" s="13" t="s">
        <v>2181</v>
      </c>
      <c r="C1262" s="7">
        <v>139037.75000000017</v>
      </c>
      <c r="D1262" s="7">
        <v>173384.52400000012</v>
      </c>
      <c r="E1262" s="7">
        <v>196198.89200000005</v>
      </c>
      <c r="F1262" s="7">
        <f t="shared" si="1"/>
        <v>508621.166</v>
      </c>
      <c r="G1262" s="14">
        <f t="shared" si="2"/>
        <v>-0.004244966671</v>
      </c>
      <c r="I1262" s="12"/>
      <c r="J1262" s="12"/>
      <c r="K1262" s="12"/>
      <c r="L1262" s="12"/>
      <c r="M1262" s="12">
        <v>44918.0</v>
      </c>
      <c r="N1262" s="2">
        <v>382.91</v>
      </c>
      <c r="O1262" s="3" t="s">
        <v>758</v>
      </c>
      <c r="P1262" s="4" t="str">
        <f t="array" ref="P1262">XLOOKUP(O1262,Agregado!$B$2:$B$1511,Agregado!$G$2:$G$1511)</f>
        <v>#N/A</v>
      </c>
    </row>
    <row r="1263" ht="15.75" customHeight="1">
      <c r="B1263" s="13" t="s">
        <v>2182</v>
      </c>
      <c r="C1263" s="7">
        <v>140828.0940000002</v>
      </c>
      <c r="D1263" s="7">
        <v>173154.92500000013</v>
      </c>
      <c r="E1263" s="7">
        <v>196279.14400000006</v>
      </c>
      <c r="F1263" s="7">
        <f t="shared" si="1"/>
        <v>510262.163</v>
      </c>
      <c r="G1263" s="14">
        <f t="shared" si="2"/>
        <v>0.003221170417</v>
      </c>
      <c r="I1263" s="12"/>
      <c r="J1263" s="12"/>
      <c r="K1263" s="12"/>
      <c r="L1263" s="12"/>
      <c r="M1263" s="12">
        <v>44922.0</v>
      </c>
      <c r="N1263" s="2">
        <v>381.4</v>
      </c>
      <c r="O1263" s="3" t="s">
        <v>759</v>
      </c>
      <c r="P1263" s="4" t="str">
        <f t="array" ref="P1263">XLOOKUP(O1263,Agregado!$B$2:$B$1511,Agregado!$G$2:$G$1511)</f>
        <v>#N/A</v>
      </c>
    </row>
    <row r="1264" ht="15.75" customHeight="1">
      <c r="B1264" s="13" t="s">
        <v>2183</v>
      </c>
      <c r="C1264" s="7">
        <v>139945.3250000002</v>
      </c>
      <c r="D1264" s="7">
        <v>173116.36800000013</v>
      </c>
      <c r="E1264" s="7">
        <v>196328.09700000007</v>
      </c>
      <c r="F1264" s="7">
        <f t="shared" si="1"/>
        <v>509389.79</v>
      </c>
      <c r="G1264" s="14">
        <f t="shared" si="2"/>
        <v>-0.001711119584</v>
      </c>
      <c r="I1264" s="12"/>
      <c r="J1264" s="12"/>
      <c r="K1264" s="12"/>
      <c r="L1264" s="12"/>
      <c r="M1264" s="12">
        <v>44923.0</v>
      </c>
      <c r="N1264" s="2">
        <v>376.66</v>
      </c>
      <c r="O1264" s="3" t="s">
        <v>760</v>
      </c>
      <c r="P1264" s="4" t="str">
        <f t="array" ref="P1264">XLOOKUP(O1264,Agregado!$B$2:$B$1511,Agregado!$G$2:$G$1511)</f>
        <v>#N/A</v>
      </c>
    </row>
    <row r="1265" ht="15.75" customHeight="1">
      <c r="B1265" s="13" t="s">
        <v>2184</v>
      </c>
      <c r="C1265" s="7">
        <v>140021.2070000002</v>
      </c>
      <c r="D1265" s="7">
        <v>172944.85500000013</v>
      </c>
      <c r="E1265" s="7">
        <v>196418.08500000008</v>
      </c>
      <c r="F1265" s="7">
        <f t="shared" si="1"/>
        <v>509384.147</v>
      </c>
      <c r="G1265" s="14">
        <f t="shared" si="2"/>
        <v>-0.00001107802191</v>
      </c>
      <c r="I1265" s="12"/>
      <c r="J1265" s="12"/>
      <c r="K1265" s="12"/>
      <c r="L1265" s="12"/>
      <c r="M1265" s="12">
        <v>44924.0</v>
      </c>
      <c r="N1265" s="2">
        <v>383.44</v>
      </c>
      <c r="O1265" s="3" t="s">
        <v>761</v>
      </c>
      <c r="P1265" s="4" t="str">
        <f t="array" ref="P1265">XLOOKUP(O1265,Agregado!$B$2:$B$1511,Agregado!$G$2:$G$1511)</f>
        <v>#N/A</v>
      </c>
    </row>
    <row r="1266" ht="15.75" customHeight="1">
      <c r="B1266" s="13" t="s">
        <v>2185</v>
      </c>
      <c r="C1266" s="7">
        <v>140991.3930000002</v>
      </c>
      <c r="D1266" s="7">
        <v>173022.82500000013</v>
      </c>
      <c r="E1266" s="7">
        <v>196593.1410000001</v>
      </c>
      <c r="F1266" s="7">
        <f t="shared" si="1"/>
        <v>510607.359</v>
      </c>
      <c r="G1266" s="14">
        <f t="shared" si="2"/>
        <v>0.002398476025</v>
      </c>
      <c r="I1266" s="12"/>
      <c r="J1266" s="12"/>
      <c r="K1266" s="12"/>
      <c r="L1266" s="12"/>
      <c r="M1266" s="12">
        <v>44925.0</v>
      </c>
      <c r="N1266" s="2">
        <v>382.43</v>
      </c>
      <c r="P1266" s="4" t="str">
        <f t="array" ref="P1266">XLOOKUP(O1266,Agregado!$B$2:$B$1511,Agregado!$G$2:$G$1511)</f>
        <v>#N/A</v>
      </c>
    </row>
    <row r="1267" ht="15.75" customHeight="1">
      <c r="B1267" s="13" t="s">
        <v>2186</v>
      </c>
      <c r="C1267" s="7">
        <v>141495.5930000002</v>
      </c>
      <c r="D1267" s="7">
        <v>173003.34400000013</v>
      </c>
      <c r="E1267" s="7">
        <v>196819.1300000001</v>
      </c>
      <c r="F1267" s="7">
        <f t="shared" si="1"/>
        <v>511318.067</v>
      </c>
      <c r="G1267" s="14">
        <f t="shared" si="2"/>
        <v>0.001390919722</v>
      </c>
      <c r="I1267" s="12"/>
      <c r="J1267" s="12"/>
      <c r="K1267" s="12"/>
      <c r="L1267" s="12"/>
      <c r="M1267" s="12">
        <v>44929.0</v>
      </c>
      <c r="N1267" s="2">
        <v>380.82</v>
      </c>
      <c r="O1267" s="3">
        <v>44986.0</v>
      </c>
      <c r="P1267" s="4" t="str">
        <f t="array" ref="P1267">XLOOKUP(O1267,Agregado!$B$2:$B$1511,Agregado!$G$2:$G$1511)</f>
        <v>#N/A</v>
      </c>
    </row>
    <row r="1268" ht="15.75" customHeight="1">
      <c r="B1268" s="13" t="s">
        <v>2187</v>
      </c>
      <c r="C1268" s="7">
        <v>141671.3400000002</v>
      </c>
      <c r="D1268" s="7">
        <v>172316.74300000013</v>
      </c>
      <c r="E1268" s="7">
        <v>196700.2760000001</v>
      </c>
      <c r="F1268" s="7">
        <f t="shared" si="1"/>
        <v>510688.359</v>
      </c>
      <c r="G1268" s="14">
        <f t="shared" si="2"/>
        <v>-0.001232297691</v>
      </c>
      <c r="I1268" s="12"/>
      <c r="J1268" s="12"/>
      <c r="K1268" s="12"/>
      <c r="L1268" s="12"/>
      <c r="M1268" s="12">
        <v>44930.0</v>
      </c>
      <c r="N1268" s="2">
        <v>383.76</v>
      </c>
      <c r="O1268" s="3">
        <v>45017.0</v>
      </c>
      <c r="P1268" s="4" t="str">
        <f t="array" ref="P1268">XLOOKUP(O1268,Agregado!$B$2:$B$1511,Agregado!$G$2:$G$1511)</f>
        <v>#N/A</v>
      </c>
    </row>
    <row r="1269" ht="15.75" customHeight="1">
      <c r="B1269" s="13" t="s">
        <v>2188</v>
      </c>
      <c r="C1269" s="7">
        <v>141809.7890000002</v>
      </c>
      <c r="D1269" s="7">
        <v>172495.57000000012</v>
      </c>
      <c r="E1269" s="7">
        <v>196694.8390000001</v>
      </c>
      <c r="F1269" s="7">
        <f t="shared" si="1"/>
        <v>511000.198</v>
      </c>
      <c r="G1269" s="14">
        <f t="shared" si="2"/>
        <v>0.0006104384894</v>
      </c>
      <c r="I1269" s="12"/>
      <c r="J1269" s="12"/>
      <c r="K1269" s="12"/>
      <c r="L1269" s="12"/>
      <c r="M1269" s="12">
        <v>44931.0</v>
      </c>
      <c r="N1269" s="2">
        <v>379.38</v>
      </c>
      <c r="O1269" s="3">
        <v>45047.0</v>
      </c>
      <c r="P1269" s="4" t="str">
        <f t="array" ref="P1269">XLOOKUP(O1269,Agregado!$B$2:$B$1511,Agregado!$G$2:$G$1511)</f>
        <v>#N/A</v>
      </c>
    </row>
    <row r="1270" ht="15.75" customHeight="1">
      <c r="B1270" s="13" t="s">
        <v>2189</v>
      </c>
      <c r="C1270" s="7">
        <v>141571.61100000018</v>
      </c>
      <c r="D1270" s="7">
        <v>172355.99100000013</v>
      </c>
      <c r="E1270" s="7">
        <v>196736.7210000001</v>
      </c>
      <c r="F1270" s="7">
        <f t="shared" si="1"/>
        <v>510664.323</v>
      </c>
      <c r="G1270" s="14">
        <f t="shared" si="2"/>
        <v>-0.0006575054829</v>
      </c>
      <c r="I1270" s="12"/>
      <c r="J1270" s="12"/>
      <c r="K1270" s="12"/>
      <c r="L1270" s="12"/>
      <c r="M1270" s="12">
        <v>44932.0</v>
      </c>
      <c r="N1270" s="2">
        <v>388.08</v>
      </c>
      <c r="O1270" s="3">
        <v>45078.0</v>
      </c>
      <c r="P1270" s="4" t="str">
        <f t="array" ref="P1270">XLOOKUP(O1270,Agregado!$B$2:$B$1511,Agregado!$G$2:$G$1511)</f>
        <v>#N/A</v>
      </c>
    </row>
    <row r="1271" ht="15.75" customHeight="1">
      <c r="B1271" s="13" t="s">
        <v>2190</v>
      </c>
      <c r="C1271" s="7">
        <v>142249.16300000018</v>
      </c>
      <c r="D1271" s="7">
        <v>172275.91000000012</v>
      </c>
      <c r="E1271" s="7">
        <v>197052.75500000012</v>
      </c>
      <c r="F1271" s="7">
        <f t="shared" si="1"/>
        <v>511577.828</v>
      </c>
      <c r="G1271" s="14">
        <f t="shared" si="2"/>
        <v>0.001787258023</v>
      </c>
      <c r="I1271" s="12"/>
      <c r="J1271" s="12"/>
      <c r="K1271" s="12"/>
      <c r="L1271" s="12"/>
      <c r="M1271" s="12">
        <v>44935.0</v>
      </c>
      <c r="N1271" s="2">
        <v>387.86</v>
      </c>
      <c r="O1271" s="3">
        <v>45170.0</v>
      </c>
      <c r="P1271" s="4" t="str">
        <f t="array" ref="P1271">XLOOKUP(O1271,Agregado!$B$2:$B$1511,Agregado!$G$2:$G$1511)</f>
        <v>#N/A</v>
      </c>
    </row>
    <row r="1272" ht="15.75" customHeight="1">
      <c r="B1272" s="13" t="s">
        <v>2191</v>
      </c>
      <c r="C1272" s="7">
        <v>141911.0750000002</v>
      </c>
      <c r="D1272" s="7">
        <v>171996.19500000012</v>
      </c>
      <c r="E1272" s="7">
        <v>197192.56900000013</v>
      </c>
      <c r="F1272" s="7">
        <f t="shared" si="1"/>
        <v>511099.839</v>
      </c>
      <c r="G1272" s="14">
        <f t="shared" si="2"/>
        <v>-0.0009347794525</v>
      </c>
      <c r="I1272" s="12"/>
      <c r="J1272" s="12"/>
      <c r="K1272" s="12"/>
      <c r="L1272" s="12"/>
      <c r="M1272" s="12">
        <v>44936.0</v>
      </c>
      <c r="N1272" s="2">
        <v>390.58</v>
      </c>
      <c r="O1272" s="3">
        <v>45200.0</v>
      </c>
      <c r="P1272" s="4" t="str">
        <f t="array" ref="P1272">XLOOKUP(O1272,Agregado!$B$2:$B$1511,Agregado!$G$2:$G$1511)</f>
        <v>#N/A</v>
      </c>
    </row>
    <row r="1273" ht="15.75" customHeight="1">
      <c r="B1273" s="13" t="s">
        <v>2192</v>
      </c>
      <c r="C1273" s="7">
        <v>141088.78500000018</v>
      </c>
      <c r="D1273" s="7">
        <v>172271.55600000013</v>
      </c>
      <c r="E1273" s="7">
        <v>197065.41400000014</v>
      </c>
      <c r="F1273" s="7">
        <f t="shared" si="1"/>
        <v>510425.755</v>
      </c>
      <c r="G1273" s="14">
        <f t="shared" si="2"/>
        <v>-0.001319759587</v>
      </c>
      <c r="I1273" s="12"/>
      <c r="J1273" s="12"/>
      <c r="K1273" s="12"/>
      <c r="L1273" s="12"/>
      <c r="M1273" s="12">
        <v>44937.0</v>
      </c>
      <c r="N1273" s="2">
        <v>395.52</v>
      </c>
      <c r="O1273" s="3">
        <v>45231.0</v>
      </c>
      <c r="P1273" s="4" t="str">
        <f t="array" ref="P1273">XLOOKUP(O1273,Agregado!$B$2:$B$1511,Agregado!$G$2:$G$1511)</f>
        <v>#N/A</v>
      </c>
    </row>
    <row r="1274" ht="15.75" customHeight="1">
      <c r="B1274" s="13" t="s">
        <v>2193</v>
      </c>
      <c r="C1274" s="7">
        <v>141652.29600000018</v>
      </c>
      <c r="D1274" s="7">
        <v>172466.76500000013</v>
      </c>
      <c r="E1274" s="7">
        <v>196975.88300000015</v>
      </c>
      <c r="F1274" s="7">
        <f t="shared" si="1"/>
        <v>511094.944</v>
      </c>
      <c r="G1274" s="14">
        <f t="shared" si="2"/>
        <v>0.001310182156</v>
      </c>
      <c r="I1274" s="12"/>
      <c r="J1274" s="12"/>
      <c r="K1274" s="12"/>
      <c r="L1274" s="12"/>
      <c r="M1274" s="12">
        <v>44938.0</v>
      </c>
      <c r="N1274" s="2">
        <v>396.96</v>
      </c>
      <c r="O1274" s="3">
        <v>45261.0</v>
      </c>
      <c r="P1274" s="4" t="str">
        <f t="array" ref="P1274">XLOOKUP(O1274,Agregado!$B$2:$B$1511,Agregado!$G$2:$G$1511)</f>
        <v>#N/A</v>
      </c>
    </row>
    <row r="1275" ht="15.75" customHeight="1">
      <c r="B1275" s="13" t="s">
        <v>2194</v>
      </c>
      <c r="C1275" s="7">
        <v>142879.8250000002</v>
      </c>
      <c r="D1275" s="7">
        <v>172526.43700000012</v>
      </c>
      <c r="E1275" s="7">
        <v>196961.98200000013</v>
      </c>
      <c r="F1275" s="7">
        <f t="shared" si="1"/>
        <v>512368.244</v>
      </c>
      <c r="G1275" s="14">
        <f t="shared" si="2"/>
        <v>0.002488219746</v>
      </c>
      <c r="I1275" s="12"/>
      <c r="J1275" s="12"/>
      <c r="K1275" s="12"/>
      <c r="L1275" s="12"/>
      <c r="M1275" s="12">
        <v>44939.0</v>
      </c>
      <c r="N1275" s="2">
        <v>398.5</v>
      </c>
      <c r="O1275" s="3" t="s">
        <v>762</v>
      </c>
      <c r="P1275" s="4" t="str">
        <f t="array" ref="P1275">XLOOKUP(O1275,Agregado!$B$2:$B$1511,Agregado!$G$2:$G$1511)</f>
        <v>#N/A</v>
      </c>
    </row>
    <row r="1276" ht="15.75" customHeight="1">
      <c r="B1276" s="13" t="s">
        <v>2195</v>
      </c>
      <c r="C1276" s="7">
        <v>142298.84500000018</v>
      </c>
      <c r="D1276" s="7">
        <v>172526.43700000012</v>
      </c>
      <c r="E1276" s="7">
        <v>196991.54900000014</v>
      </c>
      <c r="F1276" s="7">
        <f t="shared" si="1"/>
        <v>511816.831</v>
      </c>
      <c r="G1276" s="14">
        <f t="shared" si="2"/>
        <v>-0.001076784005</v>
      </c>
      <c r="I1276" s="12"/>
      <c r="J1276" s="12"/>
      <c r="K1276" s="12"/>
      <c r="L1276" s="12"/>
      <c r="M1276" s="12">
        <v>44943.0</v>
      </c>
      <c r="N1276" s="2">
        <v>397.77</v>
      </c>
      <c r="O1276" s="3" t="s">
        <v>763</v>
      </c>
      <c r="P1276" s="4" t="str">
        <f t="array" ref="P1276">XLOOKUP(O1276,Agregado!$B$2:$B$1511,Agregado!$G$2:$G$1511)</f>
        <v>#N/A</v>
      </c>
    </row>
    <row r="1277" ht="15.75" customHeight="1">
      <c r="B1277" s="13" t="s">
        <v>2196</v>
      </c>
      <c r="C1277" s="7">
        <v>142979.52500000017</v>
      </c>
      <c r="D1277" s="7">
        <v>172687.34100000013</v>
      </c>
      <c r="E1277" s="7">
        <v>196902.43300000014</v>
      </c>
      <c r="F1277" s="7">
        <f t="shared" si="1"/>
        <v>512569.299</v>
      </c>
      <c r="G1277" s="14">
        <f t="shared" si="2"/>
        <v>0.001469110355</v>
      </c>
      <c r="I1277" s="12"/>
      <c r="J1277" s="12"/>
      <c r="K1277" s="12"/>
      <c r="L1277" s="12"/>
      <c r="M1277" s="12">
        <v>44944.0</v>
      </c>
      <c r="N1277" s="2">
        <v>391.49</v>
      </c>
      <c r="O1277" s="3" t="s">
        <v>764</v>
      </c>
      <c r="P1277" s="4" t="str">
        <f t="array" ref="P1277">XLOOKUP(O1277,Agregado!$B$2:$B$1511,Agregado!$G$2:$G$1511)</f>
        <v>#N/A</v>
      </c>
    </row>
    <row r="1278" ht="15.75" customHeight="1">
      <c r="B1278" s="13" t="s">
        <v>2197</v>
      </c>
      <c r="C1278" s="7">
        <v>142959.50800000018</v>
      </c>
      <c r="D1278" s="7">
        <v>172948.76500000013</v>
      </c>
      <c r="E1278" s="7">
        <v>196885.81300000014</v>
      </c>
      <c r="F1278" s="7">
        <f t="shared" si="1"/>
        <v>512794.086</v>
      </c>
      <c r="G1278" s="14">
        <f t="shared" si="2"/>
        <v>0.0004384533462</v>
      </c>
      <c r="I1278" s="12"/>
      <c r="J1278" s="12"/>
      <c r="K1278" s="12"/>
      <c r="L1278" s="12"/>
      <c r="M1278" s="12">
        <v>44945.0</v>
      </c>
      <c r="N1278" s="2">
        <v>388.64</v>
      </c>
      <c r="O1278" s="3" t="s">
        <v>765</v>
      </c>
      <c r="P1278" s="4" t="str">
        <f t="array" ref="P1278">XLOOKUP(O1278,Agregado!$B$2:$B$1511,Agregado!$G$2:$G$1511)</f>
        <v>#N/A</v>
      </c>
    </row>
    <row r="1279" ht="15.75" customHeight="1">
      <c r="B1279" s="13" t="s">
        <v>2198</v>
      </c>
      <c r="C1279" s="7">
        <v>143242.84200000018</v>
      </c>
      <c r="D1279" s="7">
        <v>172867.43600000013</v>
      </c>
      <c r="E1279" s="7">
        <v>196591.25200000015</v>
      </c>
      <c r="F1279" s="7">
        <f t="shared" si="1"/>
        <v>512701.53</v>
      </c>
      <c r="G1279" s="14">
        <f t="shared" si="2"/>
        <v>-0.0001805097922</v>
      </c>
      <c r="I1279" s="12"/>
      <c r="J1279" s="12"/>
      <c r="K1279" s="12"/>
      <c r="L1279" s="12"/>
      <c r="M1279" s="12">
        <v>44946.0</v>
      </c>
      <c r="N1279" s="2">
        <v>395.88</v>
      </c>
      <c r="O1279" s="3" t="s">
        <v>766</v>
      </c>
      <c r="P1279" s="4" t="str">
        <f t="array" ref="P1279">XLOOKUP(O1279,Agregado!$B$2:$B$1511,Agregado!$G$2:$G$1511)</f>
        <v>#N/A</v>
      </c>
    </row>
    <row r="1280" ht="15.75" customHeight="1">
      <c r="B1280" s="13" t="s">
        <v>2199</v>
      </c>
      <c r="C1280" s="7">
        <v>142532.73700000017</v>
      </c>
      <c r="D1280" s="7">
        <v>173010.12000000014</v>
      </c>
      <c r="E1280" s="7">
        <v>196633.63000000015</v>
      </c>
      <c r="F1280" s="7">
        <f t="shared" si="1"/>
        <v>512176.487</v>
      </c>
      <c r="G1280" s="14">
        <f t="shared" si="2"/>
        <v>-0.001024596171</v>
      </c>
      <c r="I1280" s="12"/>
      <c r="J1280" s="12"/>
      <c r="K1280" s="12"/>
      <c r="L1280" s="12"/>
      <c r="M1280" s="12">
        <v>44949.0</v>
      </c>
      <c r="N1280" s="2">
        <v>400.63</v>
      </c>
      <c r="O1280" s="3" t="s">
        <v>767</v>
      </c>
      <c r="P1280" s="4" t="str">
        <f t="array" ref="P1280">XLOOKUP(O1280,Agregado!$B$2:$B$1511,Agregado!$G$2:$G$1511)</f>
        <v>#N/A</v>
      </c>
    </row>
    <row r="1281" ht="15.75" customHeight="1">
      <c r="B1281" s="13" t="s">
        <v>2200</v>
      </c>
      <c r="C1281" s="7">
        <v>141951.93200000018</v>
      </c>
      <c r="D1281" s="7">
        <v>173171.08700000015</v>
      </c>
      <c r="E1281" s="7">
        <v>196743.42000000016</v>
      </c>
      <c r="F1281" s="7">
        <f t="shared" si="1"/>
        <v>511866.439</v>
      </c>
      <c r="G1281" s="14">
        <f t="shared" si="2"/>
        <v>-0.0006055371344</v>
      </c>
      <c r="I1281" s="12"/>
      <c r="J1281" s="12"/>
      <c r="K1281" s="12"/>
      <c r="L1281" s="12"/>
      <c r="M1281" s="12">
        <v>44950.0</v>
      </c>
      <c r="N1281" s="2">
        <v>400.2</v>
      </c>
      <c r="O1281" s="3" t="s">
        <v>768</v>
      </c>
      <c r="P1281" s="4" t="str">
        <f t="array" ref="P1281">XLOOKUP(O1281,Agregado!$B$2:$B$1511,Agregado!$G$2:$G$1511)</f>
        <v>#N/A</v>
      </c>
    </row>
    <row r="1282" ht="15.75" customHeight="1">
      <c r="B1282" s="13" t="s">
        <v>2201</v>
      </c>
      <c r="C1282" s="7">
        <v>141321.98300000018</v>
      </c>
      <c r="D1282" s="7">
        <v>173252.75100000013</v>
      </c>
      <c r="E1282" s="7">
        <v>197092.34700000015</v>
      </c>
      <c r="F1282" s="7">
        <f t="shared" si="1"/>
        <v>511667.081</v>
      </c>
      <c r="G1282" s="14">
        <f t="shared" si="2"/>
        <v>-0.0003895485563</v>
      </c>
      <c r="I1282" s="12"/>
      <c r="J1282" s="12"/>
      <c r="K1282" s="12"/>
      <c r="L1282" s="12"/>
      <c r="M1282" s="12">
        <v>44951.0</v>
      </c>
      <c r="N1282" s="2">
        <v>400.35</v>
      </c>
      <c r="O1282" s="3" t="s">
        <v>769</v>
      </c>
      <c r="P1282" s="4" t="str">
        <f t="array" ref="P1282">XLOOKUP(O1282,Agregado!$B$2:$B$1511,Agregado!$G$2:$G$1511)</f>
        <v>#N/A</v>
      </c>
    </row>
    <row r="1283" ht="15.75" customHeight="1">
      <c r="B1283" s="13" t="s">
        <v>2202</v>
      </c>
      <c r="C1283" s="7">
        <v>144237.68800000017</v>
      </c>
      <c r="D1283" s="7">
        <v>172881.42200000014</v>
      </c>
      <c r="E1283" s="7">
        <v>196917.64900000015</v>
      </c>
      <c r="F1283" s="7">
        <f t="shared" si="1"/>
        <v>514036.759</v>
      </c>
      <c r="G1283" s="14">
        <f t="shared" si="2"/>
        <v>0.004620597337</v>
      </c>
      <c r="I1283" s="12"/>
      <c r="J1283" s="12"/>
      <c r="K1283" s="12"/>
      <c r="L1283" s="12"/>
      <c r="M1283" s="12">
        <v>44952.0</v>
      </c>
      <c r="N1283" s="2">
        <v>404.75</v>
      </c>
      <c r="O1283" s="3" t="s">
        <v>770</v>
      </c>
      <c r="P1283" s="4" t="str">
        <f t="array" ref="P1283">XLOOKUP(O1283,Agregado!$B$2:$B$1511,Agregado!$G$2:$G$1511)</f>
        <v>#N/A</v>
      </c>
    </row>
    <row r="1284" ht="15.75" customHeight="1">
      <c r="B1284" s="13" t="s">
        <v>2203</v>
      </c>
      <c r="C1284" s="7">
        <v>141758.26200000016</v>
      </c>
      <c r="D1284" s="7">
        <v>173090.75900000014</v>
      </c>
      <c r="E1284" s="7">
        <v>196986.46100000016</v>
      </c>
      <c r="F1284" s="7">
        <f t="shared" si="1"/>
        <v>511835.482</v>
      </c>
      <c r="G1284" s="14">
        <f t="shared" si="2"/>
        <v>-0.004291529277</v>
      </c>
      <c r="I1284" s="12"/>
      <c r="J1284" s="12"/>
      <c r="K1284" s="12"/>
      <c r="L1284" s="12"/>
      <c r="M1284" s="12">
        <v>44953.0</v>
      </c>
      <c r="N1284" s="2">
        <v>405.68</v>
      </c>
      <c r="O1284" s="3" t="s">
        <v>771</v>
      </c>
      <c r="P1284" s="4" t="str">
        <f t="array" ref="P1284">XLOOKUP(O1284,Agregado!$B$2:$B$1511,Agregado!$G$2:$G$1511)</f>
        <v>#N/A</v>
      </c>
    </row>
    <row r="1285" ht="15.75" customHeight="1">
      <c r="B1285" s="13" t="s">
        <v>2204</v>
      </c>
      <c r="C1285" s="7">
        <v>140211.69600000017</v>
      </c>
      <c r="D1285" s="7">
        <v>173297.93800000014</v>
      </c>
      <c r="E1285" s="7">
        <v>196639.83600000016</v>
      </c>
      <c r="F1285" s="7">
        <f t="shared" si="1"/>
        <v>510149.47</v>
      </c>
      <c r="G1285" s="14">
        <f t="shared" si="2"/>
        <v>-0.003299487974</v>
      </c>
      <c r="I1285" s="12"/>
      <c r="J1285" s="12"/>
      <c r="K1285" s="12"/>
      <c r="L1285" s="12"/>
      <c r="M1285" s="12">
        <v>44956.0</v>
      </c>
      <c r="N1285" s="2">
        <v>400.59</v>
      </c>
      <c r="O1285" s="3" t="s">
        <v>772</v>
      </c>
      <c r="P1285" s="4" t="str">
        <f t="array" ref="P1285">XLOOKUP(O1285,Agregado!$B$2:$B$1511,Agregado!$G$2:$G$1511)</f>
        <v>#N/A</v>
      </c>
    </row>
    <row r="1286" ht="15.75" customHeight="1">
      <c r="B1286" s="13" t="s">
        <v>2205</v>
      </c>
      <c r="C1286" s="7">
        <v>139002.44900000017</v>
      </c>
      <c r="D1286" s="7">
        <v>173339.12200000015</v>
      </c>
      <c r="E1286" s="7">
        <v>196675.27800000017</v>
      </c>
      <c r="F1286" s="7">
        <f t="shared" si="1"/>
        <v>509016.849</v>
      </c>
      <c r="G1286" s="14">
        <f t="shared" si="2"/>
        <v>-0.002222643047</v>
      </c>
      <c r="I1286" s="12"/>
      <c r="J1286" s="12"/>
      <c r="K1286" s="12"/>
      <c r="L1286" s="12"/>
      <c r="M1286" s="12">
        <v>44957.0</v>
      </c>
      <c r="N1286" s="2">
        <v>406.48</v>
      </c>
      <c r="O1286" s="3" t="s">
        <v>773</v>
      </c>
      <c r="P1286" s="4" t="str">
        <f t="array" ref="P1286">XLOOKUP(O1286,Agregado!$B$2:$B$1511,Agregado!$G$2:$G$1511)</f>
        <v>#N/A</v>
      </c>
    </row>
    <row r="1287" ht="15.75" customHeight="1">
      <c r="B1287" s="13" t="s">
        <v>2206</v>
      </c>
      <c r="C1287" s="7">
        <v>138379.66300000018</v>
      </c>
      <c r="D1287" s="7">
        <v>172713.39900000015</v>
      </c>
      <c r="E1287" s="7">
        <v>196768.41600000017</v>
      </c>
      <c r="F1287" s="7">
        <f t="shared" si="1"/>
        <v>507861.478</v>
      </c>
      <c r="G1287" s="14">
        <f t="shared" si="2"/>
        <v>-0.002272388872</v>
      </c>
      <c r="I1287" s="12"/>
      <c r="J1287" s="12"/>
      <c r="K1287" s="12"/>
      <c r="L1287" s="12"/>
      <c r="M1287" s="12">
        <v>44958.0</v>
      </c>
      <c r="N1287" s="2">
        <v>410.8</v>
      </c>
      <c r="O1287" s="3">
        <v>44928.0</v>
      </c>
      <c r="P1287" s="4" t="str">
        <f t="array" ref="P1287">XLOOKUP(O1287,Agregado!$B$2:$B$1511,Agregado!$G$2:$G$1511)</f>
        <v>#N/A</v>
      </c>
    </row>
    <row r="1288" ht="15.75" customHeight="1">
      <c r="B1288" s="13" t="s">
        <v>2207</v>
      </c>
      <c r="C1288" s="7">
        <v>137147.83100000018</v>
      </c>
      <c r="D1288" s="7">
        <v>172692.77200000014</v>
      </c>
      <c r="E1288" s="7">
        <v>196859.27700000018</v>
      </c>
      <c r="F1288" s="7">
        <f t="shared" si="1"/>
        <v>506699.88</v>
      </c>
      <c r="G1288" s="14">
        <f t="shared" si="2"/>
        <v>-0.002289853637</v>
      </c>
      <c r="I1288" s="12"/>
      <c r="J1288" s="12"/>
      <c r="K1288" s="12"/>
      <c r="L1288" s="12"/>
      <c r="M1288" s="12">
        <v>44959.0</v>
      </c>
      <c r="N1288" s="2">
        <v>416.78</v>
      </c>
      <c r="O1288" s="3">
        <v>44959.0</v>
      </c>
      <c r="P1288" s="4" t="str">
        <f t="array" ref="P1288">XLOOKUP(O1288,Agregado!$B$2:$B$1511,Agregado!$G$2:$G$1511)</f>
        <v>#N/A</v>
      </c>
    </row>
    <row r="1289" ht="15.75" customHeight="1">
      <c r="B1289" s="13" t="s">
        <v>2208</v>
      </c>
      <c r="C1289" s="7">
        <v>137738.0580000002</v>
      </c>
      <c r="D1289" s="7">
        <v>172815.46000000014</v>
      </c>
      <c r="E1289" s="7">
        <v>197003.80500000017</v>
      </c>
      <c r="F1289" s="7">
        <f t="shared" si="1"/>
        <v>507557.323</v>
      </c>
      <c r="G1289" s="14">
        <f t="shared" si="2"/>
        <v>0.001690780606</v>
      </c>
      <c r="I1289" s="12"/>
      <c r="J1289" s="12"/>
      <c r="K1289" s="12"/>
      <c r="L1289" s="12"/>
      <c r="M1289" s="12">
        <v>44960.0</v>
      </c>
      <c r="N1289" s="2">
        <v>412.35</v>
      </c>
      <c r="O1289" s="3">
        <v>44987.0</v>
      </c>
      <c r="P1289" s="4" t="str">
        <f t="array" ref="P1289">XLOOKUP(O1289,Agregado!$B$2:$B$1511,Agregado!$G$2:$G$1511)</f>
        <v>#N/A</v>
      </c>
    </row>
    <row r="1290" ht="15.75" customHeight="1">
      <c r="B1290" s="13" t="s">
        <v>2209</v>
      </c>
      <c r="C1290" s="7">
        <v>135453.1060000002</v>
      </c>
      <c r="D1290" s="7">
        <v>172856.45400000014</v>
      </c>
      <c r="E1290" s="7">
        <v>197549.97800000018</v>
      </c>
      <c r="F1290" s="7">
        <f t="shared" si="1"/>
        <v>505859.538</v>
      </c>
      <c r="G1290" s="14">
        <f t="shared" si="2"/>
        <v>-0.003350618395</v>
      </c>
      <c r="I1290" s="12"/>
      <c r="J1290" s="12"/>
      <c r="K1290" s="12"/>
      <c r="L1290" s="12"/>
      <c r="M1290" s="12">
        <v>44963.0</v>
      </c>
      <c r="N1290" s="2">
        <v>409.83</v>
      </c>
      <c r="O1290" s="3">
        <v>45079.0</v>
      </c>
      <c r="P1290" s="4" t="str">
        <f t="array" ref="P1290">XLOOKUP(O1290,Agregado!$B$2:$B$1511,Agregado!$G$2:$G$1511)</f>
        <v>#N/A</v>
      </c>
    </row>
    <row r="1291" ht="15.75" customHeight="1">
      <c r="B1291" s="13" t="s">
        <v>2210</v>
      </c>
      <c r="C1291" s="7">
        <v>138239.1770000002</v>
      </c>
      <c r="D1291" s="7">
        <v>172939.39300000016</v>
      </c>
      <c r="E1291" s="7">
        <v>197488.41400000016</v>
      </c>
      <c r="F1291" s="7">
        <f t="shared" si="1"/>
        <v>508666.984</v>
      </c>
      <c r="G1291" s="14">
        <f t="shared" si="2"/>
        <v>0.005534509163</v>
      </c>
      <c r="I1291" s="12"/>
      <c r="J1291" s="12"/>
      <c r="K1291" s="12"/>
      <c r="L1291" s="12"/>
      <c r="M1291" s="12">
        <v>44964.0</v>
      </c>
      <c r="N1291" s="2">
        <v>415.19</v>
      </c>
      <c r="O1291" s="3">
        <v>45109.0</v>
      </c>
      <c r="P1291" s="4" t="str">
        <f t="array" ref="P1291">XLOOKUP(O1291,Agregado!$B$2:$B$1511,Agregado!$G$2:$G$1511)</f>
        <v>#N/A</v>
      </c>
    </row>
    <row r="1292" ht="15.75" customHeight="1">
      <c r="B1292" s="13" t="s">
        <v>2211</v>
      </c>
      <c r="C1292" s="7">
        <v>135597.9930000002</v>
      </c>
      <c r="D1292" s="7">
        <v>172732.07900000014</v>
      </c>
      <c r="E1292" s="7">
        <v>197889.52400000015</v>
      </c>
      <c r="F1292" s="7">
        <f t="shared" si="1"/>
        <v>506219.596</v>
      </c>
      <c r="G1292" s="14">
        <f t="shared" si="2"/>
        <v>-0.004822987696</v>
      </c>
      <c r="I1292" s="12"/>
      <c r="J1292" s="12"/>
      <c r="K1292" s="12"/>
      <c r="L1292" s="12"/>
      <c r="M1292" s="12">
        <v>44965.0</v>
      </c>
      <c r="N1292" s="2">
        <v>410.65</v>
      </c>
      <c r="O1292" s="3">
        <v>45140.0</v>
      </c>
      <c r="P1292" s="4" t="str">
        <f t="array" ref="P1292">XLOOKUP(O1292,Agregado!$B$2:$B$1511,Agregado!$G$2:$G$1511)</f>
        <v>#N/A</v>
      </c>
    </row>
    <row r="1293" ht="15.75" customHeight="1">
      <c r="B1293" s="13" t="s">
        <v>2212</v>
      </c>
      <c r="C1293" s="7">
        <v>134790.8320000002</v>
      </c>
      <c r="D1293" s="7">
        <v>172752.87300000014</v>
      </c>
      <c r="E1293" s="7">
        <v>197977.37500000015</v>
      </c>
      <c r="F1293" s="7">
        <f t="shared" si="1"/>
        <v>505521.08</v>
      </c>
      <c r="G1293" s="14">
        <f t="shared" si="2"/>
        <v>-0.001380820456</v>
      </c>
      <c r="I1293" s="12"/>
      <c r="J1293" s="12"/>
      <c r="K1293" s="12"/>
      <c r="L1293" s="12"/>
      <c r="M1293" s="12">
        <v>44966.0</v>
      </c>
      <c r="N1293" s="2">
        <v>407.09</v>
      </c>
      <c r="O1293" s="3">
        <v>45171.0</v>
      </c>
      <c r="P1293" s="4" t="str">
        <f t="array" ref="P1293">XLOOKUP(O1293,Agregado!$B$2:$B$1511,Agregado!$G$2:$G$1511)</f>
        <v>#N/A</v>
      </c>
    </row>
    <row r="1294" ht="15.75" customHeight="1">
      <c r="B1294" s="13" t="s">
        <v>2213</v>
      </c>
      <c r="C1294" s="7">
        <v>135117.4500000002</v>
      </c>
      <c r="D1294" s="7">
        <v>172691.34500000015</v>
      </c>
      <c r="E1294" s="7">
        <v>198023.46300000013</v>
      </c>
      <c r="F1294" s="7">
        <f t="shared" si="1"/>
        <v>505832.258</v>
      </c>
      <c r="G1294" s="14">
        <f t="shared" si="2"/>
        <v>0.0006153695215</v>
      </c>
      <c r="I1294" s="12"/>
      <c r="J1294" s="12"/>
      <c r="K1294" s="12"/>
      <c r="L1294" s="12"/>
      <c r="M1294" s="12">
        <v>44967.0</v>
      </c>
      <c r="N1294" s="2">
        <v>408.04</v>
      </c>
      <c r="O1294" s="3">
        <v>45201.0</v>
      </c>
      <c r="P1294" s="4" t="str">
        <f t="array" ref="P1294">XLOOKUP(O1294,Agregado!$B$2:$B$1511,Agregado!$G$2:$G$1511)</f>
        <v>#N/A</v>
      </c>
    </row>
    <row r="1295" ht="15.75" customHeight="1">
      <c r="B1295" s="13" t="s">
        <v>2214</v>
      </c>
      <c r="C1295" s="7">
        <v>134384.4630000002</v>
      </c>
      <c r="D1295" s="7">
        <v>172691.34500000015</v>
      </c>
      <c r="E1295" s="7">
        <v>198124.27700000015</v>
      </c>
      <c r="F1295" s="7">
        <f t="shared" si="1"/>
        <v>505200.085</v>
      </c>
      <c r="G1295" s="14">
        <f t="shared" si="2"/>
        <v>-0.001250549672</v>
      </c>
      <c r="I1295" s="12"/>
      <c r="J1295" s="12"/>
      <c r="K1295" s="12"/>
      <c r="L1295" s="12"/>
      <c r="M1295" s="12">
        <v>44970.0</v>
      </c>
      <c r="N1295" s="2">
        <v>412.83</v>
      </c>
      <c r="O1295" s="3" t="s">
        <v>774</v>
      </c>
      <c r="P1295" s="4" t="str">
        <f t="array" ref="P1295">XLOOKUP(O1295,Agregado!$B$2:$B$1511,Agregado!$G$2:$G$1511)</f>
        <v>#N/A</v>
      </c>
    </row>
    <row r="1296" ht="15.75" customHeight="1">
      <c r="B1296" s="13" t="s">
        <v>2215</v>
      </c>
      <c r="C1296" s="7">
        <v>133227.1430000002</v>
      </c>
      <c r="D1296" s="7">
        <v>171548.69500000015</v>
      </c>
      <c r="E1296" s="7">
        <v>197998.90400000016</v>
      </c>
      <c r="F1296" s="7">
        <f t="shared" si="1"/>
        <v>502774.742</v>
      </c>
      <c r="G1296" s="14">
        <f t="shared" si="2"/>
        <v>-0.004812317958</v>
      </c>
      <c r="I1296" s="12"/>
      <c r="J1296" s="12"/>
      <c r="K1296" s="12"/>
      <c r="L1296" s="12"/>
      <c r="M1296" s="12">
        <v>44971.0</v>
      </c>
      <c r="N1296" s="2">
        <v>412.64</v>
      </c>
      <c r="O1296" s="3" t="s">
        <v>775</v>
      </c>
      <c r="P1296" s="4" t="str">
        <f t="array" ref="P1296">XLOOKUP(O1296,Agregado!$B$2:$B$1511,Agregado!$G$2:$G$1511)</f>
        <v>#N/A</v>
      </c>
    </row>
    <row r="1297" ht="15.75" customHeight="1">
      <c r="B1297" s="13" t="s">
        <v>2216</v>
      </c>
      <c r="C1297" s="7">
        <v>132410.3080000002</v>
      </c>
      <c r="D1297" s="7">
        <v>170928.22100000017</v>
      </c>
      <c r="E1297" s="7">
        <v>198254.87200000015</v>
      </c>
      <c r="F1297" s="7">
        <f t="shared" si="1"/>
        <v>501593.401</v>
      </c>
      <c r="G1297" s="14">
        <f t="shared" si="2"/>
        <v>-0.002352407437</v>
      </c>
      <c r="I1297" s="12"/>
      <c r="J1297" s="12"/>
      <c r="K1297" s="12"/>
      <c r="L1297" s="12"/>
      <c r="M1297" s="12">
        <v>44972.0</v>
      </c>
      <c r="N1297" s="2">
        <v>413.98</v>
      </c>
      <c r="O1297" s="3" t="s">
        <v>776</v>
      </c>
      <c r="P1297" s="4" t="str">
        <f t="array" ref="P1297">XLOOKUP(O1297,Agregado!$B$2:$B$1511,Agregado!$G$2:$G$1511)</f>
        <v>#N/A</v>
      </c>
    </row>
    <row r="1298" ht="15.75" customHeight="1">
      <c r="B1298" s="13" t="s">
        <v>2217</v>
      </c>
      <c r="C1298" s="7">
        <v>132810.9140000002</v>
      </c>
      <c r="D1298" s="7">
        <v>170847.72700000016</v>
      </c>
      <c r="E1298" s="7">
        <v>198388.70100000015</v>
      </c>
      <c r="F1298" s="7">
        <f t="shared" si="1"/>
        <v>502047.342</v>
      </c>
      <c r="G1298" s="14">
        <f t="shared" si="2"/>
        <v>0.000904588687</v>
      </c>
      <c r="I1298" s="12"/>
      <c r="J1298" s="12"/>
      <c r="K1298" s="12"/>
      <c r="L1298" s="12"/>
      <c r="M1298" s="12">
        <v>44973.0</v>
      </c>
      <c r="N1298" s="2">
        <v>408.28</v>
      </c>
      <c r="O1298" s="3" t="s">
        <v>777</v>
      </c>
      <c r="P1298" s="4" t="str">
        <f t="array" ref="P1298">XLOOKUP(O1298,Agregado!$B$2:$B$1511,Agregado!$G$2:$G$1511)</f>
        <v>#N/A</v>
      </c>
    </row>
    <row r="1299" ht="15.75" customHeight="1">
      <c r="B1299" s="13" t="s">
        <v>2218</v>
      </c>
      <c r="C1299" s="7">
        <v>131106.3490000002</v>
      </c>
      <c r="D1299" s="7">
        <v>170608.77800000017</v>
      </c>
      <c r="E1299" s="7">
        <v>198394.11300000016</v>
      </c>
      <c r="F1299" s="7">
        <f t="shared" si="1"/>
        <v>500109.24</v>
      </c>
      <c r="G1299" s="14">
        <f t="shared" si="2"/>
        <v>-0.003867867459</v>
      </c>
      <c r="I1299" s="12"/>
      <c r="J1299" s="12"/>
      <c r="K1299" s="12"/>
      <c r="L1299" s="12"/>
      <c r="M1299" s="12">
        <v>44974.0</v>
      </c>
      <c r="N1299" s="2">
        <v>407.26</v>
      </c>
      <c r="O1299" s="3" t="s">
        <v>778</v>
      </c>
      <c r="P1299" s="4" t="str">
        <f t="array" ref="P1299">XLOOKUP(O1299,Agregado!$B$2:$B$1511,Agregado!$G$2:$G$1511)</f>
        <v>#N/A</v>
      </c>
    </row>
    <row r="1300" ht="15.75" customHeight="1">
      <c r="B1300" s="13" t="s">
        <v>2219</v>
      </c>
      <c r="C1300" s="7">
        <v>130589.3730000002</v>
      </c>
      <c r="D1300" s="7">
        <v>170788.56200000018</v>
      </c>
      <c r="E1300" s="7">
        <v>198397.06900000016</v>
      </c>
      <c r="F1300" s="7">
        <f t="shared" si="1"/>
        <v>499775.004</v>
      </c>
      <c r="G1300" s="14">
        <f t="shared" si="2"/>
        <v>-0.0006685494135</v>
      </c>
      <c r="I1300" s="12"/>
      <c r="J1300" s="12"/>
      <c r="K1300" s="12"/>
      <c r="L1300" s="12"/>
      <c r="M1300" s="12">
        <v>44978.0</v>
      </c>
      <c r="N1300" s="2">
        <v>399.09</v>
      </c>
      <c r="O1300" s="3" t="s">
        <v>779</v>
      </c>
      <c r="P1300" s="4" t="str">
        <f t="array" ref="P1300">XLOOKUP(O1300,Agregado!$B$2:$B$1511,Agregado!$G$2:$G$1511)</f>
        <v>#N/A</v>
      </c>
    </row>
    <row r="1301" ht="15.75" customHeight="1">
      <c r="B1301" s="13" t="s">
        <v>2220</v>
      </c>
      <c r="C1301" s="7">
        <v>130866.9290000002</v>
      </c>
      <c r="D1301" s="7">
        <v>170788.56200000018</v>
      </c>
      <c r="E1301" s="7">
        <v>198634.53200000015</v>
      </c>
      <c r="F1301" s="7">
        <f t="shared" si="1"/>
        <v>500290.023</v>
      </c>
      <c r="G1301" s="14">
        <f t="shared" si="2"/>
        <v>0.001029971115</v>
      </c>
      <c r="I1301" s="12"/>
      <c r="J1301" s="12"/>
      <c r="K1301" s="12"/>
      <c r="L1301" s="12"/>
      <c r="M1301" s="12">
        <v>44979.0</v>
      </c>
      <c r="N1301" s="2">
        <v>398.54</v>
      </c>
      <c r="O1301" s="3" t="s">
        <v>780</v>
      </c>
      <c r="P1301" s="4" t="str">
        <f t="array" ref="P1301">XLOOKUP(O1301,Agregado!$B$2:$B$1511,Agregado!$G$2:$G$1511)</f>
        <v>#N/A</v>
      </c>
    </row>
    <row r="1302" ht="15.75" customHeight="1">
      <c r="B1302" s="13" t="s">
        <v>2221</v>
      </c>
      <c r="C1302" s="7">
        <v>127255.74700000019</v>
      </c>
      <c r="D1302" s="7">
        <v>170193.82900000017</v>
      </c>
      <c r="E1302" s="7">
        <v>198645.19500000015</v>
      </c>
      <c r="F1302" s="7">
        <f t="shared" si="1"/>
        <v>496094.771</v>
      </c>
      <c r="G1302" s="14">
        <f t="shared" si="2"/>
        <v>-0.008420997223</v>
      </c>
      <c r="I1302" s="12"/>
      <c r="J1302" s="12"/>
      <c r="K1302" s="12"/>
      <c r="L1302" s="12"/>
      <c r="M1302" s="12">
        <v>44980.0</v>
      </c>
      <c r="N1302" s="2">
        <v>400.66</v>
      </c>
      <c r="O1302" s="3" t="s">
        <v>781</v>
      </c>
      <c r="P1302" s="4" t="str">
        <f t="array" ref="P1302">XLOOKUP(O1302,Agregado!$B$2:$B$1511,Agregado!$G$2:$G$1511)</f>
        <v>#N/A</v>
      </c>
    </row>
    <row r="1303" ht="15.75" customHeight="1">
      <c r="B1303" s="13" t="s">
        <v>2222</v>
      </c>
      <c r="C1303" s="7">
        <v>124014.4330000002</v>
      </c>
      <c r="D1303" s="7">
        <v>170093.94000000018</v>
      </c>
      <c r="E1303" s="7">
        <v>198671.16500000015</v>
      </c>
      <c r="F1303" s="7">
        <f t="shared" si="1"/>
        <v>492779.538</v>
      </c>
      <c r="G1303" s="14">
        <f t="shared" si="2"/>
        <v>-0.006705089596</v>
      </c>
      <c r="I1303" s="12"/>
      <c r="J1303" s="12"/>
      <c r="K1303" s="12"/>
      <c r="L1303" s="12"/>
      <c r="M1303" s="12">
        <v>44981.0</v>
      </c>
      <c r="N1303" s="2">
        <v>396.38</v>
      </c>
      <c r="O1303" s="3" t="s">
        <v>782</v>
      </c>
      <c r="P1303" s="4" t="str">
        <f t="array" ref="P1303">XLOOKUP(O1303,Agregado!$B$2:$B$1511,Agregado!$G$2:$G$1511)</f>
        <v>#N/A</v>
      </c>
    </row>
    <row r="1304" ht="15.75" customHeight="1">
      <c r="B1304" s="13" t="s">
        <v>2223</v>
      </c>
      <c r="C1304" s="7">
        <v>128459.9480000002</v>
      </c>
      <c r="D1304" s="7">
        <v>170236.05400000018</v>
      </c>
      <c r="E1304" s="7">
        <v>198587.19800000015</v>
      </c>
      <c r="F1304" s="7">
        <f t="shared" si="1"/>
        <v>497283.2</v>
      </c>
      <c r="G1304" s="14">
        <f t="shared" si="2"/>
        <v>0.009097793283</v>
      </c>
      <c r="I1304" s="12"/>
      <c r="J1304" s="12"/>
      <c r="K1304" s="12"/>
      <c r="L1304" s="12"/>
      <c r="M1304" s="12">
        <v>44984.0</v>
      </c>
      <c r="N1304" s="2">
        <v>397.73</v>
      </c>
      <c r="O1304" s="3" t="s">
        <v>783</v>
      </c>
      <c r="P1304" s="4" t="str">
        <f t="array" ref="P1304">XLOOKUP(O1304,Agregado!$B$2:$B$1511,Agregado!$G$2:$G$1511)</f>
        <v>#N/A</v>
      </c>
    </row>
    <row r="1305" ht="15.75" customHeight="1">
      <c r="B1305" s="13" t="s">
        <v>2224</v>
      </c>
      <c r="C1305" s="7">
        <v>130785.4080000002</v>
      </c>
      <c r="D1305" s="7">
        <v>170540.80500000017</v>
      </c>
      <c r="E1305" s="7">
        <v>198803.42600000015</v>
      </c>
      <c r="F1305" s="7">
        <f t="shared" si="1"/>
        <v>500129.639</v>
      </c>
      <c r="G1305" s="14">
        <f t="shared" si="2"/>
        <v>0.005707660091</v>
      </c>
      <c r="I1305" s="12"/>
      <c r="J1305" s="12"/>
      <c r="K1305" s="12"/>
      <c r="L1305" s="12"/>
      <c r="M1305" s="12">
        <v>44985.0</v>
      </c>
      <c r="N1305" s="2">
        <v>396.26</v>
      </c>
      <c r="O1305" s="3" t="s">
        <v>784</v>
      </c>
      <c r="P1305" s="4" t="str">
        <f t="array" ref="P1305">XLOOKUP(O1305,Agregado!$B$2:$B$1511,Agregado!$G$2:$G$1511)</f>
        <v>#N/A</v>
      </c>
    </row>
    <row r="1306" ht="15.75" customHeight="1">
      <c r="B1306" s="13" t="s">
        <v>2225</v>
      </c>
      <c r="C1306" s="7">
        <v>131064.1910000002</v>
      </c>
      <c r="D1306" s="7">
        <v>170620.82900000017</v>
      </c>
      <c r="E1306" s="7">
        <v>198822.57700000016</v>
      </c>
      <c r="F1306" s="7">
        <f t="shared" si="1"/>
        <v>500507.597</v>
      </c>
      <c r="G1306" s="14">
        <f t="shared" si="2"/>
        <v>0.0007554346458</v>
      </c>
      <c r="I1306" s="12"/>
      <c r="J1306" s="12"/>
      <c r="K1306" s="12"/>
      <c r="L1306" s="12"/>
      <c r="M1306" s="12">
        <v>44986.0</v>
      </c>
      <c r="N1306" s="2">
        <v>394.74</v>
      </c>
      <c r="O1306" s="3">
        <v>44929.0</v>
      </c>
      <c r="P1306" s="4" t="str">
        <f t="array" ref="P1306">XLOOKUP(O1306,Agregado!$B$2:$B$1511,Agregado!$G$2:$G$1511)</f>
        <v>#N/A</v>
      </c>
    </row>
    <row r="1307" ht="15.75" customHeight="1">
      <c r="B1307" s="13" t="s">
        <v>2226</v>
      </c>
      <c r="C1307" s="7">
        <v>128970.20100000019</v>
      </c>
      <c r="D1307" s="7">
        <v>170801.15200000018</v>
      </c>
      <c r="E1307" s="7">
        <v>199064.84800000017</v>
      </c>
      <c r="F1307" s="7">
        <f t="shared" si="1"/>
        <v>498836.201</v>
      </c>
      <c r="G1307" s="14">
        <f t="shared" si="2"/>
        <v>-0.003344990106</v>
      </c>
      <c r="I1307" s="12"/>
      <c r="J1307" s="12"/>
      <c r="K1307" s="12"/>
      <c r="L1307" s="12"/>
      <c r="M1307" s="12">
        <v>44987.0</v>
      </c>
      <c r="N1307" s="2">
        <v>397.81</v>
      </c>
      <c r="O1307" s="3">
        <v>44960.0</v>
      </c>
      <c r="P1307" s="4" t="str">
        <f t="array" ref="P1307">XLOOKUP(O1307,Agregado!$B$2:$B$1511,Agregado!$G$2:$G$1511)</f>
        <v>#N/A</v>
      </c>
    </row>
    <row r="1308" ht="15.75" customHeight="1">
      <c r="B1308" s="13" t="s">
        <v>2227</v>
      </c>
      <c r="C1308" s="7">
        <v>129185.57200000019</v>
      </c>
      <c r="D1308" s="7">
        <v>170958.50600000017</v>
      </c>
      <c r="E1308" s="7">
        <v>199086.95900000018</v>
      </c>
      <c r="F1308" s="7">
        <f t="shared" si="1"/>
        <v>499231.037</v>
      </c>
      <c r="G1308" s="14">
        <f t="shared" si="2"/>
        <v>0.0007912012449</v>
      </c>
      <c r="I1308" s="12"/>
      <c r="J1308" s="12"/>
      <c r="K1308" s="12"/>
      <c r="L1308" s="12"/>
      <c r="M1308" s="12">
        <v>44988.0</v>
      </c>
      <c r="N1308" s="2">
        <v>404.19</v>
      </c>
      <c r="O1308" s="3">
        <v>44988.0</v>
      </c>
      <c r="P1308" s="4" t="str">
        <f t="array" ref="P1308">XLOOKUP(O1308,Agregado!$B$2:$B$1511,Agregado!$G$2:$G$1511)</f>
        <v>#N/A</v>
      </c>
    </row>
    <row r="1309" ht="15.75" customHeight="1">
      <c r="B1309" s="13" t="s">
        <v>2228</v>
      </c>
      <c r="C1309" s="7">
        <v>124072.51100000019</v>
      </c>
      <c r="D1309" s="7">
        <v>171036.03500000018</v>
      </c>
      <c r="E1309" s="7">
        <v>198875.10700000016</v>
      </c>
      <c r="F1309" s="7">
        <f t="shared" si="1"/>
        <v>493983.653</v>
      </c>
      <c r="G1309" s="14">
        <f t="shared" si="2"/>
        <v>-0.01056656305</v>
      </c>
      <c r="I1309" s="12"/>
      <c r="J1309" s="12"/>
      <c r="K1309" s="12"/>
      <c r="L1309" s="12"/>
      <c r="M1309" s="12">
        <v>44991.0</v>
      </c>
      <c r="N1309" s="2">
        <v>404.47</v>
      </c>
      <c r="O1309" s="3">
        <v>45080.0</v>
      </c>
      <c r="P1309" s="4" t="str">
        <f t="array" ref="P1309">XLOOKUP(O1309,Agregado!$B$2:$B$1511,Agregado!$G$2:$G$1511)</f>
        <v>#N/A</v>
      </c>
    </row>
    <row r="1310" ht="15.75" customHeight="1">
      <c r="B1310" s="13" t="s">
        <v>2229</v>
      </c>
      <c r="C1310" s="7">
        <v>124881.56600000018</v>
      </c>
      <c r="D1310" s="7">
        <v>171306.94500000018</v>
      </c>
      <c r="E1310" s="7">
        <v>199049.86000000016</v>
      </c>
      <c r="F1310" s="7">
        <f t="shared" si="1"/>
        <v>495238.371</v>
      </c>
      <c r="G1310" s="14">
        <f t="shared" si="2"/>
        <v>0.002536778686</v>
      </c>
      <c r="I1310" s="12"/>
      <c r="J1310" s="12"/>
      <c r="K1310" s="12"/>
      <c r="L1310" s="12"/>
      <c r="M1310" s="12">
        <v>44992.0</v>
      </c>
      <c r="N1310" s="2">
        <v>398.27</v>
      </c>
      <c r="O1310" s="3">
        <v>45110.0</v>
      </c>
      <c r="P1310" s="4" t="str">
        <f t="array" ref="P1310">XLOOKUP(O1310,Agregado!$B$2:$B$1511,Agregado!$G$2:$G$1511)</f>
        <v>#N/A</v>
      </c>
    </row>
    <row r="1311" ht="15.75" customHeight="1">
      <c r="B1311" s="13" t="s">
        <v>2230</v>
      </c>
      <c r="C1311" s="7">
        <v>123059.65900000017</v>
      </c>
      <c r="D1311" s="7">
        <v>170992.05500000017</v>
      </c>
      <c r="E1311" s="7">
        <v>198925.68500000017</v>
      </c>
      <c r="F1311" s="7">
        <f t="shared" si="1"/>
        <v>492977.399</v>
      </c>
      <c r="G1311" s="14">
        <f t="shared" si="2"/>
        <v>-0.004575875054</v>
      </c>
      <c r="I1311" s="12"/>
      <c r="J1311" s="12"/>
      <c r="K1311" s="12"/>
      <c r="L1311" s="12"/>
      <c r="M1311" s="12">
        <v>44993.0</v>
      </c>
      <c r="N1311" s="2">
        <v>398.92</v>
      </c>
      <c r="O1311" s="3">
        <v>45141.0</v>
      </c>
      <c r="P1311" s="4" t="str">
        <f t="array" ref="P1311">XLOOKUP(O1311,Agregado!$B$2:$B$1511,Agregado!$G$2:$G$1511)</f>
        <v>#N/A</v>
      </c>
    </row>
    <row r="1312" ht="15.75" customHeight="1">
      <c r="B1312" s="13" t="s">
        <v>2231</v>
      </c>
      <c r="C1312" s="7">
        <v>125199.69100000018</v>
      </c>
      <c r="D1312" s="7">
        <v>169819.41900000017</v>
      </c>
      <c r="E1312" s="7">
        <v>199466.62200000018</v>
      </c>
      <c r="F1312" s="7">
        <f t="shared" si="1"/>
        <v>494485.732</v>
      </c>
      <c r="G1312" s="14">
        <f t="shared" si="2"/>
        <v>0.003054968081</v>
      </c>
      <c r="I1312" s="12"/>
      <c r="J1312" s="12"/>
      <c r="K1312" s="12"/>
      <c r="L1312" s="12"/>
      <c r="M1312" s="12">
        <v>44994.0</v>
      </c>
      <c r="N1312" s="2">
        <v>391.56</v>
      </c>
      <c r="O1312" s="3">
        <v>45172.0</v>
      </c>
      <c r="P1312" s="4" t="str">
        <f t="array" ref="P1312">XLOOKUP(O1312,Agregado!$B$2:$B$1511,Agregado!$G$2:$G$1511)</f>
        <v>#N/A</v>
      </c>
    </row>
    <row r="1313" ht="15.75" customHeight="1">
      <c r="B1313" s="13" t="s">
        <v>2232</v>
      </c>
      <c r="C1313" s="7">
        <v>132525.01300000018</v>
      </c>
      <c r="D1313" s="7">
        <v>169779.63900000017</v>
      </c>
      <c r="E1313" s="7">
        <v>199632.87800000017</v>
      </c>
      <c r="F1313" s="7">
        <f t="shared" si="1"/>
        <v>501937.53</v>
      </c>
      <c r="G1313" s="14">
        <f t="shared" si="2"/>
        <v>0.01495737246</v>
      </c>
      <c r="I1313" s="12"/>
      <c r="J1313" s="12"/>
      <c r="K1313" s="12"/>
      <c r="L1313" s="12"/>
      <c r="M1313" s="12">
        <v>44995.0</v>
      </c>
      <c r="N1313" s="2">
        <v>385.91</v>
      </c>
      <c r="O1313" s="3">
        <v>45202.0</v>
      </c>
      <c r="P1313" s="4" t="str">
        <f t="array" ref="P1313">XLOOKUP(O1313,Agregado!$B$2:$B$1511,Agregado!$G$2:$G$1511)</f>
        <v>#N/A</v>
      </c>
    </row>
    <row r="1314" ht="15.75" customHeight="1">
      <c r="B1314" s="13" t="s">
        <v>2233</v>
      </c>
      <c r="C1314" s="7">
        <v>138610.85600000017</v>
      </c>
      <c r="D1314" s="7">
        <v>169779.63900000017</v>
      </c>
      <c r="E1314" s="7">
        <v>199588.74300000016</v>
      </c>
      <c r="F1314" s="7">
        <f t="shared" si="1"/>
        <v>507979.238</v>
      </c>
      <c r="G1314" s="14">
        <f t="shared" si="2"/>
        <v>0.01196490695</v>
      </c>
      <c r="I1314" s="12"/>
      <c r="J1314" s="12"/>
      <c r="K1314" s="12"/>
      <c r="L1314" s="12"/>
      <c r="M1314" s="12">
        <v>44998.0</v>
      </c>
      <c r="N1314" s="2">
        <v>385.36</v>
      </c>
      <c r="O1314" s="3" t="s">
        <v>785</v>
      </c>
      <c r="P1314" s="4" t="str">
        <f t="array" ref="P1314">XLOOKUP(O1314,Agregado!$B$2:$B$1511,Agregado!$G$2:$G$1511)</f>
        <v>#N/A</v>
      </c>
    </row>
    <row r="1315" ht="15.75" customHeight="1">
      <c r="B1315" s="13" t="s">
        <v>2234</v>
      </c>
      <c r="C1315" s="7">
        <v>139220.93800000017</v>
      </c>
      <c r="D1315" s="7">
        <v>169739.94500000018</v>
      </c>
      <c r="E1315" s="7">
        <v>199666.22500000015</v>
      </c>
      <c r="F1315" s="7">
        <f t="shared" si="1"/>
        <v>508627.108</v>
      </c>
      <c r="G1315" s="14">
        <f t="shared" si="2"/>
        <v>0.001274574156</v>
      </c>
      <c r="I1315" s="12"/>
      <c r="J1315" s="12"/>
      <c r="K1315" s="12"/>
      <c r="L1315" s="12"/>
      <c r="M1315" s="12">
        <v>44999.0</v>
      </c>
      <c r="N1315" s="2">
        <v>391.73</v>
      </c>
      <c r="O1315" s="3" t="s">
        <v>786</v>
      </c>
      <c r="P1315" s="4" t="str">
        <f t="array" ref="P1315">XLOOKUP(O1315,Agregado!$B$2:$B$1511,Agregado!$G$2:$G$1511)</f>
        <v>#N/A</v>
      </c>
    </row>
    <row r="1316" ht="15.75" customHeight="1">
      <c r="B1316" s="13" t="s">
        <v>2235</v>
      </c>
      <c r="C1316" s="7">
        <v>137446.54900000017</v>
      </c>
      <c r="D1316" s="7">
        <v>170644.71200000017</v>
      </c>
      <c r="E1316" s="7">
        <v>199733.63100000014</v>
      </c>
      <c r="F1316" s="7">
        <f t="shared" si="1"/>
        <v>507824.892</v>
      </c>
      <c r="G1316" s="14">
        <f t="shared" si="2"/>
        <v>-0.001578463452</v>
      </c>
      <c r="I1316" s="12"/>
      <c r="J1316" s="12"/>
      <c r="K1316" s="12"/>
      <c r="L1316" s="12"/>
      <c r="M1316" s="12">
        <v>45000.0</v>
      </c>
      <c r="N1316" s="2">
        <v>389.28</v>
      </c>
      <c r="O1316" s="3" t="s">
        <v>787</v>
      </c>
      <c r="P1316" s="4" t="str">
        <f t="array" ref="P1316">XLOOKUP(O1316,Agregado!$B$2:$B$1511,Agregado!$G$2:$G$1511)</f>
        <v>#N/A</v>
      </c>
    </row>
    <row r="1317" ht="15.75" customHeight="1">
      <c r="B1317" s="13" t="s">
        <v>2236</v>
      </c>
      <c r="C1317" s="7">
        <v>136799.41000000018</v>
      </c>
      <c r="D1317" s="7">
        <v>170328.28900000016</v>
      </c>
      <c r="E1317" s="7">
        <v>199694.73100000015</v>
      </c>
      <c r="F1317" s="7">
        <f t="shared" si="1"/>
        <v>506822.43</v>
      </c>
      <c r="G1317" s="14">
        <f t="shared" si="2"/>
        <v>-0.001975981811</v>
      </c>
      <c r="I1317" s="12"/>
      <c r="J1317" s="12"/>
      <c r="K1317" s="12"/>
      <c r="L1317" s="12"/>
      <c r="M1317" s="12">
        <v>45001.0</v>
      </c>
      <c r="N1317" s="2">
        <v>396.11</v>
      </c>
      <c r="O1317" s="3" t="s">
        <v>788</v>
      </c>
      <c r="P1317" s="4" t="str">
        <f t="array" ref="P1317">XLOOKUP(O1317,Agregado!$B$2:$B$1511,Agregado!$G$2:$G$1511)</f>
        <v>#N/A</v>
      </c>
    </row>
    <row r="1318" ht="15.75" customHeight="1">
      <c r="B1318" s="13" t="s">
        <v>2237</v>
      </c>
      <c r="C1318" s="7">
        <v>132196.5260000002</v>
      </c>
      <c r="D1318" s="7">
        <v>170466.57100000017</v>
      </c>
      <c r="E1318" s="7">
        <v>200311.62700000015</v>
      </c>
      <c r="F1318" s="7">
        <f t="shared" si="1"/>
        <v>502974.724</v>
      </c>
      <c r="G1318" s="14">
        <f t="shared" si="2"/>
        <v>-0.007620787217</v>
      </c>
      <c r="I1318" s="12"/>
      <c r="J1318" s="12"/>
      <c r="K1318" s="12"/>
      <c r="L1318" s="12"/>
      <c r="M1318" s="12">
        <v>45002.0</v>
      </c>
      <c r="N1318" s="2">
        <v>389.99</v>
      </c>
      <c r="O1318" s="3" t="s">
        <v>789</v>
      </c>
      <c r="P1318" s="4" t="str">
        <f t="array" ref="P1318">XLOOKUP(O1318,Agregado!$B$2:$B$1511,Agregado!$G$2:$G$1511)</f>
        <v>#N/A</v>
      </c>
    </row>
    <row r="1319" ht="15.75" customHeight="1">
      <c r="B1319" s="13" t="s">
        <v>2238</v>
      </c>
      <c r="C1319" s="7">
        <v>130930.52500000018</v>
      </c>
      <c r="D1319" s="7">
        <v>170665.23300000018</v>
      </c>
      <c r="E1319" s="7">
        <v>200484.26100000014</v>
      </c>
      <c r="F1319" s="7">
        <f t="shared" si="1"/>
        <v>502080.019</v>
      </c>
      <c r="G1319" s="14">
        <f t="shared" si="2"/>
        <v>-0.001780410953</v>
      </c>
      <c r="I1319" s="12"/>
      <c r="J1319" s="12"/>
      <c r="K1319" s="12"/>
      <c r="L1319" s="12"/>
      <c r="M1319" s="12">
        <v>45005.0</v>
      </c>
      <c r="N1319" s="2">
        <v>393.74</v>
      </c>
      <c r="O1319" s="3" t="s">
        <v>790</v>
      </c>
      <c r="P1319" s="4" t="str">
        <f t="array" ref="P1319">XLOOKUP(O1319,Agregado!$B$2:$B$1511,Agregado!$G$2:$G$1511)</f>
        <v>#N/A</v>
      </c>
    </row>
    <row r="1320" ht="15.75" customHeight="1">
      <c r="B1320" s="13" t="s">
        <v>2239</v>
      </c>
      <c r="C1320" s="7">
        <v>135309.37400000019</v>
      </c>
      <c r="D1320" s="7">
        <v>170943.81700000018</v>
      </c>
      <c r="E1320" s="7">
        <v>200529.87400000016</v>
      </c>
      <c r="F1320" s="7">
        <f t="shared" si="1"/>
        <v>506783.065</v>
      </c>
      <c r="G1320" s="14">
        <f t="shared" si="2"/>
        <v>0.009323524953</v>
      </c>
      <c r="I1320" s="12"/>
      <c r="J1320" s="12"/>
      <c r="K1320" s="12"/>
      <c r="L1320" s="12"/>
      <c r="M1320" s="12">
        <v>45006.0</v>
      </c>
      <c r="N1320" s="2">
        <v>398.91</v>
      </c>
      <c r="O1320" s="3" t="s">
        <v>791</v>
      </c>
      <c r="P1320" s="4" t="str">
        <f t="array" ref="P1320">XLOOKUP(O1320,Agregado!$B$2:$B$1511,Agregado!$G$2:$G$1511)</f>
        <v>#N/A</v>
      </c>
    </row>
    <row r="1321" ht="15.75" customHeight="1">
      <c r="B1321" s="13" t="s">
        <v>2240</v>
      </c>
      <c r="C1321" s="7">
        <v>133924.56000000017</v>
      </c>
      <c r="D1321" s="7">
        <v>171162.3650000002</v>
      </c>
      <c r="E1321" s="7">
        <v>200735.13400000017</v>
      </c>
      <c r="F1321" s="7">
        <f t="shared" si="1"/>
        <v>505822.059</v>
      </c>
      <c r="G1321" s="14">
        <f t="shared" si="2"/>
        <v>-0.001898086956</v>
      </c>
      <c r="I1321" s="12"/>
      <c r="J1321" s="12"/>
      <c r="K1321" s="12"/>
      <c r="L1321" s="12"/>
      <c r="M1321" s="12">
        <v>45007.0</v>
      </c>
      <c r="N1321" s="2">
        <v>392.11</v>
      </c>
      <c r="O1321" s="3" t="s">
        <v>792</v>
      </c>
      <c r="P1321" s="4" t="str">
        <f t="array" ref="P1321">XLOOKUP(O1321,Agregado!$B$2:$B$1511,Agregado!$G$2:$G$1511)</f>
        <v>#N/A</v>
      </c>
    </row>
    <row r="1322" ht="15.75" customHeight="1">
      <c r="B1322" s="13" t="s">
        <v>2241</v>
      </c>
      <c r="C1322" s="7">
        <v>132219.07200000016</v>
      </c>
      <c r="D1322" s="7">
        <v>171424.3260000002</v>
      </c>
      <c r="E1322" s="7">
        <v>200738.53900000016</v>
      </c>
      <c r="F1322" s="7">
        <f t="shared" si="1"/>
        <v>504381.937</v>
      </c>
      <c r="G1322" s="14">
        <f t="shared" si="2"/>
        <v>-0.002851152799</v>
      </c>
      <c r="I1322" s="12"/>
      <c r="J1322" s="12"/>
      <c r="K1322" s="12"/>
      <c r="L1322" s="12"/>
      <c r="M1322" s="12">
        <v>45008.0</v>
      </c>
      <c r="N1322" s="2">
        <v>393.17</v>
      </c>
      <c r="O1322" s="3" t="s">
        <v>793</v>
      </c>
      <c r="P1322" s="4" t="str">
        <f t="array" ref="P1322">XLOOKUP(O1322,Agregado!$B$2:$B$1511,Agregado!$G$2:$G$1511)</f>
        <v>#N/A</v>
      </c>
    </row>
    <row r="1323" ht="15.75" customHeight="1">
      <c r="B1323" s="13" t="s">
        <v>2242</v>
      </c>
      <c r="C1323" s="7">
        <v>134075.80300000016</v>
      </c>
      <c r="D1323" s="7">
        <v>169174.49600000022</v>
      </c>
      <c r="E1323" s="7">
        <v>200852.56200000015</v>
      </c>
      <c r="F1323" s="7">
        <f t="shared" si="1"/>
        <v>504102.861</v>
      </c>
      <c r="G1323" s="14">
        <f t="shared" si="2"/>
        <v>-0.0005534560514</v>
      </c>
      <c r="I1323" s="12"/>
      <c r="J1323" s="12"/>
      <c r="K1323" s="12"/>
      <c r="L1323" s="12"/>
      <c r="M1323" s="12">
        <v>45009.0</v>
      </c>
      <c r="N1323" s="2">
        <v>395.75</v>
      </c>
      <c r="O1323" s="3" t="s">
        <v>794</v>
      </c>
      <c r="P1323" s="4" t="str">
        <f t="array" ref="P1323">XLOOKUP(O1323,Agregado!$B$2:$B$1511,Agregado!$G$2:$G$1511)</f>
        <v>#N/A</v>
      </c>
    </row>
    <row r="1324" ht="15.75" customHeight="1">
      <c r="B1324" s="13" t="s">
        <v>2243</v>
      </c>
      <c r="C1324" s="7">
        <v>131229.93800000017</v>
      </c>
      <c r="D1324" s="7">
        <v>169380.11700000023</v>
      </c>
      <c r="E1324" s="7">
        <v>201281.71600000016</v>
      </c>
      <c r="F1324" s="7">
        <f t="shared" si="1"/>
        <v>501891.771</v>
      </c>
      <c r="G1324" s="14">
        <f t="shared" si="2"/>
        <v>-0.004395835704</v>
      </c>
      <c r="I1324" s="12"/>
      <c r="J1324" s="12"/>
      <c r="K1324" s="12"/>
      <c r="L1324" s="12"/>
      <c r="M1324" s="12">
        <v>45012.0</v>
      </c>
      <c r="N1324" s="2">
        <v>396.49</v>
      </c>
      <c r="O1324" s="3" t="s">
        <v>795</v>
      </c>
      <c r="P1324" s="4" t="str">
        <f t="array" ref="P1324">XLOOKUP(O1324,Agregado!$B$2:$B$1511,Agregado!$G$2:$G$1511)</f>
        <v>#N/A</v>
      </c>
    </row>
    <row r="1325" ht="15.75" customHeight="1">
      <c r="B1325" s="13" t="s">
        <v>2244</v>
      </c>
      <c r="C1325" s="7">
        <v>132298.50900000017</v>
      </c>
      <c r="D1325" s="7">
        <v>169256.28800000023</v>
      </c>
      <c r="E1325" s="7">
        <v>201445.49600000016</v>
      </c>
      <c r="F1325" s="7">
        <f t="shared" si="1"/>
        <v>503000.293</v>
      </c>
      <c r="G1325" s="14">
        <f t="shared" si="2"/>
        <v>0.002206251774</v>
      </c>
      <c r="I1325" s="12"/>
      <c r="J1325" s="12"/>
      <c r="K1325" s="12"/>
      <c r="L1325" s="12"/>
      <c r="M1325" s="12">
        <v>45013.0</v>
      </c>
      <c r="N1325" s="2">
        <v>395.6</v>
      </c>
      <c r="O1325" s="3" t="s">
        <v>796</v>
      </c>
      <c r="P1325" s="4" t="str">
        <f t="array" ref="P1325">XLOOKUP(O1325,Agregado!$B$2:$B$1511,Agregado!$G$2:$G$1511)</f>
        <v>#N/A</v>
      </c>
    </row>
    <row r="1326" ht="15.75" customHeight="1">
      <c r="B1326" s="13" t="s">
        <v>2245</v>
      </c>
      <c r="C1326" s="7">
        <v>130357.45200000016</v>
      </c>
      <c r="D1326" s="7">
        <v>169276.80800000022</v>
      </c>
      <c r="E1326" s="7">
        <v>201496.46400000015</v>
      </c>
      <c r="F1326" s="7">
        <f t="shared" si="1"/>
        <v>501130.724</v>
      </c>
      <c r="G1326" s="14">
        <f t="shared" si="2"/>
        <v>-0.003723759407</v>
      </c>
      <c r="I1326" s="12"/>
      <c r="J1326" s="12"/>
      <c r="K1326" s="12"/>
      <c r="L1326" s="12"/>
      <c r="M1326" s="12">
        <v>45014.0</v>
      </c>
      <c r="N1326" s="2">
        <v>401.35</v>
      </c>
      <c r="O1326" s="3" t="s">
        <v>797</v>
      </c>
      <c r="P1326" s="4" t="str">
        <f t="array" ref="P1326">XLOOKUP(O1326,Agregado!$B$2:$B$1511,Agregado!$G$2:$G$1511)</f>
        <v>#N/A</v>
      </c>
    </row>
    <row r="1327" ht="15.75" customHeight="1">
      <c r="B1327" s="13" t="s">
        <v>2246</v>
      </c>
      <c r="C1327" s="7">
        <v>130520.52200000017</v>
      </c>
      <c r="D1327" s="7">
        <v>169317.75100000022</v>
      </c>
      <c r="E1327" s="7">
        <v>201547.68800000014</v>
      </c>
      <c r="F1327" s="7">
        <f t="shared" si="1"/>
        <v>501385.961</v>
      </c>
      <c r="G1327" s="14">
        <f t="shared" si="2"/>
        <v>0.0005091925338</v>
      </c>
      <c r="I1327" s="12"/>
      <c r="J1327" s="12"/>
      <c r="K1327" s="12"/>
      <c r="L1327" s="12"/>
      <c r="M1327" s="12">
        <v>45015.0</v>
      </c>
      <c r="N1327" s="2">
        <v>403.7</v>
      </c>
      <c r="O1327" s="3" t="s">
        <v>798</v>
      </c>
      <c r="P1327" s="4" t="str">
        <f t="array" ref="P1327">XLOOKUP(O1327,Agregado!$B$2:$B$1511,Agregado!$G$2:$G$1511)</f>
        <v>#N/A</v>
      </c>
    </row>
    <row r="1328" ht="15.75" customHeight="1">
      <c r="B1328" s="13" t="s">
        <v>2247</v>
      </c>
      <c r="C1328" s="7">
        <v>129415.64300000017</v>
      </c>
      <c r="D1328" s="7">
        <v>169523.2440000002</v>
      </c>
      <c r="E1328" s="7">
        <v>201654.00500000015</v>
      </c>
      <c r="F1328" s="7">
        <f t="shared" si="1"/>
        <v>500592.892</v>
      </c>
      <c r="G1328" s="14">
        <f t="shared" si="2"/>
        <v>-0.001583005795</v>
      </c>
      <c r="I1328" s="12"/>
      <c r="J1328" s="12"/>
      <c r="K1328" s="12"/>
      <c r="L1328" s="12"/>
      <c r="M1328" s="12">
        <v>45016.0</v>
      </c>
      <c r="N1328" s="2">
        <v>409.39</v>
      </c>
      <c r="O1328" s="3" t="s">
        <v>799</v>
      </c>
      <c r="P1328" s="4" t="str">
        <f t="array" ref="P1328">XLOOKUP(O1328,Agregado!$B$2:$B$1511,Agregado!$G$2:$G$1511)</f>
        <v>#N/A</v>
      </c>
    </row>
    <row r="1329" ht="15.75" customHeight="1">
      <c r="B1329" s="13" t="s">
        <v>2248</v>
      </c>
      <c r="C1329" s="7">
        <v>129681.90300000017</v>
      </c>
      <c r="D1329" s="7">
        <v>169708.37600000022</v>
      </c>
      <c r="E1329" s="7">
        <v>201812.64900000015</v>
      </c>
      <c r="F1329" s="7">
        <f t="shared" si="1"/>
        <v>501202.928</v>
      </c>
      <c r="G1329" s="14">
        <f t="shared" si="2"/>
        <v>0.001217885048</v>
      </c>
      <c r="I1329" s="12"/>
      <c r="J1329" s="12"/>
      <c r="K1329" s="12"/>
      <c r="L1329" s="12"/>
      <c r="M1329" s="12">
        <v>45019.0</v>
      </c>
      <c r="N1329" s="2">
        <v>410.95</v>
      </c>
      <c r="O1329" s="3">
        <v>44989.0</v>
      </c>
      <c r="P1329" s="4" t="str">
        <f t="array" ref="P1329">XLOOKUP(O1329,Agregado!$B$2:$B$1511,Agregado!$G$2:$G$1511)</f>
        <v>#N/A</v>
      </c>
    </row>
    <row r="1330" ht="15.75" customHeight="1">
      <c r="B1330" s="13" t="s">
        <v>2249</v>
      </c>
      <c r="C1330" s="7">
        <v>131648.04300000018</v>
      </c>
      <c r="D1330" s="7">
        <v>169811.22300000023</v>
      </c>
      <c r="E1330" s="7">
        <v>202003.07000000015</v>
      </c>
      <c r="F1330" s="7">
        <f t="shared" si="1"/>
        <v>503462.336</v>
      </c>
      <c r="G1330" s="14">
        <f t="shared" si="2"/>
        <v>0.004497840007</v>
      </c>
      <c r="I1330" s="12"/>
      <c r="J1330" s="12"/>
      <c r="K1330" s="12"/>
      <c r="L1330" s="12"/>
      <c r="M1330" s="12">
        <v>45020.0</v>
      </c>
      <c r="N1330" s="2">
        <v>408.67</v>
      </c>
      <c r="O1330" s="3">
        <v>45020.0</v>
      </c>
      <c r="P1330" s="4" t="str">
        <f t="array" ref="P1330">XLOOKUP(O1330,Agregado!$B$2:$B$1511,Agregado!$G$2:$G$1511)</f>
        <v>#N/A</v>
      </c>
    </row>
    <row r="1331" ht="15.75" customHeight="1">
      <c r="B1331" s="13" t="s">
        <v>2250</v>
      </c>
      <c r="C1331" s="7">
        <v>134279.1780000002</v>
      </c>
      <c r="D1331" s="7">
        <v>169770.25400000022</v>
      </c>
      <c r="E1331" s="7">
        <v>202335.27100000015</v>
      </c>
      <c r="F1331" s="7">
        <f t="shared" si="1"/>
        <v>506384.703</v>
      </c>
      <c r="G1331" s="14">
        <f t="shared" si="2"/>
        <v>0.005787758037</v>
      </c>
      <c r="I1331" s="12"/>
      <c r="J1331" s="12"/>
      <c r="K1331" s="12"/>
      <c r="L1331" s="12"/>
      <c r="M1331" s="12">
        <v>45021.0</v>
      </c>
      <c r="N1331" s="2">
        <v>407.6</v>
      </c>
      <c r="O1331" s="3">
        <v>45050.0</v>
      </c>
      <c r="P1331" s="4" t="str">
        <f t="array" ref="P1331">XLOOKUP(O1331,Agregado!$B$2:$B$1511,Agregado!$G$2:$G$1511)</f>
        <v>#N/A</v>
      </c>
    </row>
    <row r="1332" ht="15.75" customHeight="1">
      <c r="B1332" s="13" t="s">
        <v>2251</v>
      </c>
      <c r="C1332" s="7">
        <v>135974.1060000002</v>
      </c>
      <c r="D1332" s="7">
        <v>169832.53300000023</v>
      </c>
      <c r="E1332" s="7">
        <v>202390.85400000017</v>
      </c>
      <c r="F1332" s="7">
        <f t="shared" si="1"/>
        <v>508197.493</v>
      </c>
      <c r="G1332" s="14">
        <f t="shared" si="2"/>
        <v>0.003573474749</v>
      </c>
      <c r="I1332" s="12"/>
      <c r="J1332" s="12"/>
      <c r="K1332" s="12"/>
      <c r="L1332" s="12"/>
      <c r="M1332" s="12">
        <v>45022.0</v>
      </c>
      <c r="N1332" s="2">
        <v>409.19</v>
      </c>
      <c r="O1332" s="3">
        <v>45081.0</v>
      </c>
      <c r="P1332" s="4" t="str">
        <f t="array" ref="P1332">XLOOKUP(O1332,Agregado!$B$2:$B$1511,Agregado!$G$2:$G$1511)</f>
        <v>#N/A</v>
      </c>
    </row>
    <row r="1333" ht="15.75" customHeight="1">
      <c r="B1333" s="13" t="s">
        <v>2252</v>
      </c>
      <c r="C1333" s="7">
        <v>135891.5980000002</v>
      </c>
      <c r="D1333" s="7">
        <v>170081.13300000023</v>
      </c>
      <c r="E1333" s="7">
        <v>202532.66700000016</v>
      </c>
      <c r="F1333" s="7">
        <f t="shared" si="1"/>
        <v>508505.398</v>
      </c>
      <c r="G1333" s="14">
        <f t="shared" si="2"/>
        <v>0.0006056931915</v>
      </c>
      <c r="I1333" s="12"/>
      <c r="J1333" s="12"/>
      <c r="K1333" s="12"/>
      <c r="L1333" s="12"/>
      <c r="M1333" s="12">
        <v>45026.0</v>
      </c>
      <c r="N1333" s="2">
        <v>409.61</v>
      </c>
      <c r="O1333" s="3">
        <v>45203.0</v>
      </c>
      <c r="P1333" s="4" t="str">
        <f t="array" ref="P1333">XLOOKUP(O1333,Agregado!$B$2:$B$1511,Agregado!$G$2:$G$1511)</f>
        <v>#N/A</v>
      </c>
    </row>
    <row r="1334" ht="15.75" customHeight="1">
      <c r="B1334" s="13" t="s">
        <v>2253</v>
      </c>
      <c r="C1334" s="7">
        <v>134918.9100000002</v>
      </c>
      <c r="D1334" s="7">
        <v>170185.06100000025</v>
      </c>
      <c r="E1334" s="7">
        <v>202612.72600000017</v>
      </c>
      <c r="F1334" s="7">
        <f t="shared" si="1"/>
        <v>507716.697</v>
      </c>
      <c r="G1334" s="14">
        <f t="shared" si="2"/>
        <v>-0.001552222024</v>
      </c>
      <c r="I1334" s="12"/>
      <c r="J1334" s="12"/>
      <c r="K1334" s="12"/>
      <c r="L1334" s="12"/>
      <c r="M1334" s="12">
        <v>45027.0</v>
      </c>
      <c r="N1334" s="2">
        <v>409.72</v>
      </c>
      <c r="O1334" s="3">
        <v>45234.0</v>
      </c>
      <c r="P1334" s="4" t="str">
        <f t="array" ref="P1334">XLOOKUP(O1334,Agregado!$B$2:$B$1511,Agregado!$G$2:$G$1511)</f>
        <v>#N/A</v>
      </c>
    </row>
    <row r="1335" ht="15.75" customHeight="1">
      <c r="B1335" s="13" t="s">
        <v>2254</v>
      </c>
      <c r="C1335" s="7">
        <v>133986.81900000022</v>
      </c>
      <c r="D1335" s="7">
        <v>170247.47100000025</v>
      </c>
      <c r="E1335" s="7">
        <v>202868.48200000016</v>
      </c>
      <c r="F1335" s="7">
        <f t="shared" si="1"/>
        <v>507102.772</v>
      </c>
      <c r="G1335" s="14">
        <f t="shared" si="2"/>
        <v>-0.001209919781</v>
      </c>
      <c r="I1335" s="12"/>
      <c r="J1335" s="12"/>
      <c r="K1335" s="12"/>
      <c r="L1335" s="12"/>
      <c r="M1335" s="12">
        <v>45028.0</v>
      </c>
      <c r="N1335" s="2">
        <v>408.05</v>
      </c>
      <c r="O1335" s="3">
        <v>45264.0</v>
      </c>
      <c r="P1335" s="4" t="str">
        <f t="array" ref="P1335">XLOOKUP(O1335,Agregado!$B$2:$B$1511,Agregado!$G$2:$G$1511)</f>
        <v>#N/A</v>
      </c>
    </row>
    <row r="1336" ht="15.75" customHeight="1">
      <c r="B1336" s="13" t="s">
        <v>2255</v>
      </c>
      <c r="C1336" s="7">
        <v>133199.7900000002</v>
      </c>
      <c r="D1336" s="7">
        <v>170372.28000000026</v>
      </c>
      <c r="E1336" s="7">
        <v>202986.45300000015</v>
      </c>
      <c r="F1336" s="7">
        <f t="shared" si="1"/>
        <v>506558.523</v>
      </c>
      <c r="G1336" s="14">
        <f t="shared" si="2"/>
        <v>-0.00107382822</v>
      </c>
      <c r="I1336" s="12"/>
      <c r="J1336" s="12"/>
      <c r="K1336" s="12"/>
      <c r="L1336" s="12"/>
      <c r="M1336" s="12">
        <v>45029.0</v>
      </c>
      <c r="N1336" s="2">
        <v>413.47</v>
      </c>
      <c r="O1336" s="3" t="s">
        <v>800</v>
      </c>
      <c r="P1336" s="4" t="str">
        <f t="array" ref="P1336">XLOOKUP(O1336,Agregado!$B$2:$B$1511,Agregado!$G$2:$G$1511)</f>
        <v>#N/A</v>
      </c>
    </row>
    <row r="1337" ht="15.75" customHeight="1">
      <c r="B1337" s="13" t="s">
        <v>2256</v>
      </c>
      <c r="C1337" s="7">
        <v>133858.68100000022</v>
      </c>
      <c r="D1337" s="7">
        <v>170682.47800000026</v>
      </c>
      <c r="E1337" s="7">
        <v>203253.99700000015</v>
      </c>
      <c r="F1337" s="7">
        <f t="shared" si="1"/>
        <v>507795.156</v>
      </c>
      <c r="G1337" s="14">
        <f t="shared" si="2"/>
        <v>0.002438269093</v>
      </c>
      <c r="I1337" s="12"/>
      <c r="J1337" s="12"/>
      <c r="K1337" s="12"/>
      <c r="L1337" s="12"/>
      <c r="M1337" s="12">
        <v>45030.0</v>
      </c>
      <c r="N1337" s="2">
        <v>412.46</v>
      </c>
      <c r="O1337" s="3" t="s">
        <v>801</v>
      </c>
      <c r="P1337" s="4" t="str">
        <f t="array" ref="P1337">XLOOKUP(O1337,Agregado!$B$2:$B$1511,Agregado!$G$2:$G$1511)</f>
        <v>#N/A</v>
      </c>
    </row>
    <row r="1338" ht="15.75" customHeight="1">
      <c r="B1338" s="13" t="s">
        <v>2257</v>
      </c>
      <c r="C1338" s="7">
        <v>134703.6550000002</v>
      </c>
      <c r="D1338" s="7">
        <v>170723.87600000025</v>
      </c>
      <c r="E1338" s="7">
        <v>203321.02900000016</v>
      </c>
      <c r="F1338" s="7">
        <f t="shared" si="1"/>
        <v>508748.56</v>
      </c>
      <c r="G1338" s="14">
        <f t="shared" si="2"/>
        <v>0.00187577625</v>
      </c>
      <c r="I1338" s="12"/>
      <c r="J1338" s="12"/>
      <c r="K1338" s="12"/>
      <c r="L1338" s="12"/>
      <c r="M1338" s="12">
        <v>45033.0</v>
      </c>
      <c r="N1338" s="2">
        <v>413.94</v>
      </c>
      <c r="O1338" s="3" t="s">
        <v>802</v>
      </c>
      <c r="P1338" s="4" t="str">
        <f t="array" ref="P1338">XLOOKUP(O1338,Agregado!$B$2:$B$1511,Agregado!$G$2:$G$1511)</f>
        <v>#N/A</v>
      </c>
    </row>
    <row r="1339" ht="15.75" customHeight="1">
      <c r="B1339" s="13" t="s">
        <v>2258</v>
      </c>
      <c r="C1339" s="7">
        <v>137838.8990000002</v>
      </c>
      <c r="D1339" s="7">
        <v>170350.97900000025</v>
      </c>
      <c r="E1339" s="7">
        <v>203437.73200000016</v>
      </c>
      <c r="F1339" s="7">
        <f t="shared" si="1"/>
        <v>511627.61</v>
      </c>
      <c r="G1339" s="14">
        <f t="shared" si="2"/>
        <v>0.005643129906</v>
      </c>
      <c r="I1339" s="12"/>
      <c r="J1339" s="12"/>
      <c r="K1339" s="12"/>
      <c r="L1339" s="12"/>
      <c r="M1339" s="12">
        <v>45034.0</v>
      </c>
      <c r="N1339" s="2">
        <v>414.21</v>
      </c>
      <c r="O1339" s="3" t="s">
        <v>803</v>
      </c>
      <c r="P1339" s="4" t="str">
        <f t="array" ref="P1339">XLOOKUP(O1339,Agregado!$B$2:$B$1511,Agregado!$G$2:$G$1511)</f>
        <v>#N/A</v>
      </c>
    </row>
    <row r="1340" ht="15.75" customHeight="1">
      <c r="B1340" s="13" t="s">
        <v>2259</v>
      </c>
      <c r="C1340" s="7">
        <v>138996.0950000002</v>
      </c>
      <c r="D1340" s="7">
        <v>169902.40400000024</v>
      </c>
      <c r="E1340" s="7">
        <v>203573.23000000016</v>
      </c>
      <c r="F1340" s="7">
        <f t="shared" si="1"/>
        <v>512471.729</v>
      </c>
      <c r="G1340" s="14">
        <f t="shared" si="2"/>
        <v>0.001648510372</v>
      </c>
      <c r="I1340" s="12"/>
      <c r="J1340" s="12"/>
      <c r="K1340" s="12"/>
      <c r="L1340" s="12"/>
      <c r="M1340" s="12">
        <v>45035.0</v>
      </c>
      <c r="N1340" s="2">
        <v>414.14</v>
      </c>
      <c r="O1340" s="3" t="s">
        <v>804</v>
      </c>
      <c r="P1340" s="4" t="str">
        <f t="array" ref="P1340">XLOOKUP(O1340,Agregado!$B$2:$B$1511,Agregado!$G$2:$G$1511)</f>
        <v>#N/A</v>
      </c>
    </row>
    <row r="1341" ht="15.75" customHeight="1">
      <c r="B1341" s="13" t="s">
        <v>2260</v>
      </c>
      <c r="C1341" s="7">
        <v>137580.4240000002</v>
      </c>
      <c r="D1341" s="7">
        <v>170633.61900000024</v>
      </c>
      <c r="E1341" s="7">
        <v>203689.92900000015</v>
      </c>
      <c r="F1341" s="7">
        <f t="shared" si="1"/>
        <v>511903.972</v>
      </c>
      <c r="G1341" s="14">
        <f t="shared" si="2"/>
        <v>-0.001108493803</v>
      </c>
      <c r="I1341" s="12"/>
      <c r="J1341" s="12"/>
      <c r="K1341" s="12"/>
      <c r="L1341" s="12"/>
      <c r="M1341" s="12">
        <v>45036.0</v>
      </c>
      <c r="N1341" s="2">
        <v>411.88</v>
      </c>
      <c r="O1341" s="3" t="s">
        <v>805</v>
      </c>
      <c r="P1341" s="4" t="str">
        <f t="array" ref="P1341">XLOOKUP(O1341,Agregado!$B$2:$B$1511,Agregado!$G$2:$G$1511)</f>
        <v>#N/A</v>
      </c>
    </row>
    <row r="1342" ht="15.75" customHeight="1">
      <c r="B1342" s="13" t="s">
        <v>2261</v>
      </c>
      <c r="C1342" s="7">
        <v>133683.3380000002</v>
      </c>
      <c r="D1342" s="7">
        <v>170654.32800000024</v>
      </c>
      <c r="E1342" s="7">
        <v>203852.39700000014</v>
      </c>
      <c r="F1342" s="7">
        <f t="shared" si="1"/>
        <v>508190.063</v>
      </c>
      <c r="G1342" s="14">
        <f t="shared" si="2"/>
        <v>-0.007281535392</v>
      </c>
      <c r="I1342" s="12"/>
      <c r="J1342" s="12"/>
      <c r="K1342" s="12"/>
      <c r="L1342" s="12"/>
      <c r="M1342" s="12">
        <v>45037.0</v>
      </c>
      <c r="N1342" s="2">
        <v>412.2</v>
      </c>
      <c r="O1342" s="3" t="s">
        <v>806</v>
      </c>
      <c r="P1342" s="4" t="str">
        <f t="array" ref="P1342">XLOOKUP(O1342,Agregado!$B$2:$B$1511,Agregado!$G$2:$G$1511)</f>
        <v>#N/A</v>
      </c>
    </row>
    <row r="1343" ht="15.75" customHeight="1">
      <c r="B1343" s="13" t="s">
        <v>2262</v>
      </c>
      <c r="C1343" s="7">
        <v>130980.4410000002</v>
      </c>
      <c r="D1343" s="7">
        <v>170779.62400000024</v>
      </c>
      <c r="E1343" s="7">
        <v>204172.02300000013</v>
      </c>
      <c r="F1343" s="7">
        <f t="shared" si="1"/>
        <v>505932.088</v>
      </c>
      <c r="G1343" s="14">
        <f t="shared" si="2"/>
        <v>-0.004453070528</v>
      </c>
      <c r="I1343" s="12"/>
      <c r="J1343" s="12"/>
      <c r="K1343" s="12"/>
      <c r="L1343" s="12"/>
      <c r="M1343" s="12">
        <v>45040.0</v>
      </c>
      <c r="N1343" s="2">
        <v>412.63</v>
      </c>
      <c r="O1343" s="3" t="s">
        <v>807</v>
      </c>
      <c r="P1343" s="4" t="str">
        <f t="array" ref="P1343">XLOOKUP(O1343,Agregado!$B$2:$B$1511,Agregado!$G$2:$G$1511)</f>
        <v>#N/A</v>
      </c>
    </row>
    <row r="1344" ht="15.75" customHeight="1">
      <c r="B1344" s="13" t="s">
        <v>2263</v>
      </c>
      <c r="C1344" s="7">
        <v>133162.6680000002</v>
      </c>
      <c r="D1344" s="7">
        <v>170800.49800000025</v>
      </c>
      <c r="E1344" s="7">
        <v>204311.16600000014</v>
      </c>
      <c r="F1344" s="7">
        <f t="shared" si="1"/>
        <v>508274.332</v>
      </c>
      <c r="G1344" s="14">
        <f t="shared" si="2"/>
        <v>0.004618878599</v>
      </c>
      <c r="I1344" s="12"/>
      <c r="J1344" s="12"/>
      <c r="K1344" s="12"/>
      <c r="L1344" s="12"/>
      <c r="M1344" s="12">
        <v>45041.0</v>
      </c>
      <c r="N1344" s="2">
        <v>406.08</v>
      </c>
      <c r="O1344" s="3" t="s">
        <v>808</v>
      </c>
      <c r="P1344" s="4" t="str">
        <f t="array" ref="P1344">XLOOKUP(O1344,Agregado!$B$2:$B$1511,Agregado!$G$2:$G$1511)</f>
        <v>#N/A</v>
      </c>
    </row>
    <row r="1345" ht="15.75" customHeight="1">
      <c r="B1345" s="13" t="s">
        <v>2264</v>
      </c>
      <c r="C1345" s="7">
        <v>130923.50700000022</v>
      </c>
      <c r="D1345" s="7">
        <v>170883.02800000025</v>
      </c>
      <c r="E1345" s="7">
        <v>204390.45700000014</v>
      </c>
      <c r="F1345" s="7">
        <f t="shared" si="1"/>
        <v>506196.992</v>
      </c>
      <c r="G1345" s="14">
        <f t="shared" si="2"/>
        <v>-0.004095419662</v>
      </c>
      <c r="I1345" s="12"/>
      <c r="J1345" s="12"/>
      <c r="K1345" s="12"/>
      <c r="L1345" s="12"/>
      <c r="M1345" s="12">
        <v>45042.0</v>
      </c>
      <c r="N1345" s="2">
        <v>404.36</v>
      </c>
      <c r="O1345" s="3" t="s">
        <v>809</v>
      </c>
      <c r="P1345" s="4" t="str">
        <f t="array" ref="P1345">XLOOKUP(O1345,Agregado!$B$2:$B$1511,Agregado!$G$2:$G$1511)</f>
        <v>#N/A</v>
      </c>
    </row>
    <row r="1346" ht="15.75" customHeight="1">
      <c r="B1346" s="13" t="s">
        <v>2265</v>
      </c>
      <c r="C1346" s="7">
        <v>131290.7010000002</v>
      </c>
      <c r="D1346" s="7">
        <v>170862.53900000025</v>
      </c>
      <c r="E1346" s="7">
        <v>204489.02500000014</v>
      </c>
      <c r="F1346" s="7">
        <f t="shared" si="1"/>
        <v>506642.265</v>
      </c>
      <c r="G1346" s="14">
        <f t="shared" si="2"/>
        <v>0.0008792570501</v>
      </c>
      <c r="I1346" s="12"/>
      <c r="J1346" s="12"/>
      <c r="K1346" s="12"/>
      <c r="L1346" s="12"/>
      <c r="M1346" s="12">
        <v>45043.0</v>
      </c>
      <c r="N1346" s="2">
        <v>412.41</v>
      </c>
      <c r="O1346" s="3" t="s">
        <v>810</v>
      </c>
      <c r="P1346" s="4" t="str">
        <f t="array" ref="P1346">XLOOKUP(O1346,Agregado!$B$2:$B$1511,Agregado!$G$2:$G$1511)</f>
        <v>#N/A</v>
      </c>
    </row>
    <row r="1347" ht="15.75" customHeight="1">
      <c r="B1347" s="13" t="s">
        <v>2266</v>
      </c>
      <c r="C1347" s="7">
        <v>132992.0990000002</v>
      </c>
      <c r="D1347" s="7">
        <v>170720.13800000024</v>
      </c>
      <c r="E1347" s="7">
        <v>204477.31900000013</v>
      </c>
      <c r="F1347" s="7">
        <f t="shared" si="1"/>
        <v>508189.556</v>
      </c>
      <c r="G1347" s="14">
        <f t="shared" si="2"/>
        <v>0.003049356882</v>
      </c>
      <c r="I1347" s="12"/>
      <c r="J1347" s="12"/>
      <c r="K1347" s="12"/>
      <c r="L1347" s="12"/>
      <c r="M1347" s="12">
        <v>45044.0</v>
      </c>
      <c r="N1347" s="2">
        <v>415.93</v>
      </c>
      <c r="O1347" s="3" t="s">
        <v>811</v>
      </c>
      <c r="P1347" s="4" t="str">
        <f t="array" ref="P1347">XLOOKUP(O1347,Agregado!$B$2:$B$1511,Agregado!$G$2:$G$1511)</f>
        <v>#N/A</v>
      </c>
    </row>
    <row r="1348" ht="15.75" customHeight="1">
      <c r="B1348" s="13" t="s">
        <v>2267</v>
      </c>
      <c r="C1348" s="7">
        <v>135921.4840000002</v>
      </c>
      <c r="D1348" s="7">
        <v>170699.41800000024</v>
      </c>
      <c r="E1348" s="7">
        <v>204698.51400000014</v>
      </c>
      <c r="F1348" s="7">
        <f t="shared" si="1"/>
        <v>511319.416</v>
      </c>
      <c r="G1348" s="14">
        <f t="shared" si="2"/>
        <v>0.006139955447</v>
      </c>
      <c r="I1348" s="12"/>
      <c r="J1348" s="12"/>
      <c r="K1348" s="12"/>
      <c r="L1348" s="12"/>
      <c r="M1348" s="12">
        <v>45047.0</v>
      </c>
      <c r="N1348" s="2">
        <v>415.51</v>
      </c>
      <c r="O1348" s="3">
        <v>44931.0</v>
      </c>
      <c r="P1348" s="4" t="str">
        <f t="array" ref="P1348">XLOOKUP(O1348,Agregado!$B$2:$B$1511,Agregado!$G$2:$G$1511)</f>
        <v>#N/A</v>
      </c>
    </row>
    <row r="1349" ht="15.75" customHeight="1">
      <c r="B1349" s="13" t="s">
        <v>2268</v>
      </c>
      <c r="C1349" s="7">
        <v>136808.9650000002</v>
      </c>
      <c r="D1349" s="7">
        <v>170740.87700000024</v>
      </c>
      <c r="E1349" s="7">
        <v>204572.79400000014</v>
      </c>
      <c r="F1349" s="7">
        <f t="shared" si="1"/>
        <v>512122.636</v>
      </c>
      <c r="G1349" s="14">
        <f t="shared" si="2"/>
        <v>0.001569644639</v>
      </c>
      <c r="I1349" s="12"/>
      <c r="J1349" s="12"/>
      <c r="K1349" s="12"/>
      <c r="L1349" s="12"/>
      <c r="M1349" s="12">
        <v>45048.0</v>
      </c>
      <c r="N1349" s="2">
        <v>410.84</v>
      </c>
      <c r="O1349" s="3">
        <v>44962.0</v>
      </c>
      <c r="P1349" s="4" t="str">
        <f t="array" ref="P1349">XLOOKUP(O1349,Agregado!$B$2:$B$1511,Agregado!$G$2:$G$1511)</f>
        <v>#N/A</v>
      </c>
    </row>
    <row r="1350" ht="15.75" customHeight="1">
      <c r="B1350" s="13" t="s">
        <v>2269</v>
      </c>
      <c r="C1350" s="7">
        <v>135329.6450000002</v>
      </c>
      <c r="D1350" s="7">
        <v>170555.15200000023</v>
      </c>
      <c r="E1350" s="7">
        <v>204603.99800000014</v>
      </c>
      <c r="F1350" s="7">
        <f t="shared" si="1"/>
        <v>510488.795</v>
      </c>
      <c r="G1350" s="14">
        <f t="shared" si="2"/>
        <v>-0.003195431502</v>
      </c>
      <c r="I1350" s="12"/>
      <c r="J1350" s="12"/>
      <c r="K1350" s="12"/>
      <c r="L1350" s="12"/>
      <c r="M1350" s="12">
        <v>45049.0</v>
      </c>
      <c r="N1350" s="2">
        <v>408.02</v>
      </c>
      <c r="O1350" s="3">
        <v>44990.0</v>
      </c>
      <c r="P1350" s="4" t="str">
        <f t="array" ref="P1350">XLOOKUP(O1350,Agregado!$B$2:$B$1511,Agregado!$G$2:$G$1511)</f>
        <v>#N/A</v>
      </c>
    </row>
    <row r="1351" ht="15.75" customHeight="1">
      <c r="B1351" s="13" t="s">
        <v>2270</v>
      </c>
      <c r="C1351" s="7">
        <v>138239.6910000002</v>
      </c>
      <c r="D1351" s="7">
        <v>170264.94300000023</v>
      </c>
      <c r="E1351" s="7">
        <v>204568.42300000013</v>
      </c>
      <c r="F1351" s="7">
        <f t="shared" si="1"/>
        <v>513073.057</v>
      </c>
      <c r="G1351" s="14">
        <f t="shared" si="2"/>
        <v>0.005049558043</v>
      </c>
      <c r="I1351" s="12"/>
      <c r="J1351" s="12"/>
      <c r="K1351" s="12"/>
      <c r="L1351" s="12"/>
      <c r="M1351" s="12">
        <v>45050.0</v>
      </c>
      <c r="N1351" s="2">
        <v>405.13</v>
      </c>
      <c r="O1351" s="3">
        <v>45021.0</v>
      </c>
      <c r="P1351" s="4" t="str">
        <f t="array" ref="P1351">XLOOKUP(O1351,Agregado!$B$2:$B$1511,Agregado!$G$2:$G$1511)</f>
        <v>#N/A</v>
      </c>
    </row>
    <row r="1352" ht="15.75" customHeight="1">
      <c r="B1352" s="13" t="s">
        <v>2271</v>
      </c>
      <c r="C1352" s="7">
        <v>138095.4350000002</v>
      </c>
      <c r="D1352" s="7">
        <v>169064.43700000024</v>
      </c>
      <c r="E1352" s="7">
        <v>204632.75700000013</v>
      </c>
      <c r="F1352" s="7">
        <f t="shared" si="1"/>
        <v>511792.629</v>
      </c>
      <c r="G1352" s="14">
        <f t="shared" si="2"/>
        <v>-0.002498724826</v>
      </c>
      <c r="I1352" s="12"/>
      <c r="J1352" s="12"/>
      <c r="K1352" s="12"/>
      <c r="L1352" s="12"/>
      <c r="M1352" s="12">
        <v>45051.0</v>
      </c>
      <c r="N1352" s="2">
        <v>412.63</v>
      </c>
      <c r="O1352" s="3">
        <v>45051.0</v>
      </c>
      <c r="P1352" s="4" t="str">
        <f t="array" ref="P1352">XLOOKUP(O1352,Agregado!$B$2:$B$1511,Agregado!$G$2:$G$1511)</f>
        <v>#N/A</v>
      </c>
    </row>
    <row r="1353" ht="15.75" customHeight="1">
      <c r="B1353" s="13" t="s">
        <v>2272</v>
      </c>
      <c r="C1353" s="7">
        <v>137869.05600000022</v>
      </c>
      <c r="D1353" s="7">
        <v>169002.42600000024</v>
      </c>
      <c r="E1353" s="7">
        <v>204644.06700000013</v>
      </c>
      <c r="F1353" s="7">
        <f t="shared" si="1"/>
        <v>511515.549</v>
      </c>
      <c r="G1353" s="14">
        <f t="shared" si="2"/>
        <v>-0.0005415377552</v>
      </c>
      <c r="I1353" s="12"/>
      <c r="J1353" s="12"/>
      <c r="K1353" s="12"/>
      <c r="L1353" s="12"/>
      <c r="M1353" s="12">
        <v>45054.0</v>
      </c>
      <c r="N1353" s="2">
        <v>412.74</v>
      </c>
      <c r="O1353" s="3">
        <v>45143.0</v>
      </c>
      <c r="P1353" s="4" t="str">
        <f t="array" ref="P1353">XLOOKUP(O1353,Agregado!$B$2:$B$1511,Agregado!$G$2:$G$1511)</f>
        <v>#N/A</v>
      </c>
    </row>
    <row r="1354" ht="15.75" customHeight="1">
      <c r="B1354" s="13" t="s">
        <v>2273</v>
      </c>
      <c r="C1354" s="7">
        <v>138447.07200000022</v>
      </c>
      <c r="D1354" s="7">
        <v>169002.42600000024</v>
      </c>
      <c r="E1354" s="7">
        <v>204875.70800000013</v>
      </c>
      <c r="F1354" s="7">
        <f t="shared" si="1"/>
        <v>512325.206</v>
      </c>
      <c r="G1354" s="14">
        <f t="shared" si="2"/>
        <v>0.001581607618</v>
      </c>
      <c r="I1354" s="12"/>
      <c r="J1354" s="12"/>
      <c r="K1354" s="12"/>
      <c r="L1354" s="12"/>
      <c r="M1354" s="12">
        <v>45055.0</v>
      </c>
      <c r="N1354" s="2">
        <v>410.93</v>
      </c>
      <c r="O1354" s="3">
        <v>45174.0</v>
      </c>
      <c r="P1354" s="4" t="str">
        <f t="array" ref="P1354">XLOOKUP(O1354,Agregado!$B$2:$B$1511,Agregado!$G$2:$G$1511)</f>
        <v>#N/A</v>
      </c>
    </row>
    <row r="1355" ht="15.75" customHeight="1">
      <c r="B1355" s="13" t="s">
        <v>2274</v>
      </c>
      <c r="C1355" s="7">
        <v>137811.16700000022</v>
      </c>
      <c r="D1355" s="7">
        <v>168981.82300000024</v>
      </c>
      <c r="E1355" s="7">
        <v>205000.50900000014</v>
      </c>
      <c r="F1355" s="7">
        <f t="shared" si="1"/>
        <v>511793.499</v>
      </c>
      <c r="G1355" s="14">
        <f t="shared" si="2"/>
        <v>-0.001038369957</v>
      </c>
      <c r="I1355" s="12"/>
      <c r="J1355" s="12"/>
      <c r="K1355" s="12"/>
      <c r="L1355" s="12"/>
      <c r="M1355" s="12">
        <v>45056.0</v>
      </c>
      <c r="N1355" s="2">
        <v>412.85</v>
      </c>
      <c r="O1355" s="3">
        <v>45204.0</v>
      </c>
      <c r="P1355" s="4" t="str">
        <f t="array" ref="P1355">XLOOKUP(O1355,Agregado!$B$2:$B$1511,Agregado!$G$2:$G$1511)</f>
        <v>#N/A</v>
      </c>
    </row>
    <row r="1356" ht="15.75" customHeight="1">
      <c r="B1356" s="13" t="s">
        <v>2275</v>
      </c>
      <c r="C1356" s="7">
        <v>136129.55600000022</v>
      </c>
      <c r="D1356" s="7">
        <v>168835.85800000024</v>
      </c>
      <c r="E1356" s="7">
        <v>204960.12000000014</v>
      </c>
      <c r="F1356" s="7">
        <f t="shared" si="1"/>
        <v>509925.534</v>
      </c>
      <c r="G1356" s="14">
        <f t="shared" si="2"/>
        <v>-0.003656518125</v>
      </c>
      <c r="I1356" s="12"/>
      <c r="J1356" s="12"/>
      <c r="K1356" s="12"/>
      <c r="L1356" s="12"/>
      <c r="M1356" s="12">
        <v>45057.0</v>
      </c>
      <c r="N1356" s="2">
        <v>412.13</v>
      </c>
      <c r="O1356" s="3">
        <v>45235.0</v>
      </c>
      <c r="P1356" s="4" t="str">
        <f t="array" ref="P1356">XLOOKUP(O1356,Agregado!$B$2:$B$1511,Agregado!$G$2:$G$1511)</f>
        <v>#N/A</v>
      </c>
    </row>
    <row r="1357" ht="15.75" customHeight="1">
      <c r="B1357" s="13" t="s">
        <v>2276</v>
      </c>
      <c r="C1357" s="7">
        <v>139818.52000000022</v>
      </c>
      <c r="D1357" s="7">
        <v>168877.96400000024</v>
      </c>
      <c r="E1357" s="7">
        <v>205154.27300000013</v>
      </c>
      <c r="F1357" s="7">
        <f t="shared" si="1"/>
        <v>513850.757</v>
      </c>
      <c r="G1357" s="14">
        <f t="shared" si="2"/>
        <v>0.00766816397</v>
      </c>
      <c r="I1357" s="12"/>
      <c r="J1357" s="12"/>
      <c r="K1357" s="12"/>
      <c r="L1357" s="12"/>
      <c r="M1357" s="12">
        <v>45058.0</v>
      </c>
      <c r="N1357" s="2">
        <v>411.59</v>
      </c>
      <c r="O1357" s="3">
        <v>45265.0</v>
      </c>
      <c r="P1357" s="4" t="str">
        <f t="array" ref="P1357">XLOOKUP(O1357,Agregado!$B$2:$B$1511,Agregado!$G$2:$G$1511)</f>
        <v>#N/A</v>
      </c>
    </row>
    <row r="1358" ht="15.75" customHeight="1">
      <c r="B1358" s="13" t="s">
        <v>2277</v>
      </c>
      <c r="C1358" s="7">
        <v>142665.02000000022</v>
      </c>
      <c r="D1358" s="7">
        <v>169025.12400000024</v>
      </c>
      <c r="E1358" s="7">
        <v>205253.35500000013</v>
      </c>
      <c r="F1358" s="7">
        <f t="shared" si="1"/>
        <v>516943.499</v>
      </c>
      <c r="G1358" s="14">
        <f t="shared" si="2"/>
        <v>0.006000715007</v>
      </c>
      <c r="I1358" s="12"/>
      <c r="J1358" s="12"/>
      <c r="K1358" s="12"/>
      <c r="L1358" s="12"/>
      <c r="M1358" s="12">
        <v>45061.0</v>
      </c>
      <c r="N1358" s="2">
        <v>413.01</v>
      </c>
      <c r="O1358" s="3" t="s">
        <v>812</v>
      </c>
      <c r="P1358" s="4" t="str">
        <f t="array" ref="P1358">XLOOKUP(O1358,Agregado!$B$2:$B$1511,Agregado!$G$2:$G$1511)</f>
        <v>#N/A</v>
      </c>
    </row>
    <row r="1359" ht="15.75" customHeight="1">
      <c r="B1359" s="13" t="s">
        <v>2278</v>
      </c>
      <c r="C1359" s="7">
        <v>141408.87500000023</v>
      </c>
      <c r="D1359" s="7">
        <v>168856.89600000024</v>
      </c>
      <c r="E1359" s="7">
        <v>205293.23500000013</v>
      </c>
      <c r="F1359" s="7">
        <f t="shared" si="1"/>
        <v>515559.006</v>
      </c>
      <c r="G1359" s="14">
        <f t="shared" si="2"/>
        <v>-0.002681821735</v>
      </c>
      <c r="I1359" s="12"/>
      <c r="J1359" s="12"/>
      <c r="K1359" s="12"/>
      <c r="L1359" s="12"/>
      <c r="M1359" s="12">
        <v>45062.0</v>
      </c>
      <c r="N1359" s="2">
        <v>410.25</v>
      </c>
      <c r="O1359" s="3" t="s">
        <v>813</v>
      </c>
      <c r="P1359" s="4" t="str">
        <f t="array" ref="P1359">XLOOKUP(O1359,Agregado!$B$2:$B$1511,Agregado!$G$2:$G$1511)</f>
        <v>#N/A</v>
      </c>
    </row>
    <row r="1360" ht="15.75" customHeight="1">
      <c r="B1360" s="13" t="s">
        <v>2279</v>
      </c>
      <c r="C1360" s="7">
        <v>139980.45600000024</v>
      </c>
      <c r="D1360" s="7">
        <v>168752.93100000024</v>
      </c>
      <c r="E1360" s="7">
        <v>205345.33100000012</v>
      </c>
      <c r="F1360" s="7">
        <f t="shared" si="1"/>
        <v>514078.718</v>
      </c>
      <c r="G1360" s="14">
        <f t="shared" si="2"/>
        <v>-0.002875358945</v>
      </c>
      <c r="I1360" s="12"/>
      <c r="J1360" s="12"/>
      <c r="K1360" s="12"/>
      <c r="L1360" s="12"/>
      <c r="M1360" s="12">
        <v>45063.0</v>
      </c>
      <c r="N1360" s="2">
        <v>415.23</v>
      </c>
      <c r="O1360" s="3" t="s">
        <v>814</v>
      </c>
      <c r="P1360" s="4" t="str">
        <f t="array" ref="P1360">XLOOKUP(O1360,Agregado!$B$2:$B$1511,Agregado!$G$2:$G$1511)</f>
        <v>#N/A</v>
      </c>
    </row>
    <row r="1361" ht="15.75" customHeight="1">
      <c r="B1361" s="13" t="s">
        <v>2280</v>
      </c>
      <c r="C1361" s="7">
        <v>140617.53600000023</v>
      </c>
      <c r="D1361" s="7">
        <v>168154.33900000024</v>
      </c>
      <c r="E1361" s="7">
        <v>205501.0410000001</v>
      </c>
      <c r="F1361" s="7">
        <f t="shared" si="1"/>
        <v>514272.916</v>
      </c>
      <c r="G1361" s="14">
        <f t="shared" si="2"/>
        <v>0.0003776879345</v>
      </c>
      <c r="I1361" s="12"/>
      <c r="J1361" s="12"/>
      <c r="K1361" s="12"/>
      <c r="L1361" s="12"/>
      <c r="M1361" s="12">
        <v>45064.0</v>
      </c>
      <c r="N1361" s="2">
        <v>419.23</v>
      </c>
      <c r="O1361" s="3" t="s">
        <v>815</v>
      </c>
      <c r="P1361" s="4" t="str">
        <f t="array" ref="P1361">XLOOKUP(O1361,Agregado!$B$2:$B$1511,Agregado!$G$2:$G$1511)</f>
        <v>#N/A</v>
      </c>
    </row>
    <row r="1362" ht="15.75" customHeight="1">
      <c r="B1362" s="13" t="s">
        <v>2281</v>
      </c>
      <c r="C1362" s="7">
        <v>144950.35000000024</v>
      </c>
      <c r="D1362" s="7">
        <v>168029.40400000024</v>
      </c>
      <c r="E1362" s="7">
        <v>205593.1580000001</v>
      </c>
      <c r="F1362" s="7">
        <f t="shared" si="1"/>
        <v>518572.912</v>
      </c>
      <c r="G1362" s="14">
        <f t="shared" si="2"/>
        <v>0.008326549282</v>
      </c>
      <c r="I1362" s="12"/>
      <c r="J1362" s="12"/>
      <c r="K1362" s="12"/>
      <c r="L1362" s="12"/>
      <c r="M1362" s="12">
        <v>45065.0</v>
      </c>
      <c r="N1362" s="2">
        <v>418.62</v>
      </c>
      <c r="O1362" s="3" t="s">
        <v>816</v>
      </c>
      <c r="P1362" s="4" t="str">
        <f t="array" ref="P1362">XLOOKUP(O1362,Agregado!$B$2:$B$1511,Agregado!$G$2:$G$1511)</f>
        <v>#N/A</v>
      </c>
    </row>
    <row r="1363" ht="15.75" customHeight="1">
      <c r="B1363" s="13" t="s">
        <v>2282</v>
      </c>
      <c r="C1363" s="7">
        <v>145328.39200000023</v>
      </c>
      <c r="D1363" s="7">
        <v>167966.11700000023</v>
      </c>
      <c r="E1363" s="7">
        <v>205596.1830000001</v>
      </c>
      <c r="F1363" s="7">
        <f t="shared" si="1"/>
        <v>518890.692</v>
      </c>
      <c r="G1363" s="14">
        <f t="shared" si="2"/>
        <v>0.0006126094616</v>
      </c>
      <c r="I1363" s="12"/>
      <c r="J1363" s="12"/>
      <c r="K1363" s="12"/>
      <c r="L1363" s="12"/>
      <c r="M1363" s="12">
        <v>45068.0</v>
      </c>
      <c r="N1363" s="2">
        <v>418.79</v>
      </c>
      <c r="O1363" s="3" t="s">
        <v>817</v>
      </c>
      <c r="P1363" s="4" t="str">
        <f t="array" ref="P1363">XLOOKUP(O1363,Agregado!$B$2:$B$1511,Agregado!$G$2:$G$1511)</f>
        <v>#N/A</v>
      </c>
    </row>
    <row r="1364" ht="15.75" customHeight="1">
      <c r="B1364" s="13" t="s">
        <v>2283</v>
      </c>
      <c r="C1364" s="7">
        <v>145202.36800000022</v>
      </c>
      <c r="D1364" s="7">
        <v>167987.21400000024</v>
      </c>
      <c r="E1364" s="7">
        <v>205752.91300000012</v>
      </c>
      <c r="F1364" s="7">
        <f t="shared" si="1"/>
        <v>518942.495</v>
      </c>
      <c r="G1364" s="14">
        <f t="shared" si="2"/>
        <v>0.00009982914536</v>
      </c>
      <c r="I1364" s="12"/>
      <c r="J1364" s="12"/>
      <c r="K1364" s="12"/>
      <c r="L1364" s="12"/>
      <c r="M1364" s="12">
        <v>45069.0</v>
      </c>
      <c r="N1364" s="2">
        <v>414.09</v>
      </c>
      <c r="O1364" s="3" t="s">
        <v>818</v>
      </c>
      <c r="P1364" s="4" t="str">
        <f t="array" ref="P1364">XLOOKUP(O1364,Agregado!$B$2:$B$1511,Agregado!$G$2:$G$1511)</f>
        <v>#N/A</v>
      </c>
    </row>
    <row r="1365" ht="15.75" customHeight="1">
      <c r="B1365" s="13" t="s">
        <v>2284</v>
      </c>
      <c r="C1365" s="7">
        <v>149211.38300000023</v>
      </c>
      <c r="D1365" s="7">
        <v>167987.21400000024</v>
      </c>
      <c r="E1365" s="7">
        <v>205957.95100000012</v>
      </c>
      <c r="F1365" s="7">
        <f t="shared" si="1"/>
        <v>523156.548</v>
      </c>
      <c r="G1365" s="14">
        <f t="shared" si="2"/>
        <v>0.008087668823</v>
      </c>
      <c r="I1365" s="12"/>
      <c r="J1365" s="12"/>
      <c r="K1365" s="12"/>
      <c r="L1365" s="12"/>
      <c r="M1365" s="12">
        <v>45070.0</v>
      </c>
      <c r="N1365" s="2">
        <v>411.09</v>
      </c>
      <c r="O1365" s="3" t="s">
        <v>819</v>
      </c>
      <c r="P1365" s="4" t="str">
        <f t="array" ref="P1365">XLOOKUP(O1365,Agregado!$B$2:$B$1511,Agregado!$G$2:$G$1511)</f>
        <v>#N/A</v>
      </c>
    </row>
    <row r="1366" ht="15.75" customHeight="1">
      <c r="B1366" s="13" t="s">
        <v>2285</v>
      </c>
      <c r="C1366" s="7">
        <v>148895.04400000023</v>
      </c>
      <c r="D1366" s="7">
        <v>168071.94700000025</v>
      </c>
      <c r="E1366" s="7">
        <v>206127.6610000001</v>
      </c>
      <c r="F1366" s="7">
        <f t="shared" si="1"/>
        <v>523094.652</v>
      </c>
      <c r="G1366" s="14">
        <f t="shared" si="2"/>
        <v>-0.0001183195777</v>
      </c>
      <c r="I1366" s="12"/>
      <c r="J1366" s="12"/>
      <c r="K1366" s="12"/>
      <c r="L1366" s="12"/>
      <c r="M1366" s="12">
        <v>45071.0</v>
      </c>
      <c r="N1366" s="2">
        <v>414.65</v>
      </c>
      <c r="O1366" s="3" t="s">
        <v>820</v>
      </c>
      <c r="P1366" s="4" t="str">
        <f t="array" ref="P1366">XLOOKUP(O1366,Agregado!$B$2:$B$1511,Agregado!$G$2:$G$1511)</f>
        <v>#N/A</v>
      </c>
    </row>
    <row r="1367" ht="15.75" customHeight="1">
      <c r="B1367" s="13" t="s">
        <v>2286</v>
      </c>
      <c r="C1367" s="7">
        <v>146819.64100000024</v>
      </c>
      <c r="D1367" s="7">
        <v>168200.90100000025</v>
      </c>
      <c r="E1367" s="7">
        <v>206623.03200000012</v>
      </c>
      <c r="F1367" s="7">
        <f t="shared" si="1"/>
        <v>521643.574</v>
      </c>
      <c r="G1367" s="14">
        <f t="shared" si="2"/>
        <v>-0.002777880424</v>
      </c>
      <c r="I1367" s="12"/>
      <c r="J1367" s="12"/>
      <c r="K1367" s="12"/>
      <c r="L1367" s="12"/>
      <c r="M1367" s="12">
        <v>45072.0</v>
      </c>
      <c r="N1367" s="2">
        <v>420.02</v>
      </c>
      <c r="O1367" s="3" t="s">
        <v>821</v>
      </c>
      <c r="P1367" s="4" t="str">
        <f t="array" ref="P1367">XLOOKUP(O1367,Agregado!$B$2:$B$1511,Agregado!$G$2:$G$1511)</f>
        <v>#N/A</v>
      </c>
    </row>
    <row r="1368" ht="15.75" customHeight="1">
      <c r="B1368" s="13" t="s">
        <v>2287</v>
      </c>
      <c r="C1368" s="7">
        <v>144235.87000000023</v>
      </c>
      <c r="D1368" s="7">
        <v>168115.10200000025</v>
      </c>
      <c r="E1368" s="7">
        <v>207224.73600000012</v>
      </c>
      <c r="F1368" s="7">
        <f t="shared" si="1"/>
        <v>519575.708</v>
      </c>
      <c r="G1368" s="14">
        <f t="shared" si="2"/>
        <v>-0.003972013877</v>
      </c>
      <c r="I1368" s="12"/>
      <c r="J1368" s="12"/>
      <c r="K1368" s="12"/>
      <c r="L1368" s="12"/>
      <c r="M1368" s="12">
        <v>45076.0</v>
      </c>
      <c r="N1368" s="2">
        <v>420.18</v>
      </c>
      <c r="O1368" s="3" t="s">
        <v>822</v>
      </c>
      <c r="P1368" s="4" t="str">
        <f t="array" ref="P1368">XLOOKUP(O1368,Agregado!$B$2:$B$1511,Agregado!$G$2:$G$1511)</f>
        <v>#N/A</v>
      </c>
    </row>
    <row r="1369" ht="15.75" customHeight="1">
      <c r="B1369" s="13" t="s">
        <v>2288</v>
      </c>
      <c r="C1369" s="7">
        <v>143979.02100000024</v>
      </c>
      <c r="D1369" s="7">
        <v>167835.59300000026</v>
      </c>
      <c r="E1369" s="7">
        <v>207555.4980000001</v>
      </c>
      <c r="F1369" s="7">
        <f t="shared" si="1"/>
        <v>519370.112</v>
      </c>
      <c r="G1369" s="14">
        <f t="shared" si="2"/>
        <v>-0.0003957781026</v>
      </c>
      <c r="I1369" s="12"/>
      <c r="J1369" s="12"/>
      <c r="K1369" s="12"/>
      <c r="L1369" s="12"/>
      <c r="M1369" s="12">
        <v>45077.0</v>
      </c>
      <c r="N1369" s="2">
        <v>417.85</v>
      </c>
      <c r="O1369" s="3" t="s">
        <v>823</v>
      </c>
      <c r="P1369" s="4" t="str">
        <f t="array" ref="P1369">XLOOKUP(O1369,Agregado!$B$2:$B$1511,Agregado!$G$2:$G$1511)</f>
        <v>#N/A</v>
      </c>
    </row>
    <row r="1370" ht="15.75" customHeight="1">
      <c r="B1370" s="13" t="s">
        <v>2289</v>
      </c>
      <c r="C1370" s="7">
        <v>148435.58400000024</v>
      </c>
      <c r="D1370" s="7">
        <v>168091.82200000025</v>
      </c>
      <c r="E1370" s="7">
        <v>207794.38000000012</v>
      </c>
      <c r="F1370" s="7">
        <f t="shared" si="1"/>
        <v>524321.786</v>
      </c>
      <c r="G1370" s="14">
        <f t="shared" si="2"/>
        <v>0.009488837008</v>
      </c>
      <c r="I1370" s="12"/>
      <c r="J1370" s="12"/>
      <c r="K1370" s="12"/>
      <c r="L1370" s="12"/>
      <c r="M1370" s="12">
        <v>45078.0</v>
      </c>
      <c r="N1370" s="2">
        <v>421.82</v>
      </c>
      <c r="O1370" s="3">
        <v>44932.0</v>
      </c>
      <c r="P1370" s="4" t="str">
        <f t="array" ref="P1370">XLOOKUP(O1370,Agregado!$B$2:$B$1511,Agregado!$G$2:$G$1511)</f>
        <v>#N/A</v>
      </c>
    </row>
    <row r="1371" ht="15.75" customHeight="1">
      <c r="B1371" s="13" t="s">
        <v>2290</v>
      </c>
      <c r="C1371" s="7">
        <v>147727.49500000023</v>
      </c>
      <c r="D1371" s="7">
        <v>168392.64000000025</v>
      </c>
      <c r="E1371" s="7">
        <v>207436.00800000012</v>
      </c>
      <c r="F1371" s="7">
        <f t="shared" si="1"/>
        <v>523556.143</v>
      </c>
      <c r="G1371" s="14">
        <f t="shared" si="2"/>
        <v>-0.001461321238</v>
      </c>
      <c r="I1371" s="12"/>
      <c r="J1371" s="12"/>
      <c r="K1371" s="12"/>
      <c r="L1371" s="12"/>
      <c r="M1371" s="12">
        <v>45079.0</v>
      </c>
      <c r="N1371" s="2">
        <v>427.92</v>
      </c>
      <c r="O1371" s="3">
        <v>44963.0</v>
      </c>
      <c r="P1371" s="4" t="str">
        <f t="array" ref="P1371">XLOOKUP(O1371,Agregado!$B$2:$B$1511,Agregado!$G$2:$G$1511)</f>
        <v>#N/A</v>
      </c>
    </row>
    <row r="1372" ht="15.75" customHeight="1">
      <c r="B1372" s="13" t="s">
        <v>2291</v>
      </c>
      <c r="C1372" s="7">
        <v>148565.30300000022</v>
      </c>
      <c r="D1372" s="7">
        <v>168865.91000000024</v>
      </c>
      <c r="E1372" s="7">
        <v>207626.83900000012</v>
      </c>
      <c r="F1372" s="7">
        <f t="shared" si="1"/>
        <v>525058.052</v>
      </c>
      <c r="G1372" s="14">
        <f t="shared" si="2"/>
        <v>0.002864561693</v>
      </c>
      <c r="I1372" s="12"/>
      <c r="J1372" s="12"/>
      <c r="K1372" s="12"/>
      <c r="L1372" s="12"/>
      <c r="M1372" s="12">
        <v>45082.0</v>
      </c>
      <c r="N1372" s="2">
        <v>427.1</v>
      </c>
      <c r="O1372" s="3">
        <v>45052.0</v>
      </c>
      <c r="P1372" s="4" t="str">
        <f t="array" ref="P1372">XLOOKUP(O1372,Agregado!$B$2:$B$1511,Agregado!$G$2:$G$1511)</f>
        <v>#N/A</v>
      </c>
    </row>
    <row r="1373" ht="15.75" customHeight="1">
      <c r="B1373" s="13" t="s">
        <v>2292</v>
      </c>
      <c r="C1373" s="7">
        <v>145898.4320000002</v>
      </c>
      <c r="D1373" s="7">
        <v>170081.82500000024</v>
      </c>
      <c r="E1373" s="7">
        <v>208069.87900000013</v>
      </c>
      <c r="F1373" s="7">
        <f t="shared" si="1"/>
        <v>524050.136</v>
      </c>
      <c r="G1373" s="14">
        <f t="shared" si="2"/>
        <v>-0.001921472583</v>
      </c>
      <c r="I1373" s="12"/>
      <c r="J1373" s="12"/>
      <c r="K1373" s="12"/>
      <c r="L1373" s="12"/>
      <c r="M1373" s="12">
        <v>45083.0</v>
      </c>
      <c r="N1373" s="2">
        <v>428.03</v>
      </c>
      <c r="O1373" s="3">
        <v>45083.0</v>
      </c>
      <c r="P1373" s="4" t="str">
        <f t="array" ref="P1373">XLOOKUP(O1373,Agregado!$B$2:$B$1511,Agregado!$G$2:$G$1511)</f>
        <v>#N/A</v>
      </c>
    </row>
    <row r="1374" ht="15.75" customHeight="1">
      <c r="B1374" s="13" t="s">
        <v>2293</v>
      </c>
      <c r="C1374" s="7">
        <v>146160.4220000002</v>
      </c>
      <c r="D1374" s="7">
        <v>170169.28100000025</v>
      </c>
      <c r="E1374" s="7">
        <v>208264.57900000014</v>
      </c>
      <c r="F1374" s="7">
        <f t="shared" si="1"/>
        <v>524594.282</v>
      </c>
      <c r="G1374" s="14">
        <f t="shared" si="2"/>
        <v>0.001037808507</v>
      </c>
      <c r="I1374" s="12"/>
      <c r="J1374" s="12"/>
      <c r="K1374" s="12"/>
      <c r="L1374" s="12"/>
      <c r="M1374" s="12">
        <v>45084.0</v>
      </c>
      <c r="N1374" s="2">
        <v>426.55</v>
      </c>
      <c r="O1374" s="3">
        <v>45113.0</v>
      </c>
      <c r="P1374" s="4" t="str">
        <f t="array" ref="P1374">XLOOKUP(O1374,Agregado!$B$2:$B$1511,Agregado!$G$2:$G$1511)</f>
        <v>#N/A</v>
      </c>
    </row>
    <row r="1375" ht="15.75" customHeight="1">
      <c r="B1375" s="13" t="s">
        <v>2294</v>
      </c>
      <c r="C1375" s="7">
        <v>141352.24100000018</v>
      </c>
      <c r="D1375" s="7">
        <v>170475.70100000026</v>
      </c>
      <c r="E1375" s="7">
        <v>209108.50300000014</v>
      </c>
      <c r="F1375" s="7">
        <f t="shared" si="1"/>
        <v>520936.445</v>
      </c>
      <c r="G1375" s="14">
        <f t="shared" si="2"/>
        <v>-0.006997119892</v>
      </c>
      <c r="I1375" s="12"/>
      <c r="J1375" s="12"/>
      <c r="K1375" s="12"/>
      <c r="L1375" s="12"/>
      <c r="M1375" s="12">
        <v>45085.0</v>
      </c>
      <c r="N1375" s="2">
        <v>429.13</v>
      </c>
      <c r="O1375" s="3">
        <v>45144.0</v>
      </c>
      <c r="P1375" s="4" t="str">
        <f t="array" ref="P1375">XLOOKUP(O1375,Agregado!$B$2:$B$1511,Agregado!$G$2:$G$1511)</f>
        <v>#N/A</v>
      </c>
    </row>
    <row r="1376" ht="15.75" customHeight="1">
      <c r="B1376" s="13" t="s">
        <v>2295</v>
      </c>
      <c r="C1376" s="7">
        <v>139648.65700000018</v>
      </c>
      <c r="D1376" s="7">
        <v>171805.15200000026</v>
      </c>
      <c r="E1376" s="7">
        <v>209569.86500000014</v>
      </c>
      <c r="F1376" s="7">
        <f t="shared" si="1"/>
        <v>521023.674</v>
      </c>
      <c r="G1376" s="14">
        <f t="shared" si="2"/>
        <v>0.0001674325123</v>
      </c>
      <c r="I1376" s="12"/>
      <c r="J1376" s="12"/>
      <c r="K1376" s="12"/>
      <c r="L1376" s="12"/>
      <c r="M1376" s="12">
        <v>45086.0</v>
      </c>
      <c r="N1376" s="2">
        <v>429.9</v>
      </c>
      <c r="O1376" s="3">
        <v>45175.0</v>
      </c>
      <c r="P1376" s="4" t="str">
        <f t="array" ref="P1376">XLOOKUP(O1376,Agregado!$B$2:$B$1511,Agregado!$G$2:$G$1511)</f>
        <v>#N/A</v>
      </c>
    </row>
    <row r="1377" ht="15.75" customHeight="1">
      <c r="B1377" s="13" t="s">
        <v>2296</v>
      </c>
      <c r="C1377" s="7">
        <v>139648.65700000018</v>
      </c>
      <c r="D1377" s="7">
        <v>171805.15200000026</v>
      </c>
      <c r="E1377" s="7">
        <v>209569.86500000014</v>
      </c>
      <c r="F1377" s="7">
        <f t="shared" si="1"/>
        <v>521023.674</v>
      </c>
      <c r="G1377" s="14">
        <f t="shared" si="2"/>
        <v>0</v>
      </c>
      <c r="I1377" s="12"/>
      <c r="J1377" s="12"/>
      <c r="K1377" s="12"/>
      <c r="L1377" s="12"/>
      <c r="M1377" s="12">
        <v>45089.0</v>
      </c>
      <c r="N1377" s="2">
        <v>433.8</v>
      </c>
      <c r="O1377" s="3">
        <v>45266.0</v>
      </c>
      <c r="P1377" s="4" t="str">
        <f t="array" ref="P1377">XLOOKUP(O1377,Agregado!$B$2:$B$1511,Agregado!$G$2:$G$1511)</f>
        <v>#N/A</v>
      </c>
    </row>
    <row r="1378" ht="15.75" customHeight="1">
      <c r="B1378" s="13" t="s">
        <v>2297</v>
      </c>
      <c r="C1378" s="7">
        <v>138945.88100000017</v>
      </c>
      <c r="D1378" s="7">
        <v>171827.22900000025</v>
      </c>
      <c r="E1378" s="7">
        <v>209199.20000000013</v>
      </c>
      <c r="F1378" s="7">
        <f t="shared" si="1"/>
        <v>519972.31</v>
      </c>
      <c r="G1378" s="14">
        <f t="shared" si="2"/>
        <v>-0.002019920103</v>
      </c>
      <c r="I1378" s="12"/>
      <c r="J1378" s="12"/>
      <c r="K1378" s="12"/>
      <c r="L1378" s="12"/>
      <c r="M1378" s="12">
        <v>45090.0</v>
      </c>
      <c r="N1378" s="2">
        <v>436.66</v>
      </c>
      <c r="O1378" s="3" t="s">
        <v>824</v>
      </c>
      <c r="P1378" s="4" t="str">
        <f t="array" ref="P1378">XLOOKUP(O1378,Agregado!$B$2:$B$1511,Agregado!$G$2:$G$1511)</f>
        <v>#N/A</v>
      </c>
    </row>
    <row r="1379" ht="15.75" customHeight="1">
      <c r="B1379" s="13" t="s">
        <v>2298</v>
      </c>
      <c r="C1379" s="7">
        <v>141678.11000000016</v>
      </c>
      <c r="D1379" s="7">
        <v>172925.83400000026</v>
      </c>
      <c r="E1379" s="7">
        <v>209284.68900000013</v>
      </c>
      <c r="F1379" s="7">
        <f t="shared" si="1"/>
        <v>523888.633</v>
      </c>
      <c r="G1379" s="14">
        <f t="shared" si="2"/>
        <v>0.007503569132</v>
      </c>
      <c r="I1379" s="12"/>
      <c r="J1379" s="12"/>
      <c r="K1379" s="12"/>
      <c r="L1379" s="12"/>
      <c r="M1379" s="12">
        <v>45091.0</v>
      </c>
      <c r="N1379" s="2">
        <v>437.18</v>
      </c>
      <c r="O1379" s="3" t="s">
        <v>825</v>
      </c>
      <c r="P1379" s="4" t="str">
        <f t="array" ref="P1379">XLOOKUP(O1379,Agregado!$B$2:$B$1511,Agregado!$G$2:$G$1511)</f>
        <v>#N/A</v>
      </c>
    </row>
    <row r="1380" ht="15.75" customHeight="1">
      <c r="B1380" s="13" t="s">
        <v>2299</v>
      </c>
      <c r="C1380" s="7">
        <v>144983.27800000017</v>
      </c>
      <c r="D1380" s="7">
        <v>172685.39300000027</v>
      </c>
      <c r="E1380" s="7">
        <v>209436.88500000013</v>
      </c>
      <c r="F1380" s="7">
        <f t="shared" si="1"/>
        <v>527105.556</v>
      </c>
      <c r="G1380" s="14">
        <f t="shared" si="2"/>
        <v>0.00612169521</v>
      </c>
      <c r="I1380" s="12"/>
      <c r="J1380" s="12"/>
      <c r="K1380" s="12"/>
      <c r="L1380" s="12"/>
      <c r="M1380" s="12">
        <v>45092.0</v>
      </c>
      <c r="N1380" s="2">
        <v>442.6</v>
      </c>
      <c r="O1380" s="3" t="s">
        <v>826</v>
      </c>
      <c r="P1380" s="4" t="str">
        <f t="array" ref="P1380">XLOOKUP(O1380,Agregado!$B$2:$B$1511,Agregado!$G$2:$G$1511)</f>
        <v>#N/A</v>
      </c>
    </row>
    <row r="1381" ht="15.75" customHeight="1">
      <c r="B1381" s="13" t="s">
        <v>2300</v>
      </c>
      <c r="C1381" s="7">
        <v>140181.31800000017</v>
      </c>
      <c r="D1381" s="7">
        <v>172246.56800000026</v>
      </c>
      <c r="E1381" s="7">
        <v>209562.23200000013</v>
      </c>
      <c r="F1381" s="7">
        <f t="shared" si="1"/>
        <v>521990.118</v>
      </c>
      <c r="G1381" s="14">
        <f t="shared" si="2"/>
        <v>-0.009752167831</v>
      </c>
      <c r="I1381" s="12"/>
      <c r="J1381" s="12"/>
      <c r="K1381" s="12"/>
      <c r="L1381" s="12"/>
      <c r="M1381" s="12">
        <v>45093.0</v>
      </c>
      <c r="N1381" s="2">
        <v>439.46</v>
      </c>
      <c r="O1381" s="3" t="s">
        <v>827</v>
      </c>
      <c r="P1381" s="4" t="str">
        <f t="array" ref="P1381">XLOOKUP(O1381,Agregado!$B$2:$B$1511,Agregado!$G$2:$G$1511)</f>
        <v>#N/A</v>
      </c>
    </row>
    <row r="1382" ht="15.75" customHeight="1">
      <c r="B1382" s="13" t="s">
        <v>2301</v>
      </c>
      <c r="C1382" s="7">
        <v>144448.3330000002</v>
      </c>
      <c r="D1382" s="7">
        <v>172115.92800000025</v>
      </c>
      <c r="E1382" s="7">
        <v>210009.84300000014</v>
      </c>
      <c r="F1382" s="7">
        <f t="shared" si="1"/>
        <v>526574.104</v>
      </c>
      <c r="G1382" s="14">
        <f t="shared" si="2"/>
        <v>0.008743413339</v>
      </c>
      <c r="I1382" s="12"/>
      <c r="J1382" s="12"/>
      <c r="K1382" s="12"/>
      <c r="L1382" s="12"/>
      <c r="M1382" s="12">
        <v>45096.0</v>
      </c>
      <c r="O1382" s="3" t="s">
        <v>828</v>
      </c>
      <c r="P1382" s="4" t="str">
        <f t="array" ref="P1382">XLOOKUP(O1382,Agregado!$B$2:$B$1511,Agregado!$G$2:$G$1511)</f>
        <v>#N/A</v>
      </c>
    </row>
    <row r="1383" ht="15.75" customHeight="1">
      <c r="B1383" s="13" t="s">
        <v>2302</v>
      </c>
      <c r="C1383" s="7">
        <v>145806.8100000002</v>
      </c>
      <c r="D1383" s="7">
        <v>172115.92800000025</v>
      </c>
      <c r="E1383" s="7">
        <v>210175.39300000013</v>
      </c>
      <c r="F1383" s="7">
        <f t="shared" si="1"/>
        <v>528098.131</v>
      </c>
      <c r="G1383" s="14">
        <f t="shared" si="2"/>
        <v>0.002890050596</v>
      </c>
      <c r="I1383" s="12"/>
      <c r="J1383" s="12"/>
      <c r="K1383" s="12"/>
      <c r="L1383" s="12"/>
      <c r="M1383" s="12">
        <v>45097.0</v>
      </c>
      <c r="N1383" s="2">
        <v>437.18</v>
      </c>
      <c r="O1383" s="3" t="s">
        <v>829</v>
      </c>
      <c r="P1383" s="4" t="str">
        <f t="array" ref="P1383">XLOOKUP(O1383,Agregado!$B$2:$B$1511,Agregado!$G$2:$G$1511)</f>
        <v>#N/A</v>
      </c>
    </row>
    <row r="1384" ht="15.75" customHeight="1">
      <c r="B1384" s="13" t="s">
        <v>2303</v>
      </c>
      <c r="C1384" s="7">
        <v>146657.4030000002</v>
      </c>
      <c r="D1384" s="7">
        <v>173102.52400000024</v>
      </c>
      <c r="E1384" s="7">
        <v>211425.14500000014</v>
      </c>
      <c r="F1384" s="7">
        <f t="shared" si="1"/>
        <v>531185.072</v>
      </c>
      <c r="G1384" s="14">
        <f t="shared" si="2"/>
        <v>0.005828374754</v>
      </c>
      <c r="I1384" s="12"/>
      <c r="J1384" s="12"/>
      <c r="K1384" s="12"/>
      <c r="L1384" s="12"/>
      <c r="M1384" s="12">
        <v>45098.0</v>
      </c>
      <c r="N1384" s="2">
        <v>434.94</v>
      </c>
      <c r="O1384" s="3" t="s">
        <v>830</v>
      </c>
      <c r="P1384" s="4" t="str">
        <f t="array" ref="P1384">XLOOKUP(O1384,Agregado!$B$2:$B$1511,Agregado!$G$2:$G$1511)</f>
        <v>#N/A</v>
      </c>
    </row>
    <row r="1385" ht="15.75" customHeight="1">
      <c r="B1385" s="13" t="s">
        <v>2304</v>
      </c>
      <c r="C1385" s="7">
        <v>147311.4740000002</v>
      </c>
      <c r="D1385" s="7">
        <v>172160.10900000023</v>
      </c>
      <c r="E1385" s="7">
        <v>214009.34400000013</v>
      </c>
      <c r="F1385" s="7">
        <f t="shared" si="1"/>
        <v>533480.927</v>
      </c>
      <c r="G1385" s="14">
        <f t="shared" si="2"/>
        <v>0.004312824042</v>
      </c>
      <c r="I1385" s="12"/>
      <c r="J1385" s="12"/>
      <c r="K1385" s="12"/>
      <c r="L1385" s="12"/>
      <c r="M1385" s="12">
        <v>45099.0</v>
      </c>
      <c r="N1385" s="2">
        <v>436.51</v>
      </c>
      <c r="O1385" s="3" t="s">
        <v>831</v>
      </c>
      <c r="P1385" s="4" t="str">
        <f t="array" ref="P1385">XLOOKUP(O1385,Agregado!$B$2:$B$1511,Agregado!$G$2:$G$1511)</f>
        <v>#N/A</v>
      </c>
    </row>
    <row r="1386" ht="15.75" customHeight="1">
      <c r="B1386" s="13" t="s">
        <v>2305</v>
      </c>
      <c r="C1386" s="7">
        <v>149808.3570000002</v>
      </c>
      <c r="D1386" s="7">
        <v>172336.24700000024</v>
      </c>
      <c r="E1386" s="7">
        <v>217017.94700000013</v>
      </c>
      <c r="F1386" s="7">
        <f t="shared" si="1"/>
        <v>539162.551</v>
      </c>
      <c r="G1386" s="14">
        <f t="shared" si="2"/>
        <v>0.01059378489</v>
      </c>
      <c r="I1386" s="12"/>
      <c r="J1386" s="12"/>
      <c r="K1386" s="12"/>
      <c r="L1386" s="12"/>
      <c r="M1386" s="12">
        <v>45100.0</v>
      </c>
      <c r="N1386" s="2">
        <v>433.21</v>
      </c>
      <c r="O1386" s="3" t="s">
        <v>832</v>
      </c>
      <c r="P1386" s="4" t="str">
        <f t="array" ref="P1386">XLOOKUP(O1386,Agregado!$B$2:$B$1511,Agregado!$G$2:$G$1511)</f>
        <v>#N/A</v>
      </c>
    </row>
    <row r="1387" ht="15.75" customHeight="1">
      <c r="B1387" s="13" t="s">
        <v>2306</v>
      </c>
      <c r="C1387" s="7">
        <v>150584.3710000002</v>
      </c>
      <c r="D1387" s="7">
        <v>173807.26000000024</v>
      </c>
      <c r="E1387" s="7">
        <v>217038.31800000014</v>
      </c>
      <c r="F1387" s="7">
        <f t="shared" si="1"/>
        <v>541429.949</v>
      </c>
      <c r="G1387" s="14">
        <f t="shared" si="2"/>
        <v>0.004196589052</v>
      </c>
      <c r="I1387" s="12"/>
      <c r="J1387" s="12"/>
      <c r="K1387" s="12"/>
      <c r="L1387" s="12"/>
      <c r="M1387" s="12">
        <v>45103.0</v>
      </c>
      <c r="N1387" s="2">
        <v>431.44</v>
      </c>
      <c r="O1387" s="3" t="s">
        <v>833</v>
      </c>
      <c r="P1387" s="4" t="str">
        <f t="array" ref="P1387">XLOOKUP(O1387,Agregado!$B$2:$B$1511,Agregado!$G$2:$G$1511)</f>
        <v>#N/A</v>
      </c>
    </row>
    <row r="1388" ht="15.75" customHeight="1">
      <c r="B1388" s="13" t="s">
        <v>2307</v>
      </c>
      <c r="C1388" s="7">
        <v>151738.70300000018</v>
      </c>
      <c r="D1388" s="7">
        <v>173717.99900000024</v>
      </c>
      <c r="E1388" s="7">
        <v>216790.46600000013</v>
      </c>
      <c r="F1388" s="7">
        <f t="shared" si="1"/>
        <v>542247.168</v>
      </c>
      <c r="G1388" s="14">
        <f t="shared" si="2"/>
        <v>0.001508233665</v>
      </c>
      <c r="I1388" s="12"/>
      <c r="J1388" s="12"/>
      <c r="K1388" s="12"/>
      <c r="L1388" s="12"/>
      <c r="M1388" s="12">
        <v>45104.0</v>
      </c>
      <c r="N1388" s="2">
        <v>436.17</v>
      </c>
      <c r="O1388" s="3" t="s">
        <v>834</v>
      </c>
      <c r="P1388" s="4" t="str">
        <f t="array" ref="P1388">XLOOKUP(O1388,Agregado!$B$2:$B$1511,Agregado!$G$2:$G$1511)</f>
        <v>#N/A</v>
      </c>
    </row>
    <row r="1389" ht="15.75" customHeight="1">
      <c r="B1389" s="13" t="s">
        <v>2308</v>
      </c>
      <c r="C1389" s="7">
        <v>146509.50200000018</v>
      </c>
      <c r="D1389" s="7">
        <v>174965.34700000024</v>
      </c>
      <c r="E1389" s="7">
        <v>217030.47900000014</v>
      </c>
      <c r="F1389" s="7">
        <f t="shared" si="1"/>
        <v>538505.328</v>
      </c>
      <c r="G1389" s="14">
        <f t="shared" si="2"/>
        <v>-0.006924536312</v>
      </c>
      <c r="I1389" s="12"/>
      <c r="J1389" s="12"/>
      <c r="K1389" s="12"/>
      <c r="L1389" s="12"/>
      <c r="M1389" s="12">
        <v>45105.0</v>
      </c>
      <c r="N1389" s="2">
        <v>436.39</v>
      </c>
      <c r="O1389" s="3" t="s">
        <v>835</v>
      </c>
      <c r="P1389" s="4" t="str">
        <f t="array" ref="P1389">XLOOKUP(O1389,Agregado!$B$2:$B$1511,Agregado!$G$2:$G$1511)</f>
        <v>#N/A</v>
      </c>
    </row>
    <row r="1390" ht="15.75" customHeight="1">
      <c r="B1390" s="13" t="s">
        <v>2309</v>
      </c>
      <c r="C1390" s="7">
        <v>148004.3980000002</v>
      </c>
      <c r="D1390" s="7">
        <v>175385.23300000024</v>
      </c>
      <c r="E1390" s="7">
        <v>217231.49000000014</v>
      </c>
      <c r="F1390" s="7">
        <f t="shared" si="1"/>
        <v>540621.121</v>
      </c>
      <c r="G1390" s="14">
        <f t="shared" si="2"/>
        <v>0.003921311934</v>
      </c>
      <c r="I1390" s="12"/>
      <c r="J1390" s="12"/>
      <c r="K1390" s="12"/>
      <c r="L1390" s="12"/>
      <c r="M1390" s="12">
        <v>45106.0</v>
      </c>
      <c r="N1390" s="2">
        <v>438.11</v>
      </c>
      <c r="O1390" s="3" t="s">
        <v>836</v>
      </c>
      <c r="P1390" s="4" t="str">
        <f t="array" ref="P1390">XLOOKUP(O1390,Agregado!$B$2:$B$1511,Agregado!$G$2:$G$1511)</f>
        <v>#N/A</v>
      </c>
    </row>
    <row r="1391" ht="15.75" customHeight="1">
      <c r="B1391" s="13" t="s">
        <v>2310</v>
      </c>
      <c r="C1391" s="7">
        <v>149670.6480000002</v>
      </c>
      <c r="D1391" s="7">
        <v>175385.23300000024</v>
      </c>
      <c r="E1391" s="7">
        <v>217335.70500000013</v>
      </c>
      <c r="F1391" s="7">
        <f t="shared" si="1"/>
        <v>542391.586</v>
      </c>
      <c r="G1391" s="14">
        <f t="shared" si="2"/>
        <v>0.003269521337</v>
      </c>
      <c r="I1391" s="12"/>
      <c r="J1391" s="12"/>
      <c r="K1391" s="12"/>
      <c r="L1391" s="12"/>
      <c r="M1391" s="12">
        <v>45107.0</v>
      </c>
      <c r="N1391" s="2">
        <v>443.28</v>
      </c>
      <c r="O1391" s="3" t="s">
        <v>837</v>
      </c>
      <c r="P1391" s="4" t="str">
        <f t="array" ref="P1391">XLOOKUP(O1391,Agregado!$B$2:$B$1511,Agregado!$G$2:$G$1511)</f>
        <v>#N/A</v>
      </c>
    </row>
    <row r="1392" ht="15.75" customHeight="1">
      <c r="B1392" s="13" t="s">
        <v>2311</v>
      </c>
      <c r="C1392" s="7">
        <v>151516.7260000002</v>
      </c>
      <c r="D1392" s="7">
        <v>175230.58500000025</v>
      </c>
      <c r="E1392" s="7">
        <v>217370.08500000014</v>
      </c>
      <c r="F1392" s="7">
        <f t="shared" si="1"/>
        <v>544117.396</v>
      </c>
      <c r="G1392" s="14">
        <f t="shared" si="2"/>
        <v>0.003176801076</v>
      </c>
      <c r="I1392" s="12"/>
      <c r="J1392" s="12"/>
      <c r="K1392" s="12"/>
      <c r="L1392" s="12"/>
      <c r="M1392" s="12">
        <v>45110.0</v>
      </c>
      <c r="N1392" s="2">
        <v>443.79</v>
      </c>
      <c r="O1392" s="3">
        <v>44992.0</v>
      </c>
      <c r="P1392" s="4" t="str">
        <f t="array" ref="P1392">XLOOKUP(O1392,Agregado!$B$2:$B$1511,Agregado!$G$2:$G$1511)</f>
        <v>#N/A</v>
      </c>
    </row>
    <row r="1393" ht="15.75" customHeight="1">
      <c r="B1393" s="13" t="s">
        <v>2312</v>
      </c>
      <c r="C1393" s="7">
        <v>149127.1660000002</v>
      </c>
      <c r="D1393" s="7">
        <v>175608.69700000025</v>
      </c>
      <c r="E1393" s="7">
        <v>217679.00300000014</v>
      </c>
      <c r="F1393" s="7">
        <f t="shared" si="1"/>
        <v>542414.866</v>
      </c>
      <c r="G1393" s="14">
        <f t="shared" si="2"/>
        <v>-0.003133880977</v>
      </c>
      <c r="I1393" s="12"/>
      <c r="J1393" s="12"/>
      <c r="K1393" s="12"/>
      <c r="L1393" s="12"/>
      <c r="M1393" s="12">
        <v>45112.0</v>
      </c>
      <c r="N1393" s="2">
        <v>443.13</v>
      </c>
      <c r="O1393" s="3">
        <v>45053.0</v>
      </c>
      <c r="P1393" s="4" t="str">
        <f t="array" ref="P1393">XLOOKUP(O1393,Agregado!$B$2:$B$1511,Agregado!$G$2:$G$1511)</f>
        <v>#N/A</v>
      </c>
    </row>
    <row r="1394" ht="15.75" customHeight="1">
      <c r="B1394" s="13" t="s">
        <v>2313</v>
      </c>
      <c r="C1394" s="7">
        <v>152626.6700000002</v>
      </c>
      <c r="D1394" s="7">
        <v>175877.58400000024</v>
      </c>
      <c r="E1394" s="7">
        <v>217768.47000000015</v>
      </c>
      <c r="F1394" s="7">
        <f t="shared" si="1"/>
        <v>546272.724</v>
      </c>
      <c r="G1394" s="14">
        <f t="shared" si="2"/>
        <v>0.007087201477</v>
      </c>
      <c r="I1394" s="12"/>
      <c r="J1394" s="12"/>
      <c r="K1394" s="12"/>
      <c r="L1394" s="12"/>
      <c r="M1394" s="12">
        <v>45113.0</v>
      </c>
      <c r="N1394" s="2">
        <v>439.66</v>
      </c>
      <c r="O1394" s="3">
        <v>45084.0</v>
      </c>
      <c r="P1394" s="4" t="str">
        <f t="array" ref="P1394">XLOOKUP(O1394,Agregado!$B$2:$B$1511,Agregado!$G$2:$G$1511)</f>
        <v>#N/A</v>
      </c>
    </row>
    <row r="1395" ht="15.75" customHeight="1">
      <c r="B1395" s="13" t="s">
        <v>2314</v>
      </c>
      <c r="C1395" s="7">
        <v>150401.06700000018</v>
      </c>
      <c r="D1395" s="7">
        <v>176578.16600000023</v>
      </c>
      <c r="E1395" s="7">
        <v>218160.70700000014</v>
      </c>
      <c r="F1395" s="7">
        <f t="shared" si="1"/>
        <v>545139.94</v>
      </c>
      <c r="G1395" s="14">
        <f t="shared" si="2"/>
        <v>-0.002075813199</v>
      </c>
      <c r="I1395" s="12"/>
      <c r="J1395" s="12"/>
      <c r="K1395" s="12"/>
      <c r="L1395" s="12"/>
      <c r="M1395" s="12">
        <v>45114.0</v>
      </c>
      <c r="N1395" s="2">
        <v>438.55</v>
      </c>
      <c r="O1395" s="3">
        <v>45114.0</v>
      </c>
      <c r="P1395" s="4" t="str">
        <f t="array" ref="P1395">XLOOKUP(O1395,Agregado!$B$2:$B$1511,Agregado!$G$2:$G$1511)</f>
        <v>#N/A</v>
      </c>
    </row>
    <row r="1396" ht="15.75" customHeight="1">
      <c r="B1396" s="13" t="s">
        <v>2315</v>
      </c>
      <c r="C1396" s="7">
        <v>144202.57100000017</v>
      </c>
      <c r="D1396" s="7">
        <v>176645.89700000023</v>
      </c>
      <c r="E1396" s="7">
        <v>219838.69200000013</v>
      </c>
      <c r="F1396" s="7">
        <f t="shared" si="1"/>
        <v>540687.16</v>
      </c>
      <c r="G1396" s="14">
        <f t="shared" si="2"/>
        <v>-0.008201683234</v>
      </c>
      <c r="I1396" s="12"/>
      <c r="J1396" s="12"/>
      <c r="K1396" s="12"/>
      <c r="L1396" s="12"/>
      <c r="M1396" s="12">
        <v>45117.0</v>
      </c>
      <c r="N1396" s="2">
        <v>439.66</v>
      </c>
      <c r="O1396" s="3">
        <v>45206.0</v>
      </c>
      <c r="P1396" s="4" t="str">
        <f t="array" ref="P1396">XLOOKUP(O1396,Agregado!$B$2:$B$1511,Agregado!$G$2:$G$1511)</f>
        <v>#N/A</v>
      </c>
    </row>
    <row r="1397" ht="15.75" customHeight="1">
      <c r="B1397" s="13" t="s">
        <v>2316</v>
      </c>
      <c r="C1397" s="7">
        <v>143390.95500000016</v>
      </c>
      <c r="D1397" s="7">
        <v>177371.14400000023</v>
      </c>
      <c r="E1397" s="7">
        <v>220027.83300000013</v>
      </c>
      <c r="F1397" s="7">
        <f t="shared" si="1"/>
        <v>540789.932</v>
      </c>
      <c r="G1397" s="14">
        <f t="shared" si="2"/>
        <v>0.0001900585802</v>
      </c>
      <c r="I1397" s="12"/>
      <c r="J1397" s="12"/>
      <c r="K1397" s="12"/>
      <c r="L1397" s="12"/>
      <c r="M1397" s="12">
        <v>45118.0</v>
      </c>
      <c r="N1397" s="2">
        <v>442.46</v>
      </c>
      <c r="O1397" s="3">
        <v>45237.0</v>
      </c>
      <c r="P1397" s="4" t="str">
        <f t="array" ref="P1397">XLOOKUP(O1397,Agregado!$B$2:$B$1511,Agregado!$G$2:$G$1511)</f>
        <v>#N/A</v>
      </c>
    </row>
    <row r="1398" ht="15.75" customHeight="1">
      <c r="B1398" s="13" t="s">
        <v>2317</v>
      </c>
      <c r="C1398" s="7">
        <v>143232.01800000016</v>
      </c>
      <c r="D1398" s="7">
        <v>178443.93200000023</v>
      </c>
      <c r="E1398" s="7">
        <v>218532.16600000014</v>
      </c>
      <c r="F1398" s="7">
        <f t="shared" si="1"/>
        <v>540208.116</v>
      </c>
      <c r="G1398" s="14">
        <f t="shared" si="2"/>
        <v>-0.001076442381</v>
      </c>
      <c r="I1398" s="12"/>
      <c r="J1398" s="12"/>
      <c r="K1398" s="12"/>
      <c r="L1398" s="12"/>
      <c r="M1398" s="12">
        <v>45119.0</v>
      </c>
      <c r="N1398" s="2">
        <v>446.02</v>
      </c>
      <c r="O1398" s="3">
        <v>45267.0</v>
      </c>
      <c r="P1398" s="4" t="str">
        <f t="array" ref="P1398">XLOOKUP(O1398,Agregado!$B$2:$B$1511,Agregado!$G$2:$G$1511)</f>
        <v>#N/A</v>
      </c>
    </row>
    <row r="1399" ht="15.75" customHeight="1">
      <c r="B1399" s="13" t="s">
        <v>2318</v>
      </c>
      <c r="C1399" s="7">
        <v>142503.73000000016</v>
      </c>
      <c r="D1399" s="7">
        <v>178718.48600000024</v>
      </c>
      <c r="E1399" s="7">
        <v>218787.15700000015</v>
      </c>
      <c r="F1399" s="7">
        <f t="shared" si="1"/>
        <v>540009.373</v>
      </c>
      <c r="G1399" s="14">
        <f t="shared" si="2"/>
        <v>-0.0003679684957</v>
      </c>
      <c r="I1399" s="12"/>
      <c r="J1399" s="12"/>
      <c r="K1399" s="12"/>
      <c r="L1399" s="12"/>
      <c r="M1399" s="12">
        <v>45120.0</v>
      </c>
      <c r="N1399" s="2">
        <v>449.56</v>
      </c>
      <c r="O1399" s="3" t="s">
        <v>838</v>
      </c>
      <c r="P1399" s="4" t="str">
        <f t="array" ref="P1399">XLOOKUP(O1399,Agregado!$B$2:$B$1511,Agregado!$G$2:$G$1511)</f>
        <v>#N/A</v>
      </c>
    </row>
    <row r="1400" ht="15.75" customHeight="1">
      <c r="B1400" s="13" t="s">
        <v>2319</v>
      </c>
      <c r="C1400" s="7">
        <v>146211.36400000015</v>
      </c>
      <c r="D1400" s="7">
        <v>181241.19100000022</v>
      </c>
      <c r="E1400" s="7">
        <v>219121.76400000014</v>
      </c>
      <c r="F1400" s="7">
        <f t="shared" si="1"/>
        <v>546574.319</v>
      </c>
      <c r="G1400" s="14">
        <f t="shared" si="2"/>
        <v>0.01208379241</v>
      </c>
      <c r="I1400" s="12"/>
      <c r="J1400" s="12"/>
      <c r="K1400" s="12"/>
      <c r="L1400" s="12"/>
      <c r="M1400" s="12">
        <v>45121.0</v>
      </c>
      <c r="N1400" s="2">
        <v>449.28</v>
      </c>
      <c r="O1400" s="3" t="s">
        <v>839</v>
      </c>
      <c r="P1400" s="4" t="str">
        <f t="array" ref="P1400">XLOOKUP(O1400,Agregado!$B$2:$B$1511,Agregado!$G$2:$G$1511)</f>
        <v>#N/A</v>
      </c>
    </row>
    <row r="1401" ht="15.75" customHeight="1">
      <c r="B1401" s="13" t="s">
        <v>2320</v>
      </c>
      <c r="C1401" s="7">
        <v>146392.28100000013</v>
      </c>
      <c r="D1401" s="7">
        <v>181445.8010000002</v>
      </c>
      <c r="E1401" s="7">
        <v>219212.92300000016</v>
      </c>
      <c r="F1401" s="7">
        <f t="shared" si="1"/>
        <v>547051.005</v>
      </c>
      <c r="G1401" s="14">
        <f t="shared" si="2"/>
        <v>0.000871753826</v>
      </c>
      <c r="I1401" s="12"/>
      <c r="J1401" s="12"/>
      <c r="K1401" s="12"/>
      <c r="L1401" s="12"/>
      <c r="M1401" s="12">
        <v>45124.0</v>
      </c>
      <c r="N1401" s="2">
        <v>450.84</v>
      </c>
      <c r="O1401" s="3" t="s">
        <v>840</v>
      </c>
      <c r="P1401" s="4" t="str">
        <f t="array" ref="P1401">XLOOKUP(O1401,Agregado!$B$2:$B$1511,Agregado!$G$2:$G$1511)</f>
        <v>#N/A</v>
      </c>
    </row>
    <row r="1402" ht="15.75" customHeight="1">
      <c r="B1402" s="13" t="s">
        <v>2321</v>
      </c>
      <c r="C1402" s="7">
        <v>142872.83000000013</v>
      </c>
      <c r="D1402" s="7">
        <v>181514.2800000002</v>
      </c>
      <c r="E1402" s="7">
        <v>219479.87900000016</v>
      </c>
      <c r="F1402" s="7">
        <f t="shared" si="1"/>
        <v>543866.989</v>
      </c>
      <c r="G1402" s="14">
        <f t="shared" si="2"/>
        <v>-0.005837331603</v>
      </c>
      <c r="I1402" s="12"/>
      <c r="J1402" s="12"/>
      <c r="K1402" s="12"/>
      <c r="L1402" s="12"/>
      <c r="M1402" s="12">
        <v>45125.0</v>
      </c>
      <c r="N1402" s="2">
        <v>454.19</v>
      </c>
      <c r="O1402" s="3" t="s">
        <v>841</v>
      </c>
      <c r="P1402" s="4" t="str">
        <f t="array" ref="P1402">XLOOKUP(O1402,Agregado!$B$2:$B$1511,Agregado!$G$2:$G$1511)</f>
        <v>#N/A</v>
      </c>
    </row>
    <row r="1403" ht="15.75" customHeight="1">
      <c r="B1403" s="13" t="s">
        <v>2322</v>
      </c>
      <c r="C1403" s="7">
        <v>143601.48000000013</v>
      </c>
      <c r="D1403" s="7">
        <v>182155.2300000002</v>
      </c>
      <c r="E1403" s="7">
        <v>220130.66100000017</v>
      </c>
      <c r="F1403" s="7">
        <f t="shared" si="1"/>
        <v>545887.371</v>
      </c>
      <c r="G1403" s="14">
        <f t="shared" si="2"/>
        <v>0.003707962802</v>
      </c>
      <c r="I1403" s="12"/>
      <c r="J1403" s="12"/>
      <c r="K1403" s="12"/>
      <c r="L1403" s="12"/>
      <c r="M1403" s="12">
        <v>45126.0</v>
      </c>
      <c r="N1403" s="2">
        <v>455.2</v>
      </c>
      <c r="O1403" s="3" t="s">
        <v>842</v>
      </c>
      <c r="P1403" s="4" t="str">
        <f t="array" ref="P1403">XLOOKUP(O1403,Agregado!$B$2:$B$1511,Agregado!$G$2:$G$1511)</f>
        <v>#N/A</v>
      </c>
    </row>
    <row r="1404" ht="15.75" customHeight="1">
      <c r="B1404" s="13" t="s">
        <v>2323</v>
      </c>
      <c r="C1404" s="7">
        <v>145013.04400000014</v>
      </c>
      <c r="D1404" s="7">
        <v>183002.08000000022</v>
      </c>
      <c r="E1404" s="7">
        <v>220720.65500000017</v>
      </c>
      <c r="F1404" s="7">
        <f t="shared" si="1"/>
        <v>548735.779</v>
      </c>
      <c r="G1404" s="14">
        <f t="shared" si="2"/>
        <v>0.005204374545</v>
      </c>
      <c r="I1404" s="12"/>
      <c r="J1404" s="12"/>
      <c r="K1404" s="12"/>
      <c r="L1404" s="12"/>
      <c r="M1404" s="12">
        <v>45127.0</v>
      </c>
      <c r="N1404" s="2">
        <v>452.18</v>
      </c>
      <c r="O1404" s="3" t="s">
        <v>843</v>
      </c>
      <c r="P1404" s="4" t="str">
        <f t="array" ref="P1404">XLOOKUP(O1404,Agregado!$B$2:$B$1511,Agregado!$G$2:$G$1511)</f>
        <v>#N/A</v>
      </c>
    </row>
    <row r="1405" ht="15.75" customHeight="1">
      <c r="B1405" s="13" t="s">
        <v>2324</v>
      </c>
      <c r="C1405" s="7">
        <v>146754.98300000015</v>
      </c>
      <c r="D1405" s="7">
        <v>183093.04900000023</v>
      </c>
      <c r="E1405" s="7">
        <v>220964.99800000017</v>
      </c>
      <c r="F1405" s="7">
        <f t="shared" si="1"/>
        <v>550813.03</v>
      </c>
      <c r="G1405" s="14">
        <f t="shared" si="2"/>
        <v>0.003778374283</v>
      </c>
      <c r="I1405" s="12"/>
      <c r="J1405" s="12"/>
      <c r="K1405" s="12"/>
      <c r="L1405" s="12"/>
      <c r="M1405" s="12">
        <v>45128.0</v>
      </c>
      <c r="N1405" s="2">
        <v>452.18</v>
      </c>
      <c r="O1405" s="3" t="s">
        <v>844</v>
      </c>
      <c r="P1405" s="4" t="str">
        <f t="array" ref="P1405">XLOOKUP(O1405,Agregado!$B$2:$B$1511,Agregado!$G$2:$G$1511)</f>
        <v>#N/A</v>
      </c>
    </row>
    <row r="1406" ht="15.75" customHeight="1">
      <c r="B1406" s="13" t="s">
        <v>2325</v>
      </c>
      <c r="C1406" s="7">
        <v>145818.22000000015</v>
      </c>
      <c r="D1406" s="7">
        <v>183345.70900000024</v>
      </c>
      <c r="E1406" s="7">
        <v>221043.44800000018</v>
      </c>
      <c r="F1406" s="7">
        <f t="shared" si="1"/>
        <v>550207.377</v>
      </c>
      <c r="G1406" s="14">
        <f t="shared" si="2"/>
        <v>-0.001100166822</v>
      </c>
      <c r="I1406" s="12"/>
      <c r="J1406" s="12"/>
      <c r="K1406" s="12"/>
      <c r="L1406" s="12"/>
      <c r="M1406" s="12">
        <v>45131.0</v>
      </c>
      <c r="N1406" s="2">
        <v>454.2</v>
      </c>
      <c r="O1406" s="3" t="s">
        <v>845</v>
      </c>
      <c r="P1406" s="4" t="str">
        <f t="array" ref="P1406">XLOOKUP(O1406,Agregado!$B$2:$B$1511,Agregado!$G$2:$G$1511)</f>
        <v>#N/A</v>
      </c>
    </row>
    <row r="1407" ht="15.75" customHeight="1">
      <c r="B1407" s="13" t="s">
        <v>2326</v>
      </c>
      <c r="C1407" s="7">
        <v>147625.89600000015</v>
      </c>
      <c r="D1407" s="7">
        <v>183713.76500000025</v>
      </c>
      <c r="E1407" s="7">
        <v>221387.00600000017</v>
      </c>
      <c r="F1407" s="7">
        <f t="shared" si="1"/>
        <v>552726.667</v>
      </c>
      <c r="G1407" s="14">
        <f t="shared" si="2"/>
        <v>0.004568350021</v>
      </c>
      <c r="I1407" s="12"/>
      <c r="J1407" s="12"/>
      <c r="K1407" s="12"/>
      <c r="L1407" s="12"/>
      <c r="M1407" s="12">
        <v>45132.0</v>
      </c>
      <c r="N1407" s="2">
        <v>455.44</v>
      </c>
      <c r="O1407" s="3" t="s">
        <v>846</v>
      </c>
      <c r="P1407" s="4" t="str">
        <f t="array" ref="P1407">XLOOKUP(O1407,Agregado!$B$2:$B$1511,Agregado!$G$2:$G$1511)</f>
        <v>#N/A</v>
      </c>
    </row>
    <row r="1408" ht="15.75" customHeight="1">
      <c r="B1408" s="13" t="s">
        <v>2327</v>
      </c>
      <c r="C1408" s="7">
        <v>144430.87400000016</v>
      </c>
      <c r="D1408" s="7">
        <v>183943.19200000024</v>
      </c>
      <c r="E1408" s="7">
        <v>221503.82400000017</v>
      </c>
      <c r="F1408" s="7">
        <f t="shared" si="1"/>
        <v>549877.89</v>
      </c>
      <c r="G1408" s="14">
        <f t="shared" si="2"/>
        <v>-0.005167370878</v>
      </c>
      <c r="I1408" s="12"/>
      <c r="J1408" s="12"/>
      <c r="K1408" s="12"/>
      <c r="L1408" s="12"/>
      <c r="M1408" s="12">
        <v>45133.0</v>
      </c>
      <c r="N1408" s="2">
        <v>455.51</v>
      </c>
      <c r="O1408" s="3" t="s">
        <v>847</v>
      </c>
      <c r="P1408" s="4" t="str">
        <f t="array" ref="P1408">XLOOKUP(O1408,Agregado!$B$2:$B$1511,Agregado!$G$2:$G$1511)</f>
        <v>#N/A</v>
      </c>
    </row>
    <row r="1409" ht="15.75" customHeight="1">
      <c r="B1409" s="13" t="s">
        <v>2328</v>
      </c>
      <c r="C1409" s="7">
        <v>144408.36800000016</v>
      </c>
      <c r="D1409" s="7">
        <v>184124.19500000024</v>
      </c>
      <c r="E1409" s="7">
        <v>221531.29100000017</v>
      </c>
      <c r="F1409" s="7">
        <f t="shared" si="1"/>
        <v>550063.854</v>
      </c>
      <c r="G1409" s="14">
        <f t="shared" si="2"/>
        <v>0.0003381342744</v>
      </c>
      <c r="I1409" s="12"/>
      <c r="J1409" s="12"/>
      <c r="K1409" s="12"/>
      <c r="L1409" s="12"/>
      <c r="M1409" s="12">
        <v>45134.0</v>
      </c>
      <c r="N1409" s="2">
        <v>452.49</v>
      </c>
      <c r="O1409" s="3" t="s">
        <v>848</v>
      </c>
      <c r="P1409" s="4" t="str">
        <f t="array" ref="P1409">XLOOKUP(O1409,Agregado!$B$2:$B$1511,Agregado!$G$2:$G$1511)</f>
        <v>#N/A</v>
      </c>
    </row>
    <row r="1410" ht="15.75" customHeight="1">
      <c r="B1410" s="13" t="s">
        <v>2329</v>
      </c>
      <c r="C1410" s="7">
        <v>141467.40400000016</v>
      </c>
      <c r="D1410" s="7">
        <v>184214.47000000023</v>
      </c>
      <c r="E1410" s="7">
        <v>221632.48900000018</v>
      </c>
      <c r="F1410" s="7">
        <f t="shared" si="1"/>
        <v>547314.363</v>
      </c>
      <c r="G1410" s="14">
        <f t="shared" si="2"/>
        <v>-0.005011028487</v>
      </c>
      <c r="I1410" s="12"/>
      <c r="J1410" s="12"/>
      <c r="K1410" s="12"/>
      <c r="L1410" s="12"/>
      <c r="M1410" s="12">
        <v>45135.0</v>
      </c>
      <c r="N1410" s="2">
        <v>456.92</v>
      </c>
      <c r="O1410" s="3" t="s">
        <v>849</v>
      </c>
      <c r="P1410" s="4" t="str">
        <f t="array" ref="P1410">XLOOKUP(O1410,Agregado!$B$2:$B$1511,Agregado!$G$2:$G$1511)</f>
        <v>#N/A</v>
      </c>
    </row>
    <row r="1411" ht="15.75" customHeight="1">
      <c r="B1411" s="13" t="s">
        <v>2330</v>
      </c>
      <c r="C1411" s="7">
        <v>140038.10100000014</v>
      </c>
      <c r="D1411" s="7">
        <v>184304.27300000025</v>
      </c>
      <c r="E1411" s="7">
        <v>221780.01000000018</v>
      </c>
      <c r="F1411" s="7">
        <f t="shared" si="1"/>
        <v>546122.384</v>
      </c>
      <c r="G1411" s="14">
        <f t="shared" si="2"/>
        <v>-0.002180244034</v>
      </c>
      <c r="I1411" s="12"/>
      <c r="J1411" s="12"/>
      <c r="K1411" s="12"/>
      <c r="L1411" s="12"/>
      <c r="M1411" s="12">
        <v>45138.0</v>
      </c>
      <c r="N1411" s="2">
        <v>457.79</v>
      </c>
      <c r="O1411" s="3" t="s">
        <v>850</v>
      </c>
      <c r="P1411" s="4" t="str">
        <f t="array" ref="P1411">XLOOKUP(O1411,Agregado!$B$2:$B$1511,Agregado!$G$2:$G$1511)</f>
        <v>#N/A</v>
      </c>
    </row>
    <row r="1412" ht="15.75" customHeight="1">
      <c r="B1412" s="13" t="s">
        <v>2331</v>
      </c>
      <c r="C1412" s="7">
        <v>139046.57800000015</v>
      </c>
      <c r="D1412" s="7">
        <v>184281.61900000024</v>
      </c>
      <c r="E1412" s="7">
        <v>221576.42900000018</v>
      </c>
      <c r="F1412" s="7">
        <f t="shared" si="1"/>
        <v>544904.626</v>
      </c>
      <c r="G1412" s="14">
        <f t="shared" si="2"/>
        <v>-0.002232315964</v>
      </c>
      <c r="I1412" s="12"/>
      <c r="J1412" s="12"/>
      <c r="K1412" s="12"/>
      <c r="L1412" s="12"/>
      <c r="M1412" s="12">
        <v>45139.0</v>
      </c>
      <c r="N1412" s="2">
        <v>456.48</v>
      </c>
      <c r="O1412" s="3">
        <v>44934.0</v>
      </c>
      <c r="P1412" s="4" t="str">
        <f t="array" ref="P1412">XLOOKUP(O1412,Agregado!$B$2:$B$1511,Agregado!$G$2:$G$1511)</f>
        <v>#N/A</v>
      </c>
    </row>
    <row r="1413" ht="15.75" customHeight="1">
      <c r="B1413" s="13" t="s">
        <v>2332</v>
      </c>
      <c r="C1413" s="7">
        <v>139652.45200000016</v>
      </c>
      <c r="D1413" s="7">
        <v>184259.06000000023</v>
      </c>
      <c r="E1413" s="7">
        <v>221929.4630000002</v>
      </c>
      <c r="F1413" s="7">
        <f t="shared" si="1"/>
        <v>545840.975</v>
      </c>
      <c r="G1413" s="14">
        <f t="shared" si="2"/>
        <v>0.001716897559</v>
      </c>
      <c r="I1413" s="12"/>
      <c r="J1413" s="12"/>
      <c r="K1413" s="12"/>
      <c r="L1413" s="12"/>
      <c r="M1413" s="12">
        <v>45140.0</v>
      </c>
      <c r="N1413" s="2">
        <v>450.13</v>
      </c>
      <c r="O1413" s="3">
        <v>44965.0</v>
      </c>
      <c r="P1413" s="4" t="str">
        <f t="array" ref="P1413">XLOOKUP(O1413,Agregado!$B$2:$B$1511,Agregado!$G$2:$G$1511)</f>
        <v>#N/A</v>
      </c>
    </row>
    <row r="1414" ht="15.75" customHeight="1">
      <c r="B1414" s="13" t="s">
        <v>2333</v>
      </c>
      <c r="C1414" s="7">
        <v>143663.54800000016</v>
      </c>
      <c r="D1414" s="7">
        <v>183587.00900000022</v>
      </c>
      <c r="E1414" s="7">
        <v>221952.8110000002</v>
      </c>
      <c r="F1414" s="7">
        <f t="shared" si="1"/>
        <v>549203.368</v>
      </c>
      <c r="G1414" s="14">
        <f t="shared" si="2"/>
        <v>0.006141127688</v>
      </c>
      <c r="I1414" s="12"/>
      <c r="J1414" s="12"/>
      <c r="K1414" s="12"/>
      <c r="L1414" s="12"/>
      <c r="M1414" s="12">
        <v>45141.0</v>
      </c>
      <c r="N1414" s="2">
        <v>448.84</v>
      </c>
      <c r="O1414" s="3">
        <v>44993.0</v>
      </c>
      <c r="P1414" s="4" t="str">
        <f t="array" ref="P1414">XLOOKUP(O1414,Agregado!$B$2:$B$1511,Agregado!$G$2:$G$1511)</f>
        <v>#N/A</v>
      </c>
    </row>
    <row r="1415" ht="15.75" customHeight="1">
      <c r="B1415" s="13" t="s">
        <v>2334</v>
      </c>
      <c r="C1415" s="7">
        <v>143841.88500000015</v>
      </c>
      <c r="D1415" s="7">
        <v>184841.97600000023</v>
      </c>
      <c r="E1415" s="7">
        <v>221894.61100000018</v>
      </c>
      <c r="F1415" s="7">
        <f t="shared" si="1"/>
        <v>550578.472</v>
      </c>
      <c r="G1415" s="14">
        <f t="shared" si="2"/>
        <v>0.002500686348</v>
      </c>
      <c r="I1415" s="12"/>
      <c r="J1415" s="12"/>
      <c r="K1415" s="12"/>
      <c r="L1415" s="12"/>
      <c r="M1415" s="12">
        <v>45142.0</v>
      </c>
      <c r="N1415" s="2">
        <v>446.81</v>
      </c>
      <c r="O1415" s="3">
        <v>45024.0</v>
      </c>
      <c r="P1415" s="4" t="str">
        <f t="array" ref="P1415">XLOOKUP(O1415,Agregado!$B$2:$B$1511,Agregado!$G$2:$G$1511)</f>
        <v>#N/A</v>
      </c>
    </row>
    <row r="1416" ht="15.75" customHeight="1">
      <c r="B1416" s="13" t="s">
        <v>2335</v>
      </c>
      <c r="C1416" s="7">
        <v>143151.47100000017</v>
      </c>
      <c r="D1416" s="7">
        <v>185513.65500000023</v>
      </c>
      <c r="E1416" s="7">
        <v>222004.5070000002</v>
      </c>
      <c r="F1416" s="7">
        <f t="shared" si="1"/>
        <v>550669.633</v>
      </c>
      <c r="G1416" s="14">
        <f t="shared" si="2"/>
        <v>0.0001655594226</v>
      </c>
      <c r="I1416" s="12"/>
      <c r="J1416" s="12"/>
      <c r="K1416" s="12"/>
      <c r="L1416" s="12"/>
      <c r="M1416" s="12">
        <v>45145.0</v>
      </c>
      <c r="N1416" s="2">
        <v>450.71</v>
      </c>
      <c r="O1416" s="3">
        <v>45115.0</v>
      </c>
      <c r="P1416" s="4" t="str">
        <f t="array" ref="P1416">XLOOKUP(O1416,Agregado!$B$2:$B$1511,Agregado!$G$2:$G$1511)</f>
        <v>#N/A</v>
      </c>
    </row>
    <row r="1417" ht="15.75" customHeight="1">
      <c r="B1417" s="13" t="s">
        <v>2336</v>
      </c>
      <c r="C1417" s="7">
        <v>141986.63800000015</v>
      </c>
      <c r="D1417" s="7">
        <v>185806.40700000024</v>
      </c>
      <c r="E1417" s="7">
        <v>222215.85800000018</v>
      </c>
      <c r="F1417" s="7">
        <f t="shared" si="1"/>
        <v>550008.903</v>
      </c>
      <c r="G1417" s="14">
        <f t="shared" si="2"/>
        <v>-0.001200586834</v>
      </c>
      <c r="I1417" s="12"/>
      <c r="J1417" s="12"/>
      <c r="K1417" s="12"/>
      <c r="L1417" s="12"/>
      <c r="M1417" s="12">
        <v>45146.0</v>
      </c>
      <c r="N1417" s="2">
        <v>448.75</v>
      </c>
      <c r="O1417" s="3">
        <v>45146.0</v>
      </c>
      <c r="P1417" s="4" t="str">
        <f t="array" ref="P1417">XLOOKUP(O1417,Agregado!$B$2:$B$1511,Agregado!$G$2:$G$1511)</f>
        <v>#N/A</v>
      </c>
    </row>
    <row r="1418" ht="15.75" customHeight="1">
      <c r="B1418" s="13" t="s">
        <v>2337</v>
      </c>
      <c r="C1418" s="7">
        <v>141167.25000000015</v>
      </c>
      <c r="D1418" s="7">
        <v>186362.97400000025</v>
      </c>
      <c r="E1418" s="7">
        <v>222579.6340000002</v>
      </c>
      <c r="F1418" s="7">
        <f t="shared" si="1"/>
        <v>550109.858</v>
      </c>
      <c r="G1418" s="14">
        <f t="shared" si="2"/>
        <v>0.0001835347307</v>
      </c>
      <c r="I1418" s="12"/>
      <c r="J1418" s="12"/>
      <c r="K1418" s="12"/>
      <c r="L1418" s="12"/>
      <c r="M1418" s="12">
        <v>45147.0</v>
      </c>
      <c r="N1418" s="2">
        <v>445.75</v>
      </c>
      <c r="O1418" s="3">
        <v>45177.0</v>
      </c>
      <c r="P1418" s="4" t="str">
        <f t="array" ref="P1418">XLOOKUP(O1418,Agregado!$B$2:$B$1511,Agregado!$G$2:$G$1511)</f>
        <v>#N/A</v>
      </c>
    </row>
    <row r="1419" ht="15.75" customHeight="1">
      <c r="B1419" s="13" t="s">
        <v>2338</v>
      </c>
      <c r="C1419" s="7">
        <v>138771.20400000014</v>
      </c>
      <c r="D1419" s="7">
        <v>186362.97400000025</v>
      </c>
      <c r="E1419" s="7">
        <v>222682.8110000002</v>
      </c>
      <c r="F1419" s="7">
        <f t="shared" si="1"/>
        <v>547816.989</v>
      </c>
      <c r="G1419" s="14">
        <f t="shared" si="2"/>
        <v>-0.004176730607</v>
      </c>
      <c r="I1419" s="12"/>
      <c r="J1419" s="12"/>
      <c r="K1419" s="12"/>
      <c r="L1419" s="12"/>
      <c r="M1419" s="12">
        <v>45148.0</v>
      </c>
      <c r="N1419" s="2">
        <v>445.91</v>
      </c>
      <c r="O1419" s="3">
        <v>45207.0</v>
      </c>
      <c r="P1419" s="4" t="str">
        <f t="array" ref="P1419">XLOOKUP(O1419,Agregado!$B$2:$B$1511,Agregado!$G$2:$G$1511)</f>
        <v>#N/A</v>
      </c>
    </row>
    <row r="1420" ht="15.75" customHeight="1">
      <c r="B1420" s="13" t="s">
        <v>2339</v>
      </c>
      <c r="C1420" s="7">
        <v>138836.65500000014</v>
      </c>
      <c r="D1420" s="7">
        <v>186384.90600000025</v>
      </c>
      <c r="E1420" s="7">
        <v>222545.7310000002</v>
      </c>
      <c r="F1420" s="7">
        <f t="shared" si="1"/>
        <v>547767.292</v>
      </c>
      <c r="G1420" s="14">
        <f t="shared" si="2"/>
        <v>-0.00009072236777</v>
      </c>
      <c r="I1420" s="12"/>
      <c r="J1420" s="12"/>
      <c r="K1420" s="12"/>
      <c r="L1420" s="12"/>
      <c r="M1420" s="12">
        <v>45149.0</v>
      </c>
      <c r="N1420" s="2">
        <v>445.65</v>
      </c>
      <c r="O1420" s="3">
        <v>45238.0</v>
      </c>
      <c r="P1420" s="4" t="str">
        <f t="array" ref="P1420">XLOOKUP(O1420,Agregado!$B$2:$B$1511,Agregado!$G$2:$G$1511)</f>
        <v>#N/A</v>
      </c>
    </row>
    <row r="1421" ht="15.75" customHeight="1">
      <c r="B1421" s="13" t="s">
        <v>2340</v>
      </c>
      <c r="C1421" s="7">
        <v>136087.95400000014</v>
      </c>
      <c r="D1421" s="7">
        <v>186516.48600000024</v>
      </c>
      <c r="E1421" s="7">
        <v>221944.2930000002</v>
      </c>
      <c r="F1421" s="7">
        <f t="shared" si="1"/>
        <v>544548.733</v>
      </c>
      <c r="G1421" s="14">
        <f t="shared" si="2"/>
        <v>-0.005893108297</v>
      </c>
      <c r="I1421" s="12"/>
      <c r="J1421" s="12"/>
      <c r="K1421" s="12"/>
      <c r="L1421" s="12"/>
      <c r="M1421" s="12">
        <v>45152.0</v>
      </c>
      <c r="N1421" s="2">
        <v>448.11</v>
      </c>
      <c r="O1421" s="3" t="s">
        <v>851</v>
      </c>
      <c r="P1421" s="4" t="str">
        <f t="array" ref="P1421">XLOOKUP(O1421,Agregado!$B$2:$B$1511,Agregado!$G$2:$G$1511)</f>
        <v>#N/A</v>
      </c>
    </row>
    <row r="1422" ht="15.75" customHeight="1">
      <c r="B1422" s="13" t="s">
        <v>2341</v>
      </c>
      <c r="C1422" s="7">
        <v>134682.18100000016</v>
      </c>
      <c r="D1422" s="7">
        <v>186472.32400000023</v>
      </c>
      <c r="E1422" s="7">
        <v>221920.7990000002</v>
      </c>
      <c r="F1422" s="7">
        <f t="shared" si="1"/>
        <v>543075.304</v>
      </c>
      <c r="G1422" s="14">
        <f t="shared" si="2"/>
        <v>-0.002709447109</v>
      </c>
      <c r="I1422" s="12"/>
      <c r="J1422" s="12"/>
      <c r="K1422" s="12"/>
      <c r="L1422" s="12"/>
      <c r="M1422" s="12">
        <v>45153.0</v>
      </c>
      <c r="N1422" s="2">
        <v>442.89</v>
      </c>
      <c r="O1422" s="3" t="s">
        <v>852</v>
      </c>
      <c r="P1422" s="4" t="str">
        <f t="array" ref="P1422">XLOOKUP(O1422,Agregado!$B$2:$B$1511,Agregado!$G$2:$G$1511)</f>
        <v>#N/A</v>
      </c>
    </row>
    <row r="1423" ht="15.75" customHeight="1">
      <c r="B1423" s="13" t="s">
        <v>2342</v>
      </c>
      <c r="C1423" s="7">
        <v>134287.90000000017</v>
      </c>
      <c r="D1423" s="7">
        <v>186009.90100000022</v>
      </c>
      <c r="E1423" s="7">
        <v>221958.3430000002</v>
      </c>
      <c r="F1423" s="7">
        <f t="shared" si="1"/>
        <v>542256.144</v>
      </c>
      <c r="G1423" s="14">
        <f t="shared" si="2"/>
        <v>-0.001509511508</v>
      </c>
      <c r="I1423" s="12"/>
      <c r="J1423" s="12"/>
      <c r="K1423" s="12"/>
      <c r="L1423" s="12"/>
      <c r="M1423" s="12">
        <v>45154.0</v>
      </c>
      <c r="N1423" s="2">
        <v>439.64</v>
      </c>
      <c r="O1423" s="3" t="s">
        <v>853</v>
      </c>
      <c r="P1423" s="4" t="str">
        <f t="array" ref="P1423">XLOOKUP(O1423,Agregado!$B$2:$B$1511,Agregado!$G$2:$G$1511)</f>
        <v>#N/A</v>
      </c>
    </row>
    <row r="1424" ht="15.75" customHeight="1">
      <c r="B1424" s="13" t="s">
        <v>2343</v>
      </c>
      <c r="C1424" s="7">
        <v>133114.14800000016</v>
      </c>
      <c r="D1424" s="7">
        <v>186499.7030000002</v>
      </c>
      <c r="E1424" s="7">
        <v>221992.0620000002</v>
      </c>
      <c r="F1424" s="7">
        <f t="shared" si="1"/>
        <v>541605.913</v>
      </c>
      <c r="G1424" s="14">
        <f t="shared" si="2"/>
        <v>-0.00119984102</v>
      </c>
      <c r="I1424" s="12"/>
      <c r="J1424" s="12"/>
      <c r="K1424" s="12"/>
      <c r="L1424" s="12"/>
      <c r="M1424" s="12">
        <v>45155.0</v>
      </c>
      <c r="N1424" s="2">
        <v>436.29</v>
      </c>
      <c r="O1424" s="3" t="s">
        <v>854</v>
      </c>
      <c r="P1424" s="4" t="str">
        <f t="array" ref="P1424">XLOOKUP(O1424,Agregado!$B$2:$B$1511,Agregado!$G$2:$G$1511)</f>
        <v>#N/A</v>
      </c>
    </row>
    <row r="1425" ht="15.75" customHeight="1">
      <c r="B1425" s="13" t="s">
        <v>2344</v>
      </c>
      <c r="C1425" s="7">
        <v>133944.42800000016</v>
      </c>
      <c r="D1425" s="7">
        <v>186565.60400000022</v>
      </c>
      <c r="E1425" s="7">
        <v>222297.5240000002</v>
      </c>
      <c r="F1425" s="7">
        <f t="shared" si="1"/>
        <v>542807.556</v>
      </c>
      <c r="G1425" s="14">
        <f t="shared" si="2"/>
        <v>0.002216209087</v>
      </c>
      <c r="I1425" s="12"/>
      <c r="J1425" s="12"/>
      <c r="K1425" s="12"/>
      <c r="L1425" s="12"/>
      <c r="M1425" s="12">
        <v>45156.0</v>
      </c>
      <c r="N1425" s="2">
        <v>436.5</v>
      </c>
      <c r="O1425" s="3" t="s">
        <v>855</v>
      </c>
      <c r="P1425" s="4" t="str">
        <f t="array" ref="P1425">XLOOKUP(O1425,Agregado!$B$2:$B$1511,Agregado!$G$2:$G$1511)</f>
        <v>#N/A</v>
      </c>
    </row>
    <row r="1426" ht="15.75" customHeight="1">
      <c r="B1426" s="13" t="s">
        <v>2345</v>
      </c>
      <c r="C1426" s="7">
        <v>136012.27900000016</v>
      </c>
      <c r="D1426" s="7">
        <v>186609.83800000022</v>
      </c>
      <c r="E1426" s="7">
        <v>222414.27600000022</v>
      </c>
      <c r="F1426" s="7">
        <f t="shared" si="1"/>
        <v>545036.393</v>
      </c>
      <c r="G1426" s="14">
        <f t="shared" si="2"/>
        <v>0.004097720304</v>
      </c>
      <c r="I1426" s="12"/>
      <c r="J1426" s="12"/>
      <c r="K1426" s="12"/>
      <c r="L1426" s="12"/>
      <c r="M1426" s="12">
        <v>45159.0</v>
      </c>
      <c r="N1426" s="2">
        <v>439.34</v>
      </c>
      <c r="O1426" s="3" t="s">
        <v>856</v>
      </c>
      <c r="P1426" s="4" t="str">
        <f t="array" ref="P1426">XLOOKUP(O1426,Agregado!$B$2:$B$1511,Agregado!$G$2:$G$1511)</f>
        <v>#N/A</v>
      </c>
    </row>
    <row r="1427" ht="15.75" customHeight="1">
      <c r="B1427" s="13" t="s">
        <v>2346</v>
      </c>
      <c r="C1427" s="7">
        <v>134595.56900000016</v>
      </c>
      <c r="D1427" s="7">
        <v>186943.67700000023</v>
      </c>
      <c r="E1427" s="7">
        <v>222701.58000000022</v>
      </c>
      <c r="F1427" s="7">
        <f t="shared" si="1"/>
        <v>544240.826</v>
      </c>
      <c r="G1427" s="14">
        <f t="shared" si="2"/>
        <v>-0.001460724832</v>
      </c>
      <c r="I1427" s="12"/>
      <c r="J1427" s="12"/>
      <c r="K1427" s="12"/>
      <c r="L1427" s="12"/>
      <c r="M1427" s="12">
        <v>45160.0</v>
      </c>
      <c r="N1427" s="2">
        <v>438.15</v>
      </c>
      <c r="O1427" s="3" t="s">
        <v>857</v>
      </c>
      <c r="P1427" s="4" t="str">
        <f t="array" ref="P1427">XLOOKUP(O1427,Agregado!$B$2:$B$1511,Agregado!$G$2:$G$1511)</f>
        <v>#N/A</v>
      </c>
    </row>
    <row r="1428" ht="15.75" customHeight="1">
      <c r="B1428" s="13" t="s">
        <v>2347</v>
      </c>
      <c r="C1428" s="7">
        <v>133787.11200000017</v>
      </c>
      <c r="D1428" s="7">
        <v>187463.00600000023</v>
      </c>
      <c r="E1428" s="7">
        <v>222971.80200000023</v>
      </c>
      <c r="F1428" s="7">
        <f t="shared" si="1"/>
        <v>544221.92</v>
      </c>
      <c r="G1428" s="14">
        <f t="shared" si="2"/>
        <v>-0.00003473890139</v>
      </c>
      <c r="I1428" s="12"/>
      <c r="J1428" s="12"/>
      <c r="K1428" s="12"/>
      <c r="L1428" s="12"/>
      <c r="M1428" s="12">
        <v>45161.0</v>
      </c>
      <c r="N1428" s="2">
        <v>443.03</v>
      </c>
      <c r="O1428" s="3" t="s">
        <v>858</v>
      </c>
      <c r="P1428" s="4" t="str">
        <f t="array" ref="P1428">XLOOKUP(O1428,Agregado!$B$2:$B$1511,Agregado!$G$2:$G$1511)</f>
        <v>#N/A</v>
      </c>
    </row>
    <row r="1429" ht="15.75" customHeight="1">
      <c r="B1429" s="13" t="s">
        <v>2348</v>
      </c>
      <c r="C1429" s="7">
        <v>133426.36500000017</v>
      </c>
      <c r="D1429" s="7">
        <v>187168.29900000023</v>
      </c>
      <c r="E1429" s="7">
        <v>223478.91400000022</v>
      </c>
      <c r="F1429" s="7">
        <f t="shared" si="1"/>
        <v>544073.578</v>
      </c>
      <c r="G1429" s="14">
        <f t="shared" si="2"/>
        <v>-0.0002726134606</v>
      </c>
      <c r="I1429" s="12"/>
      <c r="J1429" s="12"/>
      <c r="K1429" s="12"/>
      <c r="L1429" s="12"/>
      <c r="M1429" s="12">
        <v>45162.0</v>
      </c>
      <c r="N1429" s="2">
        <v>436.89</v>
      </c>
      <c r="O1429" s="3" t="s">
        <v>859</v>
      </c>
      <c r="P1429" s="4" t="str">
        <f t="array" ref="P1429">XLOOKUP(O1429,Agregado!$B$2:$B$1511,Agregado!$G$2:$G$1511)</f>
        <v>#N/A</v>
      </c>
    </row>
    <row r="1430" ht="15.75" customHeight="1">
      <c r="B1430" s="13" t="s">
        <v>2349</v>
      </c>
      <c r="C1430" s="7">
        <v>136443.50200000015</v>
      </c>
      <c r="D1430" s="7">
        <v>185945.80200000023</v>
      </c>
      <c r="E1430" s="7">
        <v>225712.29600000023</v>
      </c>
      <c r="F1430" s="7">
        <f t="shared" si="1"/>
        <v>548101.6</v>
      </c>
      <c r="G1430" s="14">
        <f t="shared" si="2"/>
        <v>0.007376179837</v>
      </c>
      <c r="I1430" s="12"/>
      <c r="J1430" s="12"/>
      <c r="K1430" s="12"/>
      <c r="L1430" s="12"/>
      <c r="M1430" s="12">
        <v>45163.0</v>
      </c>
      <c r="N1430" s="2">
        <v>439.97</v>
      </c>
      <c r="O1430" s="3" t="s">
        <v>860</v>
      </c>
      <c r="P1430" s="4" t="str">
        <f t="array" ref="P1430">XLOOKUP(O1430,Agregado!$B$2:$B$1511,Agregado!$G$2:$G$1511)</f>
        <v>#N/A</v>
      </c>
    </row>
    <row r="1431" ht="15.75" customHeight="1">
      <c r="B1431" s="13" t="s">
        <v>2350</v>
      </c>
      <c r="C1431" s="7">
        <v>134729.14500000016</v>
      </c>
      <c r="D1431" s="7">
        <v>185650.95400000023</v>
      </c>
      <c r="E1431" s="7">
        <v>225905.57200000025</v>
      </c>
      <c r="F1431" s="7">
        <f t="shared" si="1"/>
        <v>546285.671</v>
      </c>
      <c r="G1431" s="14">
        <f t="shared" si="2"/>
        <v>-0.003318625344</v>
      </c>
      <c r="I1431" s="12"/>
      <c r="J1431" s="12"/>
      <c r="K1431" s="12"/>
      <c r="L1431" s="12"/>
      <c r="M1431" s="12">
        <v>45166.0</v>
      </c>
      <c r="N1431" s="2">
        <v>442.76</v>
      </c>
      <c r="O1431" s="3" t="s">
        <v>861</v>
      </c>
      <c r="P1431" s="4" t="str">
        <f t="array" ref="P1431">XLOOKUP(O1431,Agregado!$B$2:$B$1511,Agregado!$G$2:$G$1511)</f>
        <v>#N/A</v>
      </c>
    </row>
    <row r="1432" ht="15.75" customHeight="1">
      <c r="B1432" s="13" t="s">
        <v>2351</v>
      </c>
      <c r="C1432" s="7">
        <v>133785.66100000017</v>
      </c>
      <c r="D1432" s="7">
        <v>186170.44200000024</v>
      </c>
      <c r="E1432" s="7">
        <v>226580.74500000026</v>
      </c>
      <c r="F1432" s="7">
        <f t="shared" si="1"/>
        <v>546536.848</v>
      </c>
      <c r="G1432" s="14">
        <f t="shared" si="2"/>
        <v>0.0004596848986</v>
      </c>
      <c r="I1432" s="12"/>
      <c r="J1432" s="12"/>
      <c r="K1432" s="12"/>
      <c r="L1432" s="12"/>
      <c r="M1432" s="12">
        <v>45167.0</v>
      </c>
      <c r="N1432" s="2">
        <v>449.16</v>
      </c>
      <c r="O1432" s="3" t="s">
        <v>862</v>
      </c>
      <c r="P1432" s="4" t="str">
        <f t="array" ref="P1432">XLOOKUP(O1432,Agregado!$B$2:$B$1511,Agregado!$G$2:$G$1511)</f>
        <v>#N/A</v>
      </c>
    </row>
    <row r="1433" ht="15.75" customHeight="1">
      <c r="B1433" s="13" t="s">
        <v>2352</v>
      </c>
      <c r="C1433" s="7">
        <v>135525.70400000017</v>
      </c>
      <c r="D1433" s="7">
        <v>184869.52500000026</v>
      </c>
      <c r="E1433" s="7">
        <v>226967.68900000025</v>
      </c>
      <c r="F1433" s="7">
        <f t="shared" si="1"/>
        <v>547362.918</v>
      </c>
      <c r="G1433" s="14">
        <f t="shared" si="2"/>
        <v>0.00151032148</v>
      </c>
      <c r="I1433" s="12"/>
      <c r="J1433" s="12"/>
      <c r="K1433" s="12"/>
      <c r="L1433" s="12"/>
      <c r="M1433" s="12">
        <v>45168.0</v>
      </c>
      <c r="N1433" s="2">
        <v>451.01</v>
      </c>
      <c r="O1433" s="3" t="s">
        <v>863</v>
      </c>
      <c r="P1433" s="4" t="str">
        <f t="array" ref="P1433">XLOOKUP(O1433,Agregado!$B$2:$B$1511,Agregado!$G$2:$G$1511)</f>
        <v>#N/A</v>
      </c>
    </row>
    <row r="1434" ht="15.75" customHeight="1">
      <c r="B1434" s="13" t="s">
        <v>2353</v>
      </c>
      <c r="C1434" s="7">
        <v>137860.87500000017</v>
      </c>
      <c r="D1434" s="7">
        <v>185294.37600000025</v>
      </c>
      <c r="E1434" s="7">
        <v>227004.20300000024</v>
      </c>
      <c r="F1434" s="7">
        <f t="shared" si="1"/>
        <v>550159.454</v>
      </c>
      <c r="G1434" s="14">
        <f t="shared" si="2"/>
        <v>0.005096100314</v>
      </c>
      <c r="I1434" s="12"/>
      <c r="J1434" s="12"/>
      <c r="K1434" s="12"/>
      <c r="L1434" s="12"/>
      <c r="M1434" s="12">
        <v>45169.0</v>
      </c>
      <c r="N1434" s="2">
        <v>450.35</v>
      </c>
      <c r="O1434" s="3" t="s">
        <v>864</v>
      </c>
      <c r="P1434" s="4" t="str">
        <f t="array" ref="P1434">XLOOKUP(O1434,Agregado!$B$2:$B$1511,Agregado!$G$2:$G$1511)</f>
        <v>#N/A</v>
      </c>
    </row>
    <row r="1435" ht="15.75" customHeight="1">
      <c r="B1435" s="13" t="s">
        <v>2354</v>
      </c>
      <c r="C1435" s="7">
        <v>140266.33900000018</v>
      </c>
      <c r="D1435" s="7">
        <v>186190.14000000025</v>
      </c>
      <c r="E1435" s="7">
        <v>227278.71900000024</v>
      </c>
      <c r="F1435" s="7">
        <f t="shared" si="1"/>
        <v>553735.198</v>
      </c>
      <c r="G1435" s="14">
        <f t="shared" si="2"/>
        <v>0.006478437956</v>
      </c>
      <c r="I1435" s="12"/>
      <c r="J1435" s="12"/>
      <c r="K1435" s="12"/>
      <c r="L1435" s="12"/>
      <c r="M1435" s="12">
        <v>45170.0</v>
      </c>
      <c r="N1435" s="2">
        <v>451.19</v>
      </c>
      <c r="O1435" s="3">
        <v>44935.0</v>
      </c>
      <c r="P1435" s="4" t="str">
        <f t="array" ref="P1435">XLOOKUP(O1435,Agregado!$B$2:$B$1511,Agregado!$G$2:$G$1511)</f>
        <v>#N/A</v>
      </c>
    </row>
    <row r="1436" ht="15.75" customHeight="1">
      <c r="B1436" s="13" t="s">
        <v>2355</v>
      </c>
      <c r="C1436" s="7">
        <v>139033.1260000002</v>
      </c>
      <c r="D1436" s="7">
        <v>188196.60900000026</v>
      </c>
      <c r="E1436" s="7">
        <v>226038.79000000024</v>
      </c>
      <c r="F1436" s="7">
        <f t="shared" si="1"/>
        <v>553268.525</v>
      </c>
      <c r="G1436" s="14">
        <f t="shared" si="2"/>
        <v>-0.000843128199</v>
      </c>
      <c r="I1436" s="12"/>
      <c r="J1436" s="12"/>
      <c r="K1436" s="12"/>
      <c r="L1436" s="12"/>
      <c r="M1436" s="12">
        <v>45174.0</v>
      </c>
      <c r="N1436" s="2">
        <v>449.24</v>
      </c>
      <c r="O1436" s="3">
        <v>45055.0</v>
      </c>
      <c r="P1436" s="4" t="str">
        <f t="array" ref="P1436">XLOOKUP(O1436,Agregado!$B$2:$B$1511,Agregado!$G$2:$G$1511)</f>
        <v>#N/A</v>
      </c>
    </row>
    <row r="1437" ht="15.75" customHeight="1">
      <c r="B1437" s="13" t="s">
        <v>2356</v>
      </c>
      <c r="C1437" s="7">
        <v>137338.66500000018</v>
      </c>
      <c r="D1437" s="7">
        <v>190124.47500000027</v>
      </c>
      <c r="E1437" s="7">
        <v>224181.08000000025</v>
      </c>
      <c r="F1437" s="7">
        <f t="shared" si="1"/>
        <v>551644.22</v>
      </c>
      <c r="G1437" s="14">
        <f t="shared" si="2"/>
        <v>-0.002940152836</v>
      </c>
      <c r="I1437" s="12"/>
      <c r="J1437" s="12"/>
      <c r="K1437" s="12"/>
      <c r="L1437" s="12"/>
      <c r="M1437" s="12">
        <v>45175.0</v>
      </c>
      <c r="N1437" s="2">
        <v>446.22</v>
      </c>
      <c r="O1437" s="3">
        <v>45086.0</v>
      </c>
      <c r="P1437" s="4" t="str">
        <f t="array" ref="P1437">XLOOKUP(O1437,Agregado!$B$2:$B$1511,Agregado!$G$2:$G$1511)</f>
        <v>#N/A</v>
      </c>
    </row>
    <row r="1438" ht="15.75" customHeight="1">
      <c r="B1438" s="13" t="s">
        <v>2357</v>
      </c>
      <c r="C1438" s="7">
        <v>137003.8160000002</v>
      </c>
      <c r="D1438" s="7">
        <v>190191.81000000026</v>
      </c>
      <c r="E1438" s="7">
        <v>225507.29100000026</v>
      </c>
      <c r="F1438" s="7">
        <f t="shared" si="1"/>
        <v>552702.917</v>
      </c>
      <c r="G1438" s="14">
        <f t="shared" si="2"/>
        <v>0.001917327059</v>
      </c>
      <c r="I1438" s="12"/>
      <c r="J1438" s="12"/>
      <c r="K1438" s="12"/>
      <c r="L1438" s="12"/>
      <c r="M1438" s="12">
        <v>45176.0</v>
      </c>
      <c r="N1438" s="2">
        <v>444.85</v>
      </c>
      <c r="O1438" s="3">
        <v>45116.0</v>
      </c>
      <c r="P1438" s="4" t="str">
        <f t="array" ref="P1438">XLOOKUP(O1438,Agregado!$B$2:$B$1511,Agregado!$G$2:$G$1511)</f>
        <v>#N/A</v>
      </c>
    </row>
    <row r="1439" ht="15.75" customHeight="1">
      <c r="B1439" s="13" t="s">
        <v>2358</v>
      </c>
      <c r="C1439" s="7">
        <v>135472.6560000002</v>
      </c>
      <c r="D1439" s="7">
        <v>190893.66600000026</v>
      </c>
      <c r="E1439" s="7">
        <v>225728.45700000026</v>
      </c>
      <c r="F1439" s="7">
        <f t="shared" si="1"/>
        <v>552094.779</v>
      </c>
      <c r="G1439" s="14">
        <f t="shared" si="2"/>
        <v>-0.001100903928</v>
      </c>
      <c r="I1439" s="12"/>
      <c r="J1439" s="12"/>
      <c r="K1439" s="12"/>
      <c r="L1439" s="12"/>
      <c r="M1439" s="12">
        <v>45177.0</v>
      </c>
      <c r="N1439" s="2">
        <v>445.52</v>
      </c>
      <c r="O1439" s="3">
        <v>45147.0</v>
      </c>
      <c r="P1439" s="4" t="str">
        <f t="array" ref="P1439">XLOOKUP(O1439,Agregado!$B$2:$B$1511,Agregado!$G$2:$G$1511)</f>
        <v>#N/A</v>
      </c>
    </row>
    <row r="1440" ht="15.75" customHeight="1">
      <c r="B1440" s="13" t="s">
        <v>2359</v>
      </c>
      <c r="C1440" s="7">
        <v>136669.6060000002</v>
      </c>
      <c r="D1440" s="7">
        <v>191162.05900000027</v>
      </c>
      <c r="E1440" s="7">
        <v>224698.81700000024</v>
      </c>
      <c r="F1440" s="7">
        <f t="shared" si="1"/>
        <v>552530.482</v>
      </c>
      <c r="G1440" s="14">
        <f t="shared" si="2"/>
        <v>0.0007888702857</v>
      </c>
      <c r="I1440" s="12"/>
      <c r="J1440" s="12"/>
      <c r="K1440" s="12"/>
      <c r="L1440" s="12"/>
      <c r="M1440" s="12">
        <v>45180.0</v>
      </c>
      <c r="N1440" s="2">
        <v>448.45</v>
      </c>
      <c r="O1440" s="3">
        <v>45239.0</v>
      </c>
      <c r="P1440" s="4" t="str">
        <f t="array" ref="P1440">XLOOKUP(O1440,Agregado!$B$2:$B$1511,Agregado!$G$2:$G$1511)</f>
        <v>#N/A</v>
      </c>
    </row>
    <row r="1441" ht="15.75" customHeight="1">
      <c r="B1441" s="13" t="s">
        <v>2360</v>
      </c>
      <c r="C1441" s="7">
        <v>139242.7200000002</v>
      </c>
      <c r="D1441" s="7">
        <v>190759.17300000027</v>
      </c>
      <c r="E1441" s="7">
        <v>224969.01800000024</v>
      </c>
      <c r="F1441" s="7">
        <f t="shared" si="1"/>
        <v>554970.911</v>
      </c>
      <c r="G1441" s="14">
        <f t="shared" si="2"/>
        <v>0.004407096849</v>
      </c>
      <c r="I1441" s="12"/>
      <c r="J1441" s="12"/>
      <c r="K1441" s="12"/>
      <c r="L1441" s="12"/>
      <c r="M1441" s="12">
        <v>45181.0</v>
      </c>
      <c r="N1441" s="2">
        <v>445.99</v>
      </c>
      <c r="O1441" s="3">
        <v>45269.0</v>
      </c>
      <c r="P1441" s="4" t="str">
        <f t="array" ref="P1441">XLOOKUP(O1441,Agregado!$B$2:$B$1511,Agregado!$G$2:$G$1511)</f>
        <v>#N/A</v>
      </c>
    </row>
    <row r="1442" ht="15.75" customHeight="1">
      <c r="B1442" s="13" t="s">
        <v>2361</v>
      </c>
      <c r="C1442" s="7">
        <v>138069.6060000002</v>
      </c>
      <c r="D1442" s="7">
        <v>190491.16100000028</v>
      </c>
      <c r="E1442" s="7">
        <v>225363.31200000024</v>
      </c>
      <c r="F1442" s="7">
        <f t="shared" si="1"/>
        <v>553924.079</v>
      </c>
      <c r="G1442" s="14">
        <f t="shared" si="2"/>
        <v>-0.00188806392</v>
      </c>
      <c r="I1442" s="12"/>
      <c r="J1442" s="12"/>
      <c r="K1442" s="12"/>
      <c r="L1442" s="12"/>
      <c r="M1442" s="12">
        <v>45182.0</v>
      </c>
      <c r="N1442" s="2">
        <v>446.51</v>
      </c>
      <c r="O1442" s="3" t="s">
        <v>865</v>
      </c>
      <c r="P1442" s="4" t="str">
        <f t="array" ref="P1442">XLOOKUP(O1442,Agregado!$B$2:$B$1511,Agregado!$G$2:$G$1511)</f>
        <v>#N/A</v>
      </c>
    </row>
    <row r="1443" ht="15.75" customHeight="1">
      <c r="B1443" s="13" t="s">
        <v>2362</v>
      </c>
      <c r="C1443" s="7">
        <v>135876.8400000002</v>
      </c>
      <c r="D1443" s="7">
        <v>190070.76700000028</v>
      </c>
      <c r="E1443" s="7">
        <v>225560.23400000023</v>
      </c>
      <c r="F1443" s="7">
        <f t="shared" si="1"/>
        <v>551507.841</v>
      </c>
      <c r="G1443" s="14">
        <f t="shared" si="2"/>
        <v>-0.004371579659</v>
      </c>
      <c r="I1443" s="12"/>
      <c r="J1443" s="12"/>
      <c r="K1443" s="12"/>
      <c r="L1443" s="12"/>
      <c r="M1443" s="12">
        <v>45183.0</v>
      </c>
      <c r="N1443" s="2">
        <v>450.36</v>
      </c>
      <c r="O1443" s="3" t="s">
        <v>866</v>
      </c>
      <c r="P1443" s="4" t="str">
        <f t="array" ref="P1443">XLOOKUP(O1443,Agregado!$B$2:$B$1511,Agregado!$G$2:$G$1511)</f>
        <v>#N/A</v>
      </c>
    </row>
    <row r="1444" ht="15.75" customHeight="1">
      <c r="B1444" s="13" t="s">
        <v>2363</v>
      </c>
      <c r="C1444" s="7">
        <v>139392.5420000002</v>
      </c>
      <c r="D1444" s="7">
        <v>189635.49100000027</v>
      </c>
      <c r="E1444" s="7">
        <v>226033.81100000022</v>
      </c>
      <c r="F1444" s="7">
        <f t="shared" si="1"/>
        <v>555061.844</v>
      </c>
      <c r="G1444" s="14">
        <f t="shared" si="2"/>
        <v>0.006423481988</v>
      </c>
      <c r="I1444" s="12"/>
      <c r="J1444" s="12"/>
      <c r="K1444" s="12"/>
      <c r="L1444" s="12"/>
      <c r="M1444" s="12">
        <v>45184.0</v>
      </c>
      <c r="N1444" s="2">
        <v>443.37</v>
      </c>
      <c r="O1444" s="3" t="s">
        <v>867</v>
      </c>
      <c r="P1444" s="4" t="str">
        <f t="array" ref="P1444">XLOOKUP(O1444,Agregado!$B$2:$B$1511,Agregado!$G$2:$G$1511)</f>
        <v>#N/A</v>
      </c>
    </row>
    <row r="1445" ht="15.75" customHeight="1">
      <c r="B1445" s="13" t="s">
        <v>2364</v>
      </c>
      <c r="C1445" s="7">
        <v>146536.98900000018</v>
      </c>
      <c r="D1445" s="7">
        <v>186030.94400000028</v>
      </c>
      <c r="E1445" s="7">
        <v>225845.3500000002</v>
      </c>
      <c r="F1445" s="7">
        <f t="shared" si="1"/>
        <v>558413.283</v>
      </c>
      <c r="G1445" s="14">
        <f t="shared" si="2"/>
        <v>0.006019800604</v>
      </c>
      <c r="I1445" s="12"/>
      <c r="J1445" s="12"/>
      <c r="K1445" s="12"/>
      <c r="L1445" s="12"/>
      <c r="M1445" s="12">
        <v>45187.0</v>
      </c>
      <c r="N1445" s="2">
        <v>443.63</v>
      </c>
      <c r="O1445" s="3" t="s">
        <v>868</v>
      </c>
      <c r="P1445" s="4" t="str">
        <f t="array" ref="P1445">XLOOKUP(O1445,Agregado!$B$2:$B$1511,Agregado!$G$2:$G$1511)</f>
        <v>#N/A</v>
      </c>
    </row>
    <row r="1446" ht="15.75" customHeight="1">
      <c r="B1446" s="13" t="s">
        <v>2365</v>
      </c>
      <c r="C1446" s="7">
        <v>146904.29600000018</v>
      </c>
      <c r="D1446" s="7">
        <v>184613.83000000028</v>
      </c>
      <c r="E1446" s="7">
        <v>225819.07500000022</v>
      </c>
      <c r="F1446" s="7">
        <f t="shared" si="1"/>
        <v>557337.201</v>
      </c>
      <c r="G1446" s="14">
        <f t="shared" si="2"/>
        <v>-0.001928894227</v>
      </c>
      <c r="I1446" s="12"/>
      <c r="J1446" s="12"/>
      <c r="K1446" s="12"/>
      <c r="L1446" s="12"/>
      <c r="M1446" s="12">
        <v>45188.0</v>
      </c>
      <c r="N1446" s="2">
        <v>442.71</v>
      </c>
      <c r="O1446" s="3" t="s">
        <v>869</v>
      </c>
      <c r="P1446" s="4" t="str">
        <f t="array" ref="P1446">XLOOKUP(O1446,Agregado!$B$2:$B$1511,Agregado!$G$2:$G$1511)</f>
        <v>#N/A</v>
      </c>
    </row>
    <row r="1447" ht="15.75" customHeight="1">
      <c r="B1447" s="13" t="s">
        <v>2366</v>
      </c>
      <c r="C1447" s="7">
        <v>149011.93000000017</v>
      </c>
      <c r="D1447" s="7">
        <v>185768.4890000003</v>
      </c>
      <c r="E1447" s="7">
        <v>225883.1600000002</v>
      </c>
      <c r="F1447" s="7">
        <f t="shared" si="1"/>
        <v>560663.579</v>
      </c>
      <c r="G1447" s="14">
        <f t="shared" si="2"/>
        <v>0.005950600169</v>
      </c>
      <c r="I1447" s="12"/>
      <c r="J1447" s="12"/>
      <c r="K1447" s="12"/>
      <c r="L1447" s="12"/>
      <c r="M1447" s="12">
        <v>45189.0</v>
      </c>
      <c r="N1447" s="2">
        <v>438.64</v>
      </c>
      <c r="O1447" s="3" t="s">
        <v>870</v>
      </c>
      <c r="P1447" s="4" t="str">
        <f t="array" ref="P1447">XLOOKUP(O1447,Agregado!$B$2:$B$1511,Agregado!$G$2:$G$1511)</f>
        <v>#N/A</v>
      </c>
    </row>
    <row r="1448" ht="15.75" customHeight="1">
      <c r="B1448" s="13" t="s">
        <v>2367</v>
      </c>
      <c r="C1448" s="7">
        <v>145562.22000000018</v>
      </c>
      <c r="D1448" s="7">
        <v>191094.0680000003</v>
      </c>
      <c r="E1448" s="7">
        <v>226468.1630000002</v>
      </c>
      <c r="F1448" s="7">
        <f t="shared" si="1"/>
        <v>563124.451</v>
      </c>
      <c r="G1448" s="14">
        <f t="shared" si="2"/>
        <v>0.00437960873</v>
      </c>
      <c r="I1448" s="12"/>
      <c r="J1448" s="12"/>
      <c r="K1448" s="12"/>
      <c r="L1448" s="12"/>
      <c r="M1448" s="12">
        <v>45190.0</v>
      </c>
      <c r="N1448" s="2">
        <v>431.39</v>
      </c>
      <c r="O1448" s="3" t="s">
        <v>871</v>
      </c>
      <c r="P1448" s="4" t="str">
        <f t="array" ref="P1448">XLOOKUP(O1448,Agregado!$B$2:$B$1511,Agregado!$G$2:$G$1511)</f>
        <v>#N/A</v>
      </c>
    </row>
    <row r="1449" ht="15.75" customHeight="1">
      <c r="B1449" s="13" t="s">
        <v>2368</v>
      </c>
      <c r="C1449" s="7">
        <v>142862.9500000002</v>
      </c>
      <c r="D1449" s="7">
        <v>191223.1680000003</v>
      </c>
      <c r="E1449" s="7">
        <v>226123.7450000002</v>
      </c>
      <c r="F1449" s="7">
        <f t="shared" si="1"/>
        <v>560209.863</v>
      </c>
      <c r="G1449" s="14">
        <f t="shared" si="2"/>
        <v>-0.005189184562</v>
      </c>
      <c r="I1449" s="12"/>
      <c r="J1449" s="12"/>
      <c r="K1449" s="12"/>
      <c r="L1449" s="12"/>
      <c r="M1449" s="12">
        <v>45191.0</v>
      </c>
      <c r="N1449" s="2">
        <v>430.42</v>
      </c>
      <c r="O1449" s="3" t="s">
        <v>872</v>
      </c>
      <c r="P1449" s="4" t="str">
        <f t="array" ref="P1449">XLOOKUP(O1449,Agregado!$B$2:$B$1511,Agregado!$G$2:$G$1511)</f>
        <v>#N/A</v>
      </c>
    </row>
    <row r="1450" ht="15.75" customHeight="1">
      <c r="B1450" s="13" t="s">
        <v>2369</v>
      </c>
      <c r="C1450" s="7">
        <v>145875.4580000002</v>
      </c>
      <c r="D1450" s="7">
        <v>191974.2380000003</v>
      </c>
      <c r="E1450" s="7">
        <v>226251.3270000002</v>
      </c>
      <c r="F1450" s="7">
        <f t="shared" si="1"/>
        <v>564101.023</v>
      </c>
      <c r="G1450" s="14">
        <f t="shared" si="2"/>
        <v>0.006921885369</v>
      </c>
      <c r="I1450" s="12"/>
      <c r="J1450" s="12"/>
      <c r="K1450" s="12"/>
      <c r="L1450" s="12"/>
      <c r="M1450" s="12">
        <v>45194.0</v>
      </c>
      <c r="N1450" s="2">
        <v>432.23</v>
      </c>
      <c r="O1450" s="3" t="s">
        <v>873</v>
      </c>
      <c r="P1450" s="4" t="str">
        <f t="array" ref="P1450">XLOOKUP(O1450,Agregado!$B$2:$B$1511,Agregado!$G$2:$G$1511)</f>
        <v>#N/A</v>
      </c>
    </row>
    <row r="1451" ht="15.75" customHeight="1">
      <c r="B1451" s="13" t="s">
        <v>2370</v>
      </c>
      <c r="C1451" s="7">
        <v>144700.2700000002</v>
      </c>
      <c r="D1451" s="7">
        <v>192210.3080000003</v>
      </c>
      <c r="E1451" s="7">
        <v>226549.0560000002</v>
      </c>
      <c r="F1451" s="7">
        <f t="shared" si="1"/>
        <v>563459.634</v>
      </c>
      <c r="G1451" s="14">
        <f t="shared" si="2"/>
        <v>-0.001137657766</v>
      </c>
      <c r="I1451" s="12"/>
      <c r="J1451" s="12"/>
      <c r="K1451" s="12"/>
      <c r="L1451" s="12"/>
      <c r="M1451" s="12">
        <v>45195.0</v>
      </c>
      <c r="N1451" s="2">
        <v>425.88</v>
      </c>
      <c r="O1451" s="3" t="s">
        <v>874</v>
      </c>
      <c r="P1451" s="4" t="str">
        <f t="array" ref="P1451">XLOOKUP(O1451,Agregado!$B$2:$B$1511,Agregado!$G$2:$G$1511)</f>
        <v>#N/A</v>
      </c>
    </row>
    <row r="1452" ht="15.75" customHeight="1">
      <c r="B1452" s="13" t="s">
        <v>2371</v>
      </c>
      <c r="C1452" s="7">
        <v>142550.6220000002</v>
      </c>
      <c r="D1452" s="7">
        <v>193543.8680000003</v>
      </c>
      <c r="E1452" s="7">
        <v>227689.11100000018</v>
      </c>
      <c r="F1452" s="7">
        <f t="shared" si="1"/>
        <v>563783.601</v>
      </c>
      <c r="G1452" s="14">
        <f t="shared" si="2"/>
        <v>0.0005747952152</v>
      </c>
      <c r="I1452" s="12"/>
      <c r="J1452" s="12"/>
      <c r="K1452" s="12"/>
      <c r="L1452" s="12"/>
      <c r="M1452" s="12">
        <v>45196.0</v>
      </c>
      <c r="N1452" s="2">
        <v>426.05</v>
      </c>
      <c r="O1452" s="3" t="s">
        <v>875</v>
      </c>
      <c r="P1452" s="4" t="str">
        <f t="array" ref="P1452">XLOOKUP(O1452,Agregado!$B$2:$B$1511,Agregado!$G$2:$G$1511)</f>
        <v>#N/A</v>
      </c>
    </row>
    <row r="1453" ht="15.75" customHeight="1">
      <c r="B1453" s="13" t="s">
        <v>2372</v>
      </c>
      <c r="C1453" s="7">
        <v>140277.3190000002</v>
      </c>
      <c r="D1453" s="7">
        <v>193607.88600000032</v>
      </c>
      <c r="E1453" s="7">
        <v>227996.2950000002</v>
      </c>
      <c r="F1453" s="7">
        <f t="shared" si="1"/>
        <v>561881.5</v>
      </c>
      <c r="G1453" s="14">
        <f t="shared" si="2"/>
        <v>-0.003379518133</v>
      </c>
      <c r="I1453" s="12"/>
      <c r="J1453" s="12"/>
      <c r="K1453" s="12"/>
      <c r="L1453" s="12"/>
      <c r="M1453" s="12">
        <v>45197.0</v>
      </c>
      <c r="N1453" s="2">
        <v>428.52</v>
      </c>
      <c r="O1453" s="3" t="s">
        <v>876</v>
      </c>
      <c r="P1453" s="4" t="str">
        <f t="array" ref="P1453">XLOOKUP(O1453,Agregado!$B$2:$B$1511,Agregado!$G$2:$G$1511)</f>
        <v>#N/A</v>
      </c>
    </row>
    <row r="1454" ht="15.75" customHeight="1">
      <c r="B1454" s="13" t="s">
        <v>2373</v>
      </c>
      <c r="C1454" s="7">
        <v>137879.2470000002</v>
      </c>
      <c r="D1454" s="7">
        <v>194247.3460000003</v>
      </c>
      <c r="E1454" s="7">
        <v>228184.4950000002</v>
      </c>
      <c r="F1454" s="7">
        <f t="shared" si="1"/>
        <v>560311.088</v>
      </c>
      <c r="G1454" s="14">
        <f t="shared" si="2"/>
        <v>-0.002798829794</v>
      </c>
      <c r="I1454" s="12"/>
      <c r="J1454" s="12"/>
      <c r="K1454" s="12"/>
      <c r="L1454" s="12"/>
      <c r="M1454" s="12">
        <v>45198.0</v>
      </c>
      <c r="N1454" s="2">
        <v>427.48</v>
      </c>
      <c r="O1454" s="3" t="s">
        <v>877</v>
      </c>
      <c r="P1454" s="4" t="str">
        <f t="array" ref="P1454">XLOOKUP(O1454,Agregado!$B$2:$B$1511,Agregado!$G$2:$G$1511)</f>
        <v>#N/A</v>
      </c>
    </row>
    <row r="1455" ht="15.75" customHeight="1">
      <c r="B1455" s="13" t="s">
        <v>2374</v>
      </c>
      <c r="C1455" s="7">
        <v>138351.7180000002</v>
      </c>
      <c r="D1455" s="7">
        <v>194074.7810000003</v>
      </c>
      <c r="E1455" s="7">
        <v>228433.1640000002</v>
      </c>
      <c r="F1455" s="7">
        <f t="shared" si="1"/>
        <v>560859.663</v>
      </c>
      <c r="G1455" s="14">
        <f t="shared" si="2"/>
        <v>0.0009785753745</v>
      </c>
      <c r="I1455" s="12"/>
      <c r="J1455" s="12"/>
      <c r="K1455" s="12"/>
      <c r="L1455" s="12"/>
      <c r="M1455" s="12">
        <v>45201.0</v>
      </c>
      <c r="N1455" s="2">
        <v>427.31</v>
      </c>
      <c r="O1455" s="3">
        <v>44967.0</v>
      </c>
      <c r="P1455" s="4" t="str">
        <f t="array" ref="P1455">XLOOKUP(O1455,Agregado!$B$2:$B$1511,Agregado!$G$2:$G$1511)</f>
        <v>#N/A</v>
      </c>
    </row>
    <row r="1456" ht="15.75" customHeight="1">
      <c r="B1456" s="13" t="s">
        <v>2375</v>
      </c>
      <c r="C1456" s="7">
        <v>134526.54800000018</v>
      </c>
      <c r="D1456" s="7">
        <v>194291.8470000003</v>
      </c>
      <c r="E1456" s="7">
        <v>228415.7920000002</v>
      </c>
      <c r="F1456" s="7">
        <f t="shared" si="1"/>
        <v>557234.187</v>
      </c>
      <c r="G1456" s="14">
        <f t="shared" si="2"/>
        <v>-0.006485124136</v>
      </c>
      <c r="I1456" s="12"/>
      <c r="J1456" s="12"/>
      <c r="K1456" s="12"/>
      <c r="L1456" s="12"/>
      <c r="M1456" s="12">
        <v>45202.0</v>
      </c>
      <c r="N1456" s="2">
        <v>421.59</v>
      </c>
      <c r="O1456" s="3">
        <v>44995.0</v>
      </c>
      <c r="P1456" s="4" t="str">
        <f t="array" ref="P1456">XLOOKUP(O1456,Agregado!$B$2:$B$1511,Agregado!$G$2:$G$1511)</f>
        <v>#N/A</v>
      </c>
    </row>
    <row r="1457" ht="15.75" customHeight="1">
      <c r="B1457" s="13" t="s">
        <v>2376</v>
      </c>
      <c r="C1457" s="7">
        <v>136894.4630000002</v>
      </c>
      <c r="D1457" s="7">
        <v>196102.9150000003</v>
      </c>
      <c r="E1457" s="7">
        <v>228630.49900000019</v>
      </c>
      <c r="F1457" s="7">
        <f t="shared" si="1"/>
        <v>561627.877</v>
      </c>
      <c r="G1457" s="14">
        <f t="shared" si="2"/>
        <v>0.007853895</v>
      </c>
      <c r="I1457" s="12"/>
      <c r="J1457" s="12"/>
      <c r="K1457" s="12"/>
      <c r="L1457" s="12"/>
      <c r="M1457" s="12">
        <v>45203.0</v>
      </c>
      <c r="N1457" s="2">
        <v>424.66</v>
      </c>
      <c r="O1457" s="3">
        <v>45026.0</v>
      </c>
      <c r="P1457" s="4" t="str">
        <f t="array" ref="P1457">XLOOKUP(O1457,Agregado!$B$2:$B$1511,Agregado!$G$2:$G$1511)</f>
        <v>#N/A</v>
      </c>
    </row>
    <row r="1458" ht="15.75" customHeight="1">
      <c r="B1458" s="13" t="s">
        <v>2377</v>
      </c>
      <c r="C1458" s="7">
        <v>136545.3720000002</v>
      </c>
      <c r="D1458" s="7">
        <v>196037.1710000003</v>
      </c>
      <c r="E1458" s="7">
        <v>228464.2400000002</v>
      </c>
      <c r="F1458" s="7">
        <f t="shared" si="1"/>
        <v>561046.783</v>
      </c>
      <c r="G1458" s="14">
        <f t="shared" si="2"/>
        <v>-0.00103519581</v>
      </c>
      <c r="I1458" s="12"/>
      <c r="J1458" s="12"/>
      <c r="K1458" s="12"/>
      <c r="L1458" s="12"/>
      <c r="M1458" s="12">
        <v>45204.0</v>
      </c>
      <c r="N1458" s="2">
        <v>424.5</v>
      </c>
      <c r="O1458" s="3">
        <v>45056.0</v>
      </c>
      <c r="P1458" s="4" t="str">
        <f t="array" ref="P1458">XLOOKUP(O1458,Agregado!$B$2:$B$1511,Agregado!$G$2:$G$1511)</f>
        <v>#N/A</v>
      </c>
    </row>
    <row r="1459" ht="15.75" customHeight="1">
      <c r="B1459" s="13" t="s">
        <v>2378</v>
      </c>
      <c r="C1459" s="7">
        <v>135504.52300000022</v>
      </c>
      <c r="D1459" s="7">
        <v>196211.4130000003</v>
      </c>
      <c r="E1459" s="7">
        <v>230121.6130000002</v>
      </c>
      <c r="F1459" s="7">
        <f t="shared" si="1"/>
        <v>561837.549</v>
      </c>
      <c r="G1459" s="14">
        <f t="shared" si="2"/>
        <v>0.001408455187</v>
      </c>
      <c r="I1459" s="12"/>
      <c r="J1459" s="12"/>
      <c r="K1459" s="12"/>
      <c r="L1459" s="12"/>
      <c r="M1459" s="12">
        <v>45205.0</v>
      </c>
      <c r="N1459" s="2">
        <v>429.54</v>
      </c>
      <c r="O1459" s="3">
        <v>45087.0</v>
      </c>
      <c r="P1459" s="4" t="str">
        <f t="array" ref="P1459">XLOOKUP(O1459,Agregado!$B$2:$B$1511,Agregado!$G$2:$G$1511)</f>
        <v>#N/A</v>
      </c>
    </row>
    <row r="1460" ht="15.75" customHeight="1">
      <c r="B1460" s="13" t="s">
        <v>2379</v>
      </c>
      <c r="C1460" s="7">
        <v>135979.18900000022</v>
      </c>
      <c r="D1460" s="7">
        <v>196536.4810000003</v>
      </c>
      <c r="E1460" s="7">
        <v>228696.20400000017</v>
      </c>
      <c r="F1460" s="7">
        <f t="shared" si="1"/>
        <v>561211.874</v>
      </c>
      <c r="G1460" s="14">
        <f t="shared" si="2"/>
        <v>-0.001114243152</v>
      </c>
      <c r="I1460" s="12"/>
      <c r="J1460" s="12"/>
      <c r="K1460" s="12"/>
      <c r="L1460" s="12"/>
      <c r="M1460" s="12">
        <v>45208.0</v>
      </c>
      <c r="N1460" s="2">
        <v>432.29</v>
      </c>
      <c r="O1460" s="3">
        <v>45179.0</v>
      </c>
      <c r="P1460" s="4" t="str">
        <f t="array" ref="P1460">XLOOKUP(O1460,Agregado!$B$2:$B$1511,Agregado!$G$2:$G$1511)</f>
        <v>#N/A</v>
      </c>
    </row>
    <row r="1461" ht="15.75" customHeight="1">
      <c r="B1461" s="13" t="s">
        <v>2380</v>
      </c>
      <c r="C1461" s="7">
        <v>136633.3310000002</v>
      </c>
      <c r="D1461" s="7">
        <v>196295.56600000028</v>
      </c>
      <c r="E1461" s="7">
        <v>228681.4880000002</v>
      </c>
      <c r="F1461" s="7">
        <f t="shared" si="1"/>
        <v>561610.385</v>
      </c>
      <c r="G1461" s="14">
        <f t="shared" si="2"/>
        <v>0.0007098381129</v>
      </c>
      <c r="I1461" s="12"/>
      <c r="J1461" s="12"/>
      <c r="K1461" s="12"/>
      <c r="L1461" s="12"/>
      <c r="M1461" s="12">
        <v>45209.0</v>
      </c>
      <c r="N1461" s="2">
        <v>434.54</v>
      </c>
      <c r="O1461" s="3">
        <v>45209.0</v>
      </c>
      <c r="P1461" s="4" t="str">
        <f t="array" ref="P1461">XLOOKUP(O1461,Agregado!$B$2:$B$1511,Agregado!$G$2:$G$1511)</f>
        <v>#N/A</v>
      </c>
    </row>
    <row r="1462" ht="15.75" customHeight="1">
      <c r="B1462" s="13" t="s">
        <v>2381</v>
      </c>
      <c r="C1462" s="7">
        <v>137047.5780000002</v>
      </c>
      <c r="D1462" s="7">
        <v>196295.56600000028</v>
      </c>
      <c r="E1462" s="7">
        <v>228776.6320000002</v>
      </c>
      <c r="F1462" s="7">
        <f t="shared" si="1"/>
        <v>562119.776</v>
      </c>
      <c r="G1462" s="14">
        <f t="shared" si="2"/>
        <v>0.0009066073913</v>
      </c>
      <c r="I1462" s="12"/>
      <c r="J1462" s="12"/>
      <c r="K1462" s="12"/>
      <c r="L1462" s="12"/>
      <c r="M1462" s="12">
        <v>45210.0</v>
      </c>
      <c r="N1462" s="2">
        <v>436.32</v>
      </c>
      <c r="O1462" s="3">
        <v>45240.0</v>
      </c>
      <c r="P1462" s="4" t="str">
        <f t="array" ref="P1462">XLOOKUP(O1462,Agregado!$B$2:$B$1511,Agregado!$G$2:$G$1511)</f>
        <v>#N/A</v>
      </c>
    </row>
    <row r="1463" ht="15.75" customHeight="1">
      <c r="B1463" s="13" t="s">
        <v>2382</v>
      </c>
      <c r="C1463" s="7">
        <v>136897.00400000022</v>
      </c>
      <c r="D1463" s="7">
        <v>196922.13400000028</v>
      </c>
      <c r="E1463" s="7">
        <v>228343.5170000002</v>
      </c>
      <c r="F1463" s="7">
        <f t="shared" si="1"/>
        <v>562162.655</v>
      </c>
      <c r="G1463" s="14">
        <f t="shared" si="2"/>
        <v>0.00007627798645</v>
      </c>
      <c r="I1463" s="12"/>
      <c r="J1463" s="12"/>
      <c r="K1463" s="12"/>
      <c r="L1463" s="12"/>
      <c r="M1463" s="12">
        <v>45211.0</v>
      </c>
      <c r="N1463" s="2">
        <v>433.66</v>
      </c>
      <c r="O1463" s="3">
        <v>45270.0</v>
      </c>
      <c r="P1463" s="4" t="str">
        <f t="array" ref="P1463">XLOOKUP(O1463,Agregado!$B$2:$B$1511,Agregado!$G$2:$G$1511)</f>
        <v>#N/A</v>
      </c>
    </row>
    <row r="1464" ht="15.75" customHeight="1">
      <c r="B1464" s="13" t="s">
        <v>2383</v>
      </c>
      <c r="C1464" s="7">
        <v>137174.29500000022</v>
      </c>
      <c r="D1464" s="7">
        <v>198400.4100000003</v>
      </c>
      <c r="E1464" s="7">
        <v>228198.6400000002</v>
      </c>
      <c r="F1464" s="7">
        <f t="shared" si="1"/>
        <v>563773.345</v>
      </c>
      <c r="G1464" s="14">
        <f t="shared" si="2"/>
        <v>0.002861070432</v>
      </c>
      <c r="I1464" s="12"/>
      <c r="J1464" s="12"/>
      <c r="K1464" s="12"/>
      <c r="L1464" s="12"/>
      <c r="M1464" s="12">
        <v>45212.0</v>
      </c>
      <c r="N1464" s="2">
        <v>431.5</v>
      </c>
      <c r="O1464" s="3" t="s">
        <v>878</v>
      </c>
      <c r="P1464" s="4" t="str">
        <f t="array" ref="P1464">XLOOKUP(O1464,Agregado!$B$2:$B$1511,Agregado!$G$2:$G$1511)</f>
        <v>#N/A</v>
      </c>
    </row>
    <row r="1465" ht="15.75" customHeight="1">
      <c r="B1465" s="13" t="s">
        <v>2384</v>
      </c>
      <c r="C1465" s="7">
        <v>137848.29500000022</v>
      </c>
      <c r="D1465" s="7">
        <v>198717.74000000028</v>
      </c>
      <c r="E1465" s="7">
        <v>228225.9050000002</v>
      </c>
      <c r="F1465" s="7">
        <f t="shared" si="1"/>
        <v>564791.94</v>
      </c>
      <c r="G1465" s="14">
        <f t="shared" si="2"/>
        <v>0.00180511538</v>
      </c>
      <c r="I1465" s="12"/>
      <c r="J1465" s="12"/>
      <c r="K1465" s="12"/>
      <c r="L1465" s="12"/>
      <c r="M1465" s="12">
        <v>45215.0</v>
      </c>
      <c r="N1465" s="2">
        <v>436.04</v>
      </c>
      <c r="O1465" s="3" t="s">
        <v>879</v>
      </c>
      <c r="P1465" s="4" t="str">
        <f t="array" ref="P1465">XLOOKUP(O1465,Agregado!$B$2:$B$1511,Agregado!$G$2:$G$1511)</f>
        <v>#N/A</v>
      </c>
    </row>
    <row r="1466" ht="15.75" customHeight="1">
      <c r="B1466" s="13" t="s">
        <v>2385</v>
      </c>
      <c r="C1466" s="7">
        <v>138626.29500000022</v>
      </c>
      <c r="D1466" s="7">
        <v>199055.65400000027</v>
      </c>
      <c r="E1466" s="7">
        <v>228361.3160000002</v>
      </c>
      <c r="F1466" s="7">
        <f t="shared" si="1"/>
        <v>566043.265</v>
      </c>
      <c r="G1466" s="14">
        <f t="shared" si="2"/>
        <v>0.002213099672</v>
      </c>
      <c r="I1466" s="12"/>
      <c r="J1466" s="12"/>
      <c r="K1466" s="12"/>
      <c r="L1466" s="12"/>
      <c r="M1466" s="12">
        <v>45216.0</v>
      </c>
      <c r="N1466" s="2">
        <v>436.02</v>
      </c>
      <c r="O1466" s="3" t="s">
        <v>880</v>
      </c>
      <c r="P1466" s="4" t="str">
        <f t="array" ref="P1466">XLOOKUP(O1466,Agregado!$B$2:$B$1511,Agregado!$G$2:$G$1511)</f>
        <v>#N/A</v>
      </c>
    </row>
    <row r="1467" ht="15.75" customHeight="1">
      <c r="B1467" s="13" t="s">
        <v>2386</v>
      </c>
      <c r="C1467" s="7">
        <v>136656.55500000023</v>
      </c>
      <c r="D1467" s="7">
        <v>199225.84200000027</v>
      </c>
      <c r="E1467" s="7">
        <v>228270.0740000002</v>
      </c>
      <c r="F1467" s="7">
        <f t="shared" si="1"/>
        <v>564152.471</v>
      </c>
      <c r="G1467" s="14">
        <f t="shared" si="2"/>
        <v>-0.003345961595</v>
      </c>
      <c r="I1467" s="12"/>
      <c r="J1467" s="12"/>
      <c r="K1467" s="12"/>
      <c r="L1467" s="12"/>
      <c r="M1467" s="12">
        <v>45217.0</v>
      </c>
      <c r="N1467" s="2">
        <v>430.21</v>
      </c>
      <c r="O1467" s="3" t="s">
        <v>881</v>
      </c>
      <c r="P1467" s="4" t="str">
        <f t="array" ref="P1467">XLOOKUP(O1467,Agregado!$B$2:$B$1511,Agregado!$G$2:$G$1511)</f>
        <v>#N/A</v>
      </c>
    </row>
    <row r="1468" ht="15.75" customHeight="1">
      <c r="B1468" s="13" t="s">
        <v>2387</v>
      </c>
      <c r="C1468" s="7">
        <v>137783.8960000002</v>
      </c>
      <c r="D1468" s="7">
        <v>199393.59100000028</v>
      </c>
      <c r="E1468" s="7">
        <v>228571.4470000002</v>
      </c>
      <c r="F1468" s="7">
        <f t="shared" si="1"/>
        <v>565748.934</v>
      </c>
      <c r="G1468" s="14">
        <f t="shared" si="2"/>
        <v>0.002825846672</v>
      </c>
      <c r="I1468" s="12"/>
      <c r="J1468" s="12"/>
      <c r="K1468" s="12"/>
      <c r="L1468" s="12"/>
      <c r="M1468" s="12">
        <v>45218.0</v>
      </c>
      <c r="N1468" s="2">
        <v>426.43</v>
      </c>
      <c r="O1468" s="3" t="s">
        <v>882</v>
      </c>
      <c r="P1468" s="4" t="str">
        <f t="array" ref="P1468">XLOOKUP(O1468,Agregado!$B$2:$B$1511,Agregado!$G$2:$G$1511)</f>
        <v>#N/A</v>
      </c>
    </row>
    <row r="1469" ht="15.75" customHeight="1">
      <c r="B1469" s="13" t="s">
        <v>2388</v>
      </c>
      <c r="C1469" s="7">
        <v>139805.65600000022</v>
      </c>
      <c r="D1469" s="7">
        <v>199745.84400000027</v>
      </c>
      <c r="E1469" s="7">
        <v>228697.65700000018</v>
      </c>
      <c r="F1469" s="7">
        <f t="shared" si="1"/>
        <v>568249.157</v>
      </c>
      <c r="G1469" s="14">
        <f t="shared" si="2"/>
        <v>0.004409578942</v>
      </c>
      <c r="I1469" s="12"/>
      <c r="J1469" s="12"/>
      <c r="K1469" s="12"/>
      <c r="L1469" s="12"/>
      <c r="M1469" s="12">
        <v>45219.0</v>
      </c>
      <c r="N1469" s="2">
        <v>421.19</v>
      </c>
      <c r="O1469" s="3" t="s">
        <v>883</v>
      </c>
      <c r="P1469" s="4" t="str">
        <f t="array" ref="P1469">XLOOKUP(O1469,Agregado!$B$2:$B$1511,Agregado!$G$2:$G$1511)</f>
        <v>#N/A</v>
      </c>
    </row>
    <row r="1470" ht="15.75" customHeight="1">
      <c r="B1470" s="13" t="s">
        <v>2389</v>
      </c>
      <c r="C1470" s="7">
        <v>139251.3040000002</v>
      </c>
      <c r="D1470" s="7">
        <v>199787.08700000026</v>
      </c>
      <c r="E1470" s="7">
        <v>228742.76900000017</v>
      </c>
      <c r="F1470" s="7">
        <f t="shared" si="1"/>
        <v>567781.16</v>
      </c>
      <c r="G1470" s="14">
        <f t="shared" si="2"/>
        <v>-0.0008239164386</v>
      </c>
      <c r="I1470" s="12"/>
      <c r="J1470" s="12"/>
      <c r="K1470" s="12"/>
      <c r="L1470" s="12"/>
      <c r="M1470" s="12">
        <v>45222.0</v>
      </c>
      <c r="N1470" s="2">
        <v>420.46</v>
      </c>
      <c r="O1470" s="3" t="s">
        <v>884</v>
      </c>
      <c r="P1470" s="4" t="str">
        <f t="array" ref="P1470">XLOOKUP(O1470,Agregado!$B$2:$B$1511,Agregado!$G$2:$G$1511)</f>
        <v>#N/A</v>
      </c>
    </row>
    <row r="1471" ht="15.75" customHeight="1">
      <c r="B1471" s="13" t="s">
        <v>2390</v>
      </c>
      <c r="C1471" s="7">
        <v>143989.0630000002</v>
      </c>
      <c r="D1471" s="7">
        <v>199870.57100000026</v>
      </c>
      <c r="E1471" s="7">
        <v>228885.40800000017</v>
      </c>
      <c r="F1471" s="7">
        <f t="shared" si="1"/>
        <v>572745.042</v>
      </c>
      <c r="G1471" s="14">
        <f t="shared" si="2"/>
        <v>0.008704602023</v>
      </c>
      <c r="I1471" s="12"/>
      <c r="J1471" s="12"/>
      <c r="K1471" s="12"/>
      <c r="L1471" s="12"/>
      <c r="M1471" s="12">
        <v>45223.0</v>
      </c>
      <c r="N1471" s="2">
        <v>423.63</v>
      </c>
      <c r="O1471" s="3" t="s">
        <v>885</v>
      </c>
      <c r="P1471" s="4" t="str">
        <f t="array" ref="P1471">XLOOKUP(O1471,Agregado!$B$2:$B$1511,Agregado!$G$2:$G$1511)</f>
        <v>#N/A</v>
      </c>
    </row>
    <row r="1472" ht="15.75" customHeight="1">
      <c r="B1472" s="13" t="s">
        <v>2391</v>
      </c>
      <c r="C1472" s="7">
        <v>144030.8940000002</v>
      </c>
      <c r="D1472" s="7">
        <v>199765.53300000026</v>
      </c>
      <c r="E1472" s="7">
        <v>229478.25600000017</v>
      </c>
      <c r="F1472" s="7">
        <f t="shared" si="1"/>
        <v>573274.683</v>
      </c>
      <c r="G1472" s="14">
        <f t="shared" si="2"/>
        <v>0.0009243139994</v>
      </c>
      <c r="I1472" s="12"/>
      <c r="J1472" s="12"/>
      <c r="K1472" s="12"/>
      <c r="L1472" s="12"/>
      <c r="M1472" s="12">
        <v>45224.0</v>
      </c>
      <c r="N1472" s="2">
        <v>417.55</v>
      </c>
      <c r="O1472" s="3" t="s">
        <v>886</v>
      </c>
      <c r="P1472" s="4" t="str">
        <f t="array" ref="P1472">XLOOKUP(O1472,Agregado!$B$2:$B$1511,Agregado!$G$2:$G$1511)</f>
        <v>#N/A</v>
      </c>
    </row>
    <row r="1473" ht="15.75" customHeight="1">
      <c r="B1473" s="13" t="s">
        <v>2392</v>
      </c>
      <c r="C1473" s="7">
        <v>140205.4790000002</v>
      </c>
      <c r="D1473" s="7">
        <v>199956.58900000027</v>
      </c>
      <c r="E1473" s="7">
        <v>229878.13800000018</v>
      </c>
      <c r="F1473" s="7">
        <f t="shared" si="1"/>
        <v>570040.206</v>
      </c>
      <c r="G1473" s="14">
        <f t="shared" si="2"/>
        <v>-0.005658083631</v>
      </c>
      <c r="I1473" s="12"/>
      <c r="J1473" s="12"/>
      <c r="K1473" s="12"/>
      <c r="L1473" s="12"/>
      <c r="M1473" s="12">
        <v>45225.0</v>
      </c>
      <c r="N1473" s="2">
        <v>412.55</v>
      </c>
      <c r="O1473" s="3" t="s">
        <v>887</v>
      </c>
      <c r="P1473" s="4" t="str">
        <f t="array" ref="P1473">XLOOKUP(O1473,Agregado!$B$2:$B$1511,Agregado!$G$2:$G$1511)</f>
        <v>#N/A</v>
      </c>
    </row>
    <row r="1474" ht="15.75" customHeight="1">
      <c r="B1474" s="13" t="s">
        <v>2393</v>
      </c>
      <c r="C1474" s="7">
        <v>138439.6710000002</v>
      </c>
      <c r="D1474" s="7">
        <v>200172.89100000027</v>
      </c>
      <c r="E1474" s="7">
        <v>230490.18000000017</v>
      </c>
      <c r="F1474" s="7">
        <f t="shared" si="1"/>
        <v>569102.742</v>
      </c>
      <c r="G1474" s="14">
        <f t="shared" si="2"/>
        <v>-0.001645911452</v>
      </c>
      <c r="I1474" s="12"/>
      <c r="J1474" s="12"/>
      <c r="K1474" s="12"/>
      <c r="L1474" s="12"/>
      <c r="M1474" s="12">
        <v>45226.0</v>
      </c>
      <c r="N1474" s="2">
        <v>410.68</v>
      </c>
      <c r="O1474" s="3" t="s">
        <v>888</v>
      </c>
      <c r="P1474" s="4" t="str">
        <f t="array" ref="P1474">XLOOKUP(O1474,Agregado!$B$2:$B$1511,Agregado!$G$2:$G$1511)</f>
        <v>#N/A</v>
      </c>
    </row>
    <row r="1475" ht="15.75" customHeight="1">
      <c r="B1475" s="13" t="s">
        <v>2394</v>
      </c>
      <c r="C1475" s="7">
        <v>141395.9130000002</v>
      </c>
      <c r="D1475" s="7">
        <v>200478.57200000028</v>
      </c>
      <c r="E1475" s="7">
        <v>231324.03200000018</v>
      </c>
      <c r="F1475" s="7">
        <f t="shared" si="1"/>
        <v>573198.517</v>
      </c>
      <c r="G1475" s="14">
        <f t="shared" si="2"/>
        <v>0.00717112499</v>
      </c>
      <c r="I1475" s="12"/>
      <c r="J1475" s="12"/>
      <c r="K1475" s="12"/>
      <c r="L1475" s="12"/>
      <c r="M1475" s="12">
        <v>45229.0</v>
      </c>
      <c r="N1475" s="2">
        <v>415.59</v>
      </c>
      <c r="O1475" s="3" t="s">
        <v>889</v>
      </c>
      <c r="P1475" s="4" t="str">
        <f t="array" ref="P1475">XLOOKUP(O1475,Agregado!$B$2:$B$1511,Agregado!$G$2:$G$1511)</f>
        <v>#N/A</v>
      </c>
    </row>
    <row r="1476" ht="15.75" customHeight="1">
      <c r="B1476" s="13" t="s">
        <v>2395</v>
      </c>
      <c r="C1476" s="7">
        <v>142615.3570000002</v>
      </c>
      <c r="D1476" s="7">
        <v>200587.93900000027</v>
      </c>
      <c r="E1476" s="7">
        <v>231818.3380000002</v>
      </c>
      <c r="F1476" s="7">
        <f t="shared" si="1"/>
        <v>575021.634</v>
      </c>
      <c r="G1476" s="14">
        <f t="shared" si="2"/>
        <v>0.003175555716</v>
      </c>
      <c r="I1476" s="12"/>
      <c r="J1476" s="12"/>
      <c r="K1476" s="12"/>
      <c r="L1476" s="12"/>
      <c r="M1476" s="12">
        <v>45230.0</v>
      </c>
      <c r="N1476" s="2">
        <v>418.2</v>
      </c>
      <c r="O1476" s="3" t="s">
        <v>890</v>
      </c>
      <c r="P1476" s="4" t="str">
        <f t="array" ref="P1476">XLOOKUP(O1476,Agregado!$B$2:$B$1511,Agregado!$G$2:$G$1511)</f>
        <v>#N/A</v>
      </c>
    </row>
    <row r="1477" ht="15.75" customHeight="1">
      <c r="B1477" s="13" t="s">
        <v>2396</v>
      </c>
      <c r="C1477" s="7">
        <v>142724.5470000002</v>
      </c>
      <c r="D1477" s="7">
        <v>200829.23300000027</v>
      </c>
      <c r="E1477" s="7">
        <v>231962.1230000002</v>
      </c>
      <c r="F1477" s="7">
        <f t="shared" si="1"/>
        <v>575515.903</v>
      </c>
      <c r="G1477" s="14">
        <f t="shared" si="2"/>
        <v>0.000859196705</v>
      </c>
      <c r="I1477" s="12"/>
      <c r="J1477" s="12"/>
      <c r="K1477" s="12"/>
      <c r="L1477" s="12"/>
      <c r="M1477" s="12">
        <v>45231.0</v>
      </c>
      <c r="N1477" s="2">
        <v>422.66</v>
      </c>
      <c r="O1477" s="3">
        <v>44937.0</v>
      </c>
      <c r="P1477" s="4" t="str">
        <f t="array" ref="P1477">XLOOKUP(O1477,Agregado!$B$2:$B$1511,Agregado!$G$2:$G$1511)</f>
        <v>#N/A</v>
      </c>
    </row>
    <row r="1478" ht="15.75" customHeight="1">
      <c r="B1478" s="13" t="s">
        <v>2397</v>
      </c>
      <c r="C1478" s="7">
        <v>140669.6250000002</v>
      </c>
      <c r="D1478" s="7">
        <v>200851.19200000027</v>
      </c>
      <c r="E1478" s="7">
        <v>232059.8400000002</v>
      </c>
      <c r="F1478" s="7">
        <f t="shared" si="1"/>
        <v>573580.657</v>
      </c>
      <c r="G1478" s="14">
        <f t="shared" si="2"/>
        <v>-0.003368294532</v>
      </c>
      <c r="I1478" s="12"/>
      <c r="J1478" s="12"/>
      <c r="K1478" s="12"/>
      <c r="L1478" s="12"/>
      <c r="M1478" s="12">
        <v>45232.0</v>
      </c>
      <c r="N1478" s="2">
        <v>430.76</v>
      </c>
      <c r="O1478" s="3">
        <v>44968.0</v>
      </c>
      <c r="P1478" s="4" t="str">
        <f t="array" ref="P1478">XLOOKUP(O1478,Agregado!$B$2:$B$1511,Agregado!$G$2:$G$1511)</f>
        <v>#N/A</v>
      </c>
    </row>
    <row r="1479" ht="15.75" customHeight="1">
      <c r="B1479" s="13" t="s">
        <v>2398</v>
      </c>
      <c r="C1479" s="7">
        <v>143337.3160000002</v>
      </c>
      <c r="D1479" s="7">
        <v>201984.04500000027</v>
      </c>
      <c r="E1479" s="7">
        <v>232156.9590000002</v>
      </c>
      <c r="F1479" s="7">
        <f t="shared" si="1"/>
        <v>577478.32</v>
      </c>
      <c r="G1479" s="14">
        <f t="shared" si="2"/>
        <v>0.006772333955</v>
      </c>
      <c r="I1479" s="12"/>
      <c r="J1479" s="12"/>
      <c r="K1479" s="12"/>
      <c r="L1479" s="12"/>
      <c r="M1479" s="12">
        <v>45233.0</v>
      </c>
      <c r="N1479" s="2">
        <v>434.69</v>
      </c>
      <c r="O1479" s="3">
        <v>44996.0</v>
      </c>
      <c r="P1479" s="4" t="str">
        <f t="array" ref="P1479">XLOOKUP(O1479,Agregado!$B$2:$B$1511,Agregado!$G$2:$G$1511)</f>
        <v>#N/A</v>
      </c>
    </row>
    <row r="1480" ht="15.75" customHeight="1">
      <c r="B1480" s="13" t="s">
        <v>2399</v>
      </c>
      <c r="C1480" s="7">
        <v>145165.8020000002</v>
      </c>
      <c r="D1480" s="7">
        <v>202006.17400000026</v>
      </c>
      <c r="E1480" s="7">
        <v>232466.43100000022</v>
      </c>
      <c r="F1480" s="7">
        <f t="shared" si="1"/>
        <v>579638.407</v>
      </c>
      <c r="G1480" s="14">
        <f t="shared" si="2"/>
        <v>0.003733572351</v>
      </c>
      <c r="I1480" s="12"/>
      <c r="J1480" s="12"/>
      <c r="K1480" s="12"/>
      <c r="L1480" s="12"/>
      <c r="M1480" s="12">
        <v>45236.0</v>
      </c>
      <c r="N1480" s="2">
        <v>435.69</v>
      </c>
      <c r="O1480" s="3">
        <v>45088.0</v>
      </c>
      <c r="P1480" s="4" t="str">
        <f t="array" ref="P1480">XLOOKUP(O1480,Agregado!$B$2:$B$1511,Agregado!$G$2:$G$1511)</f>
        <v>#N/A</v>
      </c>
    </row>
    <row r="1481" ht="15.75" customHeight="1">
      <c r="B1481" s="13" t="s">
        <v>2400</v>
      </c>
      <c r="C1481" s="7">
        <v>143889.0540000002</v>
      </c>
      <c r="D1481" s="7">
        <v>202116.73400000026</v>
      </c>
      <c r="E1481" s="7">
        <v>232619.4700000002</v>
      </c>
      <c r="F1481" s="7">
        <f t="shared" si="1"/>
        <v>578625.258</v>
      </c>
      <c r="G1481" s="14">
        <f t="shared" si="2"/>
        <v>-0.00174942768</v>
      </c>
      <c r="I1481" s="12"/>
      <c r="J1481" s="12"/>
      <c r="K1481" s="12"/>
      <c r="L1481" s="12"/>
      <c r="M1481" s="12">
        <v>45237.0</v>
      </c>
      <c r="N1481" s="2">
        <v>436.93</v>
      </c>
      <c r="O1481" s="3">
        <v>45118.0</v>
      </c>
      <c r="P1481" s="4" t="str">
        <f t="array" ref="P1481">XLOOKUP(O1481,Agregado!$B$2:$B$1511,Agregado!$G$2:$G$1511)</f>
        <v>#N/A</v>
      </c>
    </row>
    <row r="1482" ht="15.75" customHeight="1">
      <c r="B1482" s="13" t="s">
        <v>2401</v>
      </c>
      <c r="C1482" s="7">
        <v>143642.2510000002</v>
      </c>
      <c r="D1482" s="7">
        <v>202116.73400000026</v>
      </c>
      <c r="E1482" s="7">
        <v>233161.6680000002</v>
      </c>
      <c r="F1482" s="7">
        <f t="shared" si="1"/>
        <v>578920.653</v>
      </c>
      <c r="G1482" s="14">
        <f t="shared" si="2"/>
        <v>0.0005103814952</v>
      </c>
      <c r="I1482" s="12"/>
      <c r="J1482" s="12"/>
      <c r="K1482" s="12"/>
      <c r="L1482" s="12"/>
      <c r="M1482" s="12">
        <v>45238.0</v>
      </c>
      <c r="N1482" s="2">
        <v>437.25</v>
      </c>
      <c r="O1482" s="3">
        <v>45149.0</v>
      </c>
      <c r="P1482" s="4" t="str">
        <f t="array" ref="P1482">XLOOKUP(O1482,Agregado!$B$2:$B$1511,Agregado!$G$2:$G$1511)</f>
        <v>#N/A</v>
      </c>
    </row>
    <row r="1483" ht="15.75" customHeight="1">
      <c r="B1483" s="13" t="s">
        <v>2402</v>
      </c>
      <c r="C1483" s="7">
        <v>145395.41800000018</v>
      </c>
      <c r="D1483" s="7">
        <v>202410.25500000027</v>
      </c>
      <c r="E1483" s="7">
        <v>233445.08000000022</v>
      </c>
      <c r="F1483" s="7">
        <f t="shared" si="1"/>
        <v>581250.753</v>
      </c>
      <c r="G1483" s="14">
        <f t="shared" si="2"/>
        <v>0.004016825653</v>
      </c>
      <c r="I1483" s="12"/>
      <c r="J1483" s="12"/>
      <c r="K1483" s="12"/>
      <c r="L1483" s="12"/>
      <c r="M1483" s="12">
        <v>45239.0</v>
      </c>
      <c r="N1483" s="2">
        <v>433.84</v>
      </c>
      <c r="O1483" s="3">
        <v>45180.0</v>
      </c>
      <c r="P1483" s="4" t="str">
        <f t="array" ref="P1483">XLOOKUP(O1483,Agregado!$B$2:$B$1511,Agregado!$G$2:$G$1511)</f>
        <v>#N/A</v>
      </c>
    </row>
    <row r="1484" ht="15.75" customHeight="1">
      <c r="B1484" s="13" t="s">
        <v>2403</v>
      </c>
      <c r="C1484" s="7">
        <v>149086.81300000017</v>
      </c>
      <c r="D1484" s="7">
        <v>202885.08100000027</v>
      </c>
      <c r="E1484" s="7">
        <v>233782.68100000022</v>
      </c>
      <c r="F1484" s="7">
        <f t="shared" si="1"/>
        <v>585754.575</v>
      </c>
      <c r="G1484" s="14">
        <f t="shared" si="2"/>
        <v>0.007718635472</v>
      </c>
      <c r="I1484" s="12"/>
      <c r="J1484" s="12"/>
      <c r="K1484" s="12"/>
      <c r="L1484" s="12"/>
      <c r="M1484" s="12">
        <v>45240.0</v>
      </c>
      <c r="N1484" s="2">
        <v>440.61</v>
      </c>
      <c r="O1484" s="3">
        <v>45210.0</v>
      </c>
      <c r="P1484" s="4" t="str">
        <f t="array" ref="P1484">XLOOKUP(O1484,Agregado!$B$2:$B$1511,Agregado!$G$2:$G$1511)</f>
        <v>#N/A</v>
      </c>
    </row>
    <row r="1485" ht="15.75" customHeight="1">
      <c r="B1485" s="13" t="s">
        <v>2404</v>
      </c>
      <c r="C1485" s="7">
        <v>144556.74800000017</v>
      </c>
      <c r="D1485" s="7">
        <v>202975.64200000025</v>
      </c>
      <c r="E1485" s="7">
        <v>234316.7420000002</v>
      </c>
      <c r="F1485" s="7">
        <f t="shared" si="1"/>
        <v>581849.132</v>
      </c>
      <c r="G1485" s="14">
        <f t="shared" si="2"/>
        <v>-0.006689697097</v>
      </c>
      <c r="I1485" s="12"/>
      <c r="J1485" s="12"/>
      <c r="K1485" s="12"/>
      <c r="L1485" s="12"/>
      <c r="M1485" s="12">
        <v>45243.0</v>
      </c>
      <c r="N1485" s="2">
        <v>440.19</v>
      </c>
      <c r="O1485" s="3" t="s">
        <v>891</v>
      </c>
      <c r="P1485" s="4" t="str">
        <f t="array" ref="P1485">XLOOKUP(O1485,Agregado!$B$2:$B$1511,Agregado!$G$2:$G$1511)</f>
        <v>#N/A</v>
      </c>
    </row>
    <row r="1486" ht="15.75" customHeight="1">
      <c r="B1486" s="13" t="s">
        <v>2405</v>
      </c>
      <c r="C1486" s="7">
        <v>144375.09900000016</v>
      </c>
      <c r="D1486" s="7">
        <v>203158.12100000025</v>
      </c>
      <c r="E1486" s="7">
        <v>234671.6590000002</v>
      </c>
      <c r="F1486" s="7">
        <f t="shared" si="1"/>
        <v>582204.879</v>
      </c>
      <c r="G1486" s="14">
        <f t="shared" si="2"/>
        <v>0.0006112207985</v>
      </c>
      <c r="I1486" s="12"/>
      <c r="J1486" s="12"/>
      <c r="K1486" s="12"/>
      <c r="L1486" s="12"/>
      <c r="M1486" s="12">
        <v>45244.0</v>
      </c>
      <c r="N1486" s="2">
        <v>448.73</v>
      </c>
      <c r="O1486" s="3" t="s">
        <v>892</v>
      </c>
      <c r="P1486" s="4" t="str">
        <f t="array" ref="P1486">XLOOKUP(O1486,Agregado!$B$2:$B$1511,Agregado!$G$2:$G$1511)</f>
        <v>#N/A</v>
      </c>
    </row>
    <row r="1487" ht="15.75" customHeight="1">
      <c r="B1487" s="13" t="s">
        <v>2406</v>
      </c>
      <c r="C1487" s="7">
        <v>145190.88800000015</v>
      </c>
      <c r="D1487" s="7">
        <v>203499.58500000025</v>
      </c>
      <c r="E1487" s="7">
        <v>234637.3240000002</v>
      </c>
      <c r="F1487" s="7">
        <f t="shared" si="1"/>
        <v>583327.797</v>
      </c>
      <c r="G1487" s="14">
        <f t="shared" si="2"/>
        <v>0.001926875789</v>
      </c>
      <c r="I1487" s="12"/>
      <c r="J1487" s="12"/>
      <c r="K1487" s="12"/>
      <c r="L1487" s="12"/>
      <c r="M1487" s="12">
        <v>45245.0</v>
      </c>
      <c r="N1487" s="2">
        <v>449.68</v>
      </c>
      <c r="O1487" s="3" t="s">
        <v>893</v>
      </c>
      <c r="P1487" s="4" t="str">
        <f t="array" ref="P1487">XLOOKUP(O1487,Agregado!$B$2:$B$1511,Agregado!$G$2:$G$1511)</f>
        <v>#N/A</v>
      </c>
    </row>
    <row r="1488" ht="15.75" customHeight="1">
      <c r="B1488" s="13" t="s">
        <v>2407</v>
      </c>
      <c r="C1488" s="7">
        <v>144940.59800000014</v>
      </c>
      <c r="D1488" s="7">
        <v>203796.73700000026</v>
      </c>
      <c r="E1488" s="7">
        <v>234706.8930000002</v>
      </c>
      <c r="F1488" s="7">
        <f t="shared" si="1"/>
        <v>583444.228</v>
      </c>
      <c r="G1488" s="14">
        <f t="shared" si="2"/>
        <v>0.0001995779773</v>
      </c>
      <c r="I1488" s="12"/>
      <c r="J1488" s="12"/>
      <c r="K1488" s="12"/>
      <c r="L1488" s="12"/>
      <c r="M1488" s="12">
        <v>45246.0</v>
      </c>
      <c r="N1488" s="2">
        <v>450.23</v>
      </c>
      <c r="O1488" s="3" t="s">
        <v>894</v>
      </c>
      <c r="P1488" s="4" t="str">
        <f t="array" ref="P1488">XLOOKUP(O1488,Agregado!$B$2:$B$1511,Agregado!$G$2:$G$1511)</f>
        <v>#N/A</v>
      </c>
    </row>
    <row r="1489" ht="15.75" customHeight="1">
      <c r="B1489" s="13" t="s">
        <v>2408</v>
      </c>
      <c r="C1489" s="7">
        <v>143483.47200000015</v>
      </c>
      <c r="D1489" s="7">
        <v>203796.73700000026</v>
      </c>
      <c r="E1489" s="7">
        <v>234760.7570000002</v>
      </c>
      <c r="F1489" s="7">
        <f t="shared" si="1"/>
        <v>582040.966</v>
      </c>
      <c r="G1489" s="14">
        <f t="shared" si="2"/>
        <v>-0.002408031754</v>
      </c>
      <c r="I1489" s="12"/>
      <c r="J1489" s="12"/>
      <c r="K1489" s="12"/>
      <c r="L1489" s="12"/>
      <c r="M1489" s="12">
        <v>45247.0</v>
      </c>
      <c r="N1489" s="2">
        <v>450.79</v>
      </c>
      <c r="O1489" s="3" t="s">
        <v>895</v>
      </c>
      <c r="P1489" s="4" t="str">
        <f t="array" ref="P1489">XLOOKUP(O1489,Agregado!$B$2:$B$1511,Agregado!$G$2:$G$1511)</f>
        <v>#N/A</v>
      </c>
    </row>
    <row r="1490" ht="15.75" customHeight="1">
      <c r="B1490" s="13" t="s">
        <v>2409</v>
      </c>
      <c r="C1490" s="7">
        <v>145755.82700000016</v>
      </c>
      <c r="D1490" s="7">
        <v>205166.39300000024</v>
      </c>
      <c r="E1490" s="7">
        <v>234910.58700000017</v>
      </c>
      <c r="F1490" s="7">
        <f t="shared" si="1"/>
        <v>585832.807</v>
      </c>
      <c r="G1490" s="14">
        <f t="shared" si="2"/>
        <v>0.006493603011</v>
      </c>
      <c r="I1490" s="12"/>
      <c r="J1490" s="12"/>
      <c r="K1490" s="12"/>
      <c r="L1490" s="12"/>
      <c r="M1490" s="12">
        <v>45250.0</v>
      </c>
      <c r="N1490" s="2">
        <v>454.26</v>
      </c>
      <c r="O1490" s="3" t="s">
        <v>896</v>
      </c>
      <c r="P1490" s="4" t="str">
        <f t="array" ref="P1490">XLOOKUP(O1490,Agregado!$B$2:$B$1511,Agregado!$G$2:$G$1511)</f>
        <v>#N/A</v>
      </c>
    </row>
    <row r="1491" ht="15.75" customHeight="1">
      <c r="B1491" s="13" t="s">
        <v>2410</v>
      </c>
      <c r="C1491" s="7">
        <v>148872.00100000016</v>
      </c>
      <c r="D1491" s="7">
        <v>205372.04300000024</v>
      </c>
      <c r="E1491" s="7">
        <v>235002.63000000018</v>
      </c>
      <c r="F1491" s="7">
        <f t="shared" si="1"/>
        <v>589246.674</v>
      </c>
      <c r="G1491" s="14">
        <f t="shared" si="2"/>
        <v>0.005810460756</v>
      </c>
      <c r="I1491" s="12"/>
      <c r="J1491" s="12"/>
      <c r="K1491" s="12"/>
      <c r="L1491" s="12"/>
      <c r="M1491" s="12">
        <v>45251.0</v>
      </c>
      <c r="N1491" s="2">
        <v>453.27</v>
      </c>
      <c r="O1491" s="3" t="s">
        <v>897</v>
      </c>
      <c r="P1491" s="4" t="str">
        <f t="array" ref="P1491">XLOOKUP(O1491,Agregado!$B$2:$B$1511,Agregado!$G$2:$G$1511)</f>
        <v>#N/A</v>
      </c>
    </row>
    <row r="1492" ht="15.75" customHeight="1">
      <c r="B1492" s="13" t="s">
        <v>2411</v>
      </c>
      <c r="C1492" s="7">
        <v>150872.08200000017</v>
      </c>
      <c r="D1492" s="7">
        <v>205714.52800000022</v>
      </c>
      <c r="E1492" s="7">
        <v>235351.60000000018</v>
      </c>
      <c r="F1492" s="7">
        <f t="shared" si="1"/>
        <v>591938.21</v>
      </c>
      <c r="G1492" s="14">
        <f t="shared" si="2"/>
        <v>0.0045573571</v>
      </c>
      <c r="I1492" s="12"/>
      <c r="J1492" s="12"/>
      <c r="K1492" s="12"/>
      <c r="L1492" s="12"/>
      <c r="M1492" s="12">
        <v>45252.0</v>
      </c>
      <c r="N1492" s="2">
        <v>455.02</v>
      </c>
      <c r="O1492" s="3" t="s">
        <v>898</v>
      </c>
      <c r="P1492" s="4" t="str">
        <f t="array" ref="P1492">XLOOKUP(O1492,Agregado!$B$2:$B$1511,Agregado!$G$2:$G$1511)</f>
        <v>#N/A</v>
      </c>
    </row>
    <row r="1493" ht="15.75" customHeight="1">
      <c r="B1493" s="13" t="s">
        <v>2412</v>
      </c>
      <c r="C1493" s="7">
        <v>150255.92500000016</v>
      </c>
      <c r="D1493" s="7">
        <v>206081.33800000022</v>
      </c>
      <c r="E1493" s="7">
        <v>236016.66900000017</v>
      </c>
      <c r="F1493" s="7">
        <f t="shared" si="1"/>
        <v>592353.932</v>
      </c>
      <c r="G1493" s="14">
        <f t="shared" si="2"/>
        <v>0.0007020599096</v>
      </c>
      <c r="I1493" s="12"/>
      <c r="J1493" s="12"/>
      <c r="K1493" s="12"/>
      <c r="L1493" s="12"/>
      <c r="M1493" s="12">
        <v>45254.0</v>
      </c>
      <c r="N1493" s="2">
        <v>455.3</v>
      </c>
      <c r="O1493" s="3" t="s">
        <v>899</v>
      </c>
      <c r="P1493" s="4" t="str">
        <f t="array" ref="P1493">XLOOKUP(O1493,Agregado!$B$2:$B$1511,Agregado!$G$2:$G$1511)</f>
        <v>#N/A</v>
      </c>
    </row>
    <row r="1494" ht="15.75" customHeight="1">
      <c r="B1494" s="13" t="s">
        <v>2413</v>
      </c>
      <c r="C1494" s="7">
        <v>153240.20800000016</v>
      </c>
      <c r="D1494" s="7">
        <v>205666.21900000022</v>
      </c>
      <c r="E1494" s="7">
        <v>235874.12500000017</v>
      </c>
      <c r="F1494" s="7">
        <f t="shared" si="1"/>
        <v>594780.552</v>
      </c>
      <c r="G1494" s="14">
        <f t="shared" si="2"/>
        <v>0.004088203001</v>
      </c>
      <c r="I1494" s="12"/>
      <c r="J1494" s="12"/>
      <c r="K1494" s="12"/>
      <c r="L1494" s="12"/>
      <c r="M1494" s="12">
        <v>45257.0</v>
      </c>
      <c r="N1494" s="2">
        <v>454.48</v>
      </c>
      <c r="O1494" s="3" t="s">
        <v>900</v>
      </c>
      <c r="P1494" s="4" t="str">
        <f t="array" ref="P1494">XLOOKUP(O1494,Agregado!$B$2:$B$1511,Agregado!$G$2:$G$1511)</f>
        <v>#N/A</v>
      </c>
    </row>
    <row r="1495" ht="15.75" customHeight="1">
      <c r="B1495" s="13" t="s">
        <v>2414</v>
      </c>
      <c r="C1495" s="7">
        <v>151482.12500000015</v>
      </c>
      <c r="D1495" s="7">
        <v>205780.90600000022</v>
      </c>
      <c r="E1495" s="7">
        <v>236311.6590000002</v>
      </c>
      <c r="F1495" s="7">
        <f t="shared" si="1"/>
        <v>593574.69</v>
      </c>
      <c r="G1495" s="14">
        <f t="shared" si="2"/>
        <v>-0.002029464543</v>
      </c>
      <c r="I1495" s="12"/>
      <c r="J1495" s="12"/>
      <c r="K1495" s="12"/>
      <c r="L1495" s="12"/>
      <c r="M1495" s="12">
        <v>45258.0</v>
      </c>
      <c r="N1495" s="2">
        <v>454.93</v>
      </c>
      <c r="O1495" s="3" t="s">
        <v>901</v>
      </c>
      <c r="P1495" s="4" t="str">
        <f t="array" ref="P1495">XLOOKUP(O1495,Agregado!$B$2:$B$1511,Agregado!$G$2:$G$1511)</f>
        <v>#N/A</v>
      </c>
    </row>
    <row r="1496" ht="15.75" customHeight="1">
      <c r="B1496" s="13" t="s">
        <v>2415</v>
      </c>
      <c r="C1496" s="7">
        <v>155726.68600000013</v>
      </c>
      <c r="D1496" s="7">
        <v>205826.75700000022</v>
      </c>
      <c r="E1496" s="7">
        <v>236822.8670000002</v>
      </c>
      <c r="F1496" s="7">
        <f t="shared" si="1"/>
        <v>598376.31</v>
      </c>
      <c r="G1496" s="14">
        <f t="shared" si="2"/>
        <v>0.008056784169</v>
      </c>
      <c r="I1496" s="12"/>
      <c r="J1496" s="12"/>
      <c r="K1496" s="12"/>
      <c r="L1496" s="12"/>
      <c r="M1496" s="12">
        <v>45259.0</v>
      </c>
      <c r="N1496" s="2">
        <v>454.61</v>
      </c>
      <c r="O1496" s="3" t="s">
        <v>902</v>
      </c>
      <c r="P1496" s="4" t="str">
        <f t="array" ref="P1496">XLOOKUP(O1496,Agregado!$B$2:$B$1511,Agregado!$G$2:$G$1511)</f>
        <v>#N/A</v>
      </c>
    </row>
    <row r="1497" ht="15.75" customHeight="1">
      <c r="B1497" s="13" t="s">
        <v>2416</v>
      </c>
      <c r="C1497" s="7">
        <v>158227.19300000014</v>
      </c>
      <c r="D1497" s="7">
        <v>206740.2170000002</v>
      </c>
      <c r="E1497" s="7">
        <v>236745.0060000002</v>
      </c>
      <c r="F1497" s="7">
        <f t="shared" si="1"/>
        <v>601712.416</v>
      </c>
      <c r="G1497" s="14">
        <f t="shared" si="2"/>
        <v>0.005559779908</v>
      </c>
      <c r="I1497" s="12"/>
      <c r="J1497" s="12"/>
      <c r="K1497" s="12"/>
      <c r="L1497" s="12"/>
      <c r="M1497" s="12">
        <v>45260.0</v>
      </c>
      <c r="N1497" s="2">
        <v>456.4</v>
      </c>
      <c r="O1497" s="3" t="s">
        <v>903</v>
      </c>
      <c r="P1497" s="4" t="str">
        <f t="array" ref="P1497">XLOOKUP(O1497,Agregado!$B$2:$B$1511,Agregado!$G$2:$G$1511)</f>
        <v>#N/A</v>
      </c>
    </row>
    <row r="1498" ht="15.75" customHeight="1">
      <c r="B1498" s="13" t="s">
        <v>2417</v>
      </c>
      <c r="C1498" s="7">
        <v>154996.03200000015</v>
      </c>
      <c r="D1498" s="7">
        <v>208121.5400000002</v>
      </c>
      <c r="E1498" s="7">
        <v>235745.0140000002</v>
      </c>
      <c r="F1498" s="7">
        <f t="shared" si="1"/>
        <v>598862.586</v>
      </c>
      <c r="G1498" s="14">
        <f t="shared" si="2"/>
        <v>-0.004747450759</v>
      </c>
      <c r="I1498" s="12"/>
      <c r="J1498" s="12"/>
      <c r="K1498" s="12"/>
      <c r="L1498" s="12"/>
      <c r="M1498" s="12">
        <v>45261.0</v>
      </c>
      <c r="N1498" s="2">
        <v>459.1</v>
      </c>
      <c r="O1498" s="3">
        <v>44938.0</v>
      </c>
      <c r="P1498" s="4" t="str">
        <f t="array" ref="P1498">XLOOKUP(O1498,Agregado!$B$2:$B$1511,Agregado!$G$2:$G$1511)</f>
        <v>#N/A</v>
      </c>
    </row>
    <row r="1499" ht="15.75" customHeight="1">
      <c r="B1499" s="13" t="s">
        <v>2418</v>
      </c>
      <c r="C1499" s="7">
        <v>155594.29200000016</v>
      </c>
      <c r="D1499" s="7">
        <v>210017.1220000002</v>
      </c>
      <c r="E1499" s="7">
        <v>234284.7610000002</v>
      </c>
      <c r="F1499" s="7">
        <f t="shared" si="1"/>
        <v>599896.175</v>
      </c>
      <c r="G1499" s="14">
        <f t="shared" si="2"/>
        <v>0.001724432454</v>
      </c>
      <c r="I1499" s="12"/>
      <c r="J1499" s="12"/>
      <c r="K1499" s="12"/>
      <c r="L1499" s="12"/>
      <c r="M1499" s="12">
        <v>45264.0</v>
      </c>
      <c r="N1499" s="2">
        <v>456.69</v>
      </c>
      <c r="O1499" s="3">
        <v>45028.0</v>
      </c>
      <c r="P1499" s="4" t="str">
        <f t="array" ref="P1499">XLOOKUP(O1499,Agregado!$B$2:$B$1511,Agregado!$G$2:$G$1511)</f>
        <v>#N/A</v>
      </c>
    </row>
    <row r="1500" ht="15.75" customHeight="1">
      <c r="B1500" s="13" t="s">
        <v>2419</v>
      </c>
      <c r="C1500" s="7">
        <v>153954.18900000016</v>
      </c>
      <c r="D1500" s="7">
        <v>211038.25700000022</v>
      </c>
      <c r="E1500" s="7">
        <v>235786.9540000002</v>
      </c>
      <c r="F1500" s="7">
        <f t="shared" si="1"/>
        <v>600779.4</v>
      </c>
      <c r="G1500" s="14">
        <f t="shared" si="2"/>
        <v>0.00147121367</v>
      </c>
      <c r="I1500" s="12"/>
      <c r="J1500" s="12"/>
      <c r="K1500" s="12"/>
      <c r="L1500" s="12"/>
      <c r="M1500" s="12">
        <v>45265.0</v>
      </c>
      <c r="N1500" s="2">
        <v>456.6</v>
      </c>
      <c r="O1500" s="3">
        <v>45058.0</v>
      </c>
      <c r="P1500" s="4" t="str">
        <f t="array" ref="P1500">XLOOKUP(O1500,Agregado!$B$2:$B$1511,Agregado!$G$2:$G$1511)</f>
        <v>#N/A</v>
      </c>
    </row>
    <row r="1501" ht="15.75" customHeight="1">
      <c r="B1501" s="13" t="s">
        <v>2420</v>
      </c>
      <c r="C1501" s="7">
        <v>151238.99300000016</v>
      </c>
      <c r="D1501" s="7">
        <v>208823.31000000023</v>
      </c>
      <c r="E1501" s="7">
        <v>236091.9820000002</v>
      </c>
      <c r="F1501" s="7">
        <f t="shared" si="1"/>
        <v>596154.285</v>
      </c>
      <c r="G1501" s="14">
        <f t="shared" si="2"/>
        <v>-0.007728311231</v>
      </c>
      <c r="I1501" s="12"/>
      <c r="J1501" s="12"/>
      <c r="K1501" s="12"/>
      <c r="L1501" s="12"/>
      <c r="M1501" s="12">
        <v>45266.0</v>
      </c>
      <c r="N1501" s="2">
        <v>454.76</v>
      </c>
      <c r="O1501" s="3">
        <v>45089.0</v>
      </c>
      <c r="P1501" s="4" t="str">
        <f t="array" ref="P1501">XLOOKUP(O1501,Agregado!$B$2:$B$1511,Agregado!$G$2:$G$1511)</f>
        <v>#N/A</v>
      </c>
    </row>
    <row r="1502" ht="15.75" customHeight="1">
      <c r="B1502" s="13" t="s">
        <v>2421</v>
      </c>
      <c r="C1502" s="7">
        <v>156202.32800000015</v>
      </c>
      <c r="D1502" s="7">
        <v>210288.61400000023</v>
      </c>
      <c r="E1502" s="7">
        <v>238046.9900000002</v>
      </c>
      <c r="F1502" s="7">
        <f t="shared" si="1"/>
        <v>604537.932</v>
      </c>
      <c r="G1502" s="14">
        <f t="shared" si="2"/>
        <v>0.01396491645</v>
      </c>
      <c r="I1502" s="12"/>
      <c r="J1502" s="12"/>
      <c r="K1502" s="12"/>
      <c r="L1502" s="12"/>
      <c r="M1502" s="12">
        <v>45267.0</v>
      </c>
      <c r="N1502" s="2">
        <v>458.23</v>
      </c>
      <c r="O1502" s="3">
        <v>45119.0</v>
      </c>
      <c r="P1502" s="4" t="str">
        <f t="array" ref="P1502">XLOOKUP(O1502,Agregado!$B$2:$B$1511,Agregado!$G$2:$G$1511)</f>
        <v>#N/A</v>
      </c>
    </row>
    <row r="1503" ht="15.75" customHeight="1">
      <c r="B1503" s="13" t="s">
        <v>2422</v>
      </c>
      <c r="C1503" s="7">
        <v>158938.81000000014</v>
      </c>
      <c r="D1503" s="7">
        <v>211189.28900000022</v>
      </c>
      <c r="E1503" s="7">
        <v>238879.1590000002</v>
      </c>
      <c r="F1503" s="7">
        <f t="shared" si="1"/>
        <v>609007.258</v>
      </c>
      <c r="G1503" s="14">
        <f t="shared" si="2"/>
        <v>0.007365768071</v>
      </c>
      <c r="I1503" s="12"/>
      <c r="J1503" s="12"/>
      <c r="K1503" s="12"/>
      <c r="L1503" s="12"/>
      <c r="M1503" s="12">
        <v>45268.0</v>
      </c>
      <c r="N1503" s="2">
        <v>460.2</v>
      </c>
      <c r="O1503" s="3">
        <v>45150.0</v>
      </c>
      <c r="P1503" s="4" t="str">
        <f t="array" ref="P1503">XLOOKUP(O1503,Agregado!$B$2:$B$1511,Agregado!$G$2:$G$1511)</f>
        <v>#N/A</v>
      </c>
    </row>
    <row r="1504" ht="15.75" customHeight="1">
      <c r="B1504" s="13" t="s">
        <v>2423</v>
      </c>
      <c r="C1504" s="7">
        <v>179778.36700000014</v>
      </c>
      <c r="D1504" s="7">
        <v>202253.8690000002</v>
      </c>
      <c r="E1504" s="7">
        <v>238530.0680000002</v>
      </c>
      <c r="F1504" s="7">
        <f t="shared" si="1"/>
        <v>620562.304</v>
      </c>
      <c r="G1504" s="14">
        <f t="shared" si="2"/>
        <v>0.01879582341</v>
      </c>
      <c r="I1504" s="12"/>
      <c r="J1504" s="12"/>
      <c r="K1504" s="12"/>
      <c r="L1504" s="12"/>
      <c r="M1504" s="12">
        <v>45271.0</v>
      </c>
      <c r="N1504" s="2">
        <v>461.99</v>
      </c>
      <c r="O1504" s="3">
        <v>45242.0</v>
      </c>
      <c r="P1504" s="4" t="str">
        <f t="array" ref="P1504">XLOOKUP(O1504,Agregado!$B$2:$B$1511,Agregado!$G$2:$G$1511)</f>
        <v>#N/A</v>
      </c>
    </row>
    <row r="1505" ht="15.75" customHeight="1">
      <c r="B1505" s="13" t="s">
        <v>2424</v>
      </c>
      <c r="C1505" s="7">
        <v>189997.62800000014</v>
      </c>
      <c r="D1505" s="7">
        <v>198753.9510000002</v>
      </c>
      <c r="E1505" s="7">
        <v>236543.4650000002</v>
      </c>
      <c r="F1505" s="7">
        <f t="shared" si="1"/>
        <v>625295.044</v>
      </c>
      <c r="G1505" s="14">
        <f t="shared" si="2"/>
        <v>0.007597599795</v>
      </c>
      <c r="I1505" s="12"/>
      <c r="J1505" s="12"/>
      <c r="K1505" s="12"/>
      <c r="L1505" s="12"/>
      <c r="M1505" s="12">
        <v>45272.0</v>
      </c>
      <c r="N1505" s="2">
        <v>464.1</v>
      </c>
      <c r="O1505" s="3">
        <v>45272.0</v>
      </c>
      <c r="P1505" s="4" t="str">
        <f t="array" ref="P1505">XLOOKUP(O1505,Agregado!$B$2:$B$1511,Agregado!$G$2:$G$1511)</f>
        <v>#N/A</v>
      </c>
    </row>
    <row r="1506" ht="15.75" customHeight="1">
      <c r="B1506" s="13" t="s">
        <v>2425</v>
      </c>
      <c r="C1506" s="7">
        <v>190662.38900000014</v>
      </c>
      <c r="D1506" s="7">
        <v>198993.4570000002</v>
      </c>
      <c r="E1506" s="7">
        <v>237178.8450000002</v>
      </c>
      <c r="F1506" s="7">
        <f t="shared" si="1"/>
        <v>626834.691</v>
      </c>
      <c r="G1506" s="14">
        <f t="shared" si="2"/>
        <v>0.002459246407</v>
      </c>
      <c r="I1506" s="12"/>
      <c r="J1506" s="12"/>
      <c r="K1506" s="12"/>
      <c r="L1506" s="12"/>
      <c r="M1506" s="12">
        <v>45273.0</v>
      </c>
      <c r="N1506" s="2">
        <v>470.5</v>
      </c>
      <c r="O1506" s="3" t="s">
        <v>904</v>
      </c>
      <c r="P1506" s="4" t="str">
        <f t="array" ref="P1506">XLOOKUP(O1506,Agregado!$B$2:$B$1511,Agregado!$G$2:$G$1511)</f>
        <v>#N/A</v>
      </c>
    </row>
    <row r="1507" ht="15.75" customHeight="1">
      <c r="B1507" s="13" t="s">
        <v>2426</v>
      </c>
      <c r="C1507" s="7">
        <v>191878.95000000013</v>
      </c>
      <c r="D1507" s="7">
        <v>199181.5000000002</v>
      </c>
      <c r="E1507" s="7">
        <v>237512.0800000002</v>
      </c>
      <c r="F1507" s="7">
        <f t="shared" si="1"/>
        <v>628572.53</v>
      </c>
      <c r="G1507" s="14">
        <f t="shared" si="2"/>
        <v>0.002768567969</v>
      </c>
      <c r="I1507" s="12"/>
      <c r="J1507" s="12"/>
      <c r="K1507" s="12"/>
      <c r="L1507" s="12"/>
      <c r="M1507" s="12">
        <v>45274.0</v>
      </c>
      <c r="N1507" s="2">
        <v>472.01</v>
      </c>
      <c r="O1507" s="3" t="s">
        <v>905</v>
      </c>
      <c r="P1507" s="4" t="str">
        <f t="array" ref="P1507">XLOOKUP(O1507,Agregado!$B$2:$B$1511,Agregado!$G$2:$G$1511)</f>
        <v>#N/A</v>
      </c>
    </row>
    <row r="1508" ht="15.75" customHeight="1">
      <c r="B1508" s="13" t="s">
        <v>2427</v>
      </c>
      <c r="C1508" s="7">
        <v>192777.13600000012</v>
      </c>
      <c r="D1508" s="7">
        <v>201390.01800000021</v>
      </c>
      <c r="E1508" s="7">
        <v>237506.3400000002</v>
      </c>
      <c r="F1508" s="7">
        <f t="shared" si="1"/>
        <v>631673.494</v>
      </c>
      <c r="G1508" s="14">
        <f t="shared" si="2"/>
        <v>0.004921214111</v>
      </c>
      <c r="I1508" s="12"/>
      <c r="J1508" s="12"/>
      <c r="K1508" s="12"/>
      <c r="L1508" s="12"/>
      <c r="M1508" s="12">
        <v>45275.0</v>
      </c>
      <c r="N1508" s="2">
        <v>469.33</v>
      </c>
      <c r="O1508" s="3" t="s">
        <v>906</v>
      </c>
      <c r="P1508" s="4" t="str">
        <f t="array" ref="P1508">XLOOKUP(O1508,Agregado!$B$2:$B$1511,Agregado!$G$2:$G$1511)</f>
        <v>#N/A</v>
      </c>
    </row>
    <row r="1509" ht="15.75" customHeight="1">
      <c r="B1509" s="13" t="s">
        <v>2428</v>
      </c>
      <c r="C1509" s="7">
        <v>187331.76100000012</v>
      </c>
      <c r="D1509" s="7">
        <v>210024.68300000022</v>
      </c>
      <c r="E1509" s="7">
        <v>237549.14300000021</v>
      </c>
      <c r="F1509" s="7">
        <f t="shared" si="1"/>
        <v>634905.587</v>
      </c>
      <c r="G1509" s="14">
        <f t="shared" si="2"/>
        <v>0.005103668715</v>
      </c>
      <c r="I1509" s="12"/>
      <c r="J1509" s="12"/>
      <c r="K1509" s="12"/>
      <c r="L1509" s="12"/>
      <c r="M1509" s="12">
        <v>45278.0</v>
      </c>
      <c r="N1509" s="2">
        <v>471.97</v>
      </c>
      <c r="O1509" s="3" t="s">
        <v>907</v>
      </c>
      <c r="P1509" s="4" t="str">
        <f t="array" ref="P1509">XLOOKUP(O1509,Agregado!$B$2:$B$1511,Agregado!$G$2:$G$1511)</f>
        <v>#N/A</v>
      </c>
    </row>
    <row r="1510" ht="15.75" customHeight="1">
      <c r="B1510" s="13" t="s">
        <v>2429</v>
      </c>
      <c r="C1510" s="7">
        <v>188401.67300000013</v>
      </c>
      <c r="D1510" s="7">
        <v>210000.79500000022</v>
      </c>
      <c r="E1510" s="7">
        <v>237741.60700000022</v>
      </c>
      <c r="F1510" s="7">
        <f t="shared" si="1"/>
        <v>636144.075</v>
      </c>
      <c r="G1510" s="14">
        <f t="shared" si="2"/>
        <v>0.001948764756</v>
      </c>
      <c r="I1510" s="12"/>
      <c r="J1510" s="12"/>
      <c r="K1510" s="12"/>
      <c r="L1510" s="12"/>
      <c r="M1510" s="12">
        <v>45279.0</v>
      </c>
      <c r="N1510" s="2">
        <v>474.84</v>
      </c>
      <c r="O1510" s="3" t="s">
        <v>908</v>
      </c>
      <c r="P1510" s="4" t="str">
        <f t="array" ref="P1510">XLOOKUP(O1510,Agregado!$B$2:$B$1511,Agregado!$G$2:$G$1511)</f>
        <v>#N/A</v>
      </c>
    </row>
    <row r="1511" ht="15.75" customHeight="1">
      <c r="B1511" s="13" t="s">
        <v>2430</v>
      </c>
      <c r="C1511" s="7">
        <v>189139.836</v>
      </c>
      <c r="D1511" s="7">
        <v>210981.67200000022</v>
      </c>
      <c r="E1511" s="7">
        <v>238022.5620000002</v>
      </c>
      <c r="F1511" s="7">
        <f t="shared" si="1"/>
        <v>638144.07</v>
      </c>
      <c r="G1511" s="14">
        <f t="shared" si="2"/>
        <v>0.003139002195</v>
      </c>
      <c r="I1511" s="12"/>
      <c r="J1511" s="12"/>
      <c r="K1511" s="12"/>
      <c r="L1511" s="12"/>
      <c r="M1511" s="12">
        <v>45280.0</v>
      </c>
      <c r="N1511" s="2">
        <v>468.26</v>
      </c>
      <c r="O1511" s="3" t="s">
        <v>909</v>
      </c>
      <c r="P1511" s="4" t="str">
        <f t="array" ref="P1511">XLOOKUP(O1511,Agregado!$B$2:$B$1511,Agregado!$G$2:$G$1511)</f>
        <v>#N/A</v>
      </c>
    </row>
    <row r="1512" ht="15.75" customHeight="1">
      <c r="I1512" s="12"/>
      <c r="J1512" s="12"/>
      <c r="K1512" s="12"/>
      <c r="L1512" s="12"/>
      <c r="M1512" s="12">
        <v>45281.0</v>
      </c>
      <c r="N1512" s="2">
        <v>472.7</v>
      </c>
      <c r="O1512" s="3" t="s">
        <v>910</v>
      </c>
      <c r="P1512" s="4" t="str">
        <f t="array" ref="P1512">XLOOKUP(O1512,Agregado!$B$2:$B$1511,Agregado!$G$2:$G$1511)</f>
        <v>#N/A</v>
      </c>
    </row>
    <row r="1513" ht="15.75" customHeight="1">
      <c r="I1513" s="12"/>
      <c r="J1513" s="12"/>
      <c r="K1513" s="12"/>
      <c r="L1513" s="12"/>
      <c r="M1513" s="12">
        <v>45282.0</v>
      </c>
      <c r="N1513" s="2">
        <v>473.65</v>
      </c>
      <c r="O1513" s="3" t="s">
        <v>911</v>
      </c>
      <c r="P1513" s="4" t="str">
        <f t="array" ref="P1513">XLOOKUP(O1513,Agregado!$B$2:$B$1511,Agregado!$G$2:$G$1511)</f>
        <v>#N/A</v>
      </c>
    </row>
    <row r="1514" ht="15.75" customHeight="1">
      <c r="I1514" s="12"/>
      <c r="J1514" s="12"/>
      <c r="K1514" s="12"/>
      <c r="L1514" s="12"/>
      <c r="M1514" s="12">
        <v>45286.0</v>
      </c>
      <c r="N1514" s="2">
        <v>475.65</v>
      </c>
      <c r="O1514" s="3" t="s">
        <v>912</v>
      </c>
      <c r="P1514" s="4" t="str">
        <f t="array" ref="P1514">XLOOKUP(O1514,Agregado!$B$2:$B$1511,Agregado!$G$2:$G$1511)</f>
        <v>#N/A</v>
      </c>
    </row>
    <row r="1515" ht="15.75" customHeight="1">
      <c r="I1515" s="12"/>
      <c r="J1515" s="12"/>
      <c r="K1515" s="12"/>
      <c r="L1515" s="12"/>
      <c r="M1515" s="12">
        <v>45287.0</v>
      </c>
      <c r="N1515" s="2">
        <v>476.51</v>
      </c>
      <c r="O1515" s="3" t="s">
        <v>913</v>
      </c>
      <c r="P1515" s="4" t="str">
        <f t="array" ref="P1515">XLOOKUP(O1515,Agregado!$B$2:$B$1511,Agregado!$G$2:$G$1511)</f>
        <v>#N/A</v>
      </c>
    </row>
    <row r="1516" ht="15.75" customHeight="1">
      <c r="I1516" s="12"/>
      <c r="J1516" s="12"/>
      <c r="K1516" s="12"/>
      <c r="L1516" s="12"/>
      <c r="M1516" s="12">
        <v>45288.0</v>
      </c>
      <c r="N1516" s="2">
        <v>476.69</v>
      </c>
      <c r="O1516" s="3" t="s">
        <v>914</v>
      </c>
      <c r="P1516" s="4" t="str">
        <f t="array" ref="P1516">XLOOKUP(O1516,Agregado!$B$2:$B$1511,Agregado!$G$2:$G$1511)</f>
        <v>#N/A</v>
      </c>
    </row>
    <row r="1517" ht="15.75" customHeight="1">
      <c r="I1517" s="12"/>
      <c r="J1517" s="12"/>
      <c r="K1517" s="12"/>
      <c r="L1517" s="12"/>
      <c r="M1517" s="12"/>
      <c r="P1517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8.57"/>
    <col customWidth="1" min="4" max="4" width="15.14"/>
    <col customWidth="1" min="5" max="26" width="10.71"/>
  </cols>
  <sheetData>
    <row r="2">
      <c r="A2" s="12">
        <v>43102.0</v>
      </c>
      <c r="B2" s="2">
        <v>268.77</v>
      </c>
      <c r="C2" s="3">
        <v>43132.0</v>
      </c>
      <c r="D2" s="4" t="str">
        <f t="array" ref="D2">XLOOKUP(Hoja5!A2,#REF!,Agregado!G2:G1511)</f>
        <v>#REF!</v>
      </c>
    </row>
    <row r="3">
      <c r="A3" s="12">
        <v>43103.0</v>
      </c>
      <c r="B3" s="2">
        <v>270.47</v>
      </c>
      <c r="C3" s="3">
        <v>43160.0</v>
      </c>
      <c r="D3" s="4" t="str">
        <f t="array" ref="D3">XLOOKUP(Hoja5!A3,#REF!,Agregado!G3:G1511)</f>
        <v>#REF!</v>
      </c>
    </row>
    <row r="4">
      <c r="A4" s="12">
        <v>43104.0</v>
      </c>
      <c r="B4" s="2">
        <v>271.61</v>
      </c>
      <c r="C4" s="3">
        <v>43191.0</v>
      </c>
      <c r="D4" s="4" t="str">
        <f t="array" ref="D4">XLOOKUP(Hoja5!A4,Agregado!B1512,Agregado!G4:G1512)</f>
        <v>#N/A</v>
      </c>
    </row>
    <row r="5">
      <c r="A5" s="12">
        <v>43105.0</v>
      </c>
      <c r="B5" s="2">
        <v>273.42</v>
      </c>
      <c r="C5" s="3">
        <v>43221.0</v>
      </c>
      <c r="D5" s="4" t="str">
        <f t="array" ref="D5">XLOOKUP(Hoja5!A5,Agregado!B1512:B1513,Agregado!G5:G1513)</f>
        <v>#N/A</v>
      </c>
    </row>
    <row r="6">
      <c r="A6" s="12">
        <v>43108.0</v>
      </c>
      <c r="B6" s="2">
        <v>273.92</v>
      </c>
      <c r="C6" s="3">
        <v>43313.0</v>
      </c>
      <c r="D6" s="4" t="str">
        <f t="array" ref="D6">XLOOKUP(Hoja5!A6,Agregado!B1512:B1514,Agregado!G6:G1514)</f>
        <v>#N/A</v>
      </c>
    </row>
    <row r="7">
      <c r="A7" s="12">
        <v>43109.0</v>
      </c>
      <c r="B7" s="2">
        <v>274.54</v>
      </c>
      <c r="C7" s="3">
        <v>43344.0</v>
      </c>
      <c r="D7" s="4" t="str">
        <f t="array" ref="D7">XLOOKUP(Hoja5!A7,Agregado!B1512:B1515,Agregado!G7:G1515)</f>
        <v>#N/A</v>
      </c>
    </row>
    <row r="8">
      <c r="A8" s="12">
        <v>43110.0</v>
      </c>
      <c r="B8" s="2">
        <v>274.12</v>
      </c>
      <c r="C8" s="3">
        <v>43374.0</v>
      </c>
      <c r="D8" s="4" t="str">
        <f t="array" ref="D8">XLOOKUP(Hoja5!A8,Agregado!B1512:B1516,Agregado!G8:G1516)</f>
        <v>#N/A</v>
      </c>
    </row>
    <row r="9">
      <c r="A9" s="12">
        <v>43111.0</v>
      </c>
      <c r="B9" s="2">
        <v>276.12</v>
      </c>
      <c r="C9" s="3">
        <v>43405.0</v>
      </c>
      <c r="D9" s="4" t="str">
        <f t="array" ref="D9">XLOOKUP(Hoja5!A9,Agregado!B1512:B1517,Agregado!G9:G1517)</f>
        <v>#N/A</v>
      </c>
    </row>
    <row r="10">
      <c r="A10" s="12">
        <v>43112.0</v>
      </c>
      <c r="B10" s="2">
        <v>277.92</v>
      </c>
      <c r="C10" s="3">
        <v>43435.0</v>
      </c>
      <c r="D10" s="4" t="str">
        <f t="array" ref="D10">XLOOKUP(Hoja5!A10,Agregado!B1512:B1518,Agregado!G10:G1518)</f>
        <v>#N/A</v>
      </c>
    </row>
    <row r="11">
      <c r="A11" s="12">
        <v>43116.0</v>
      </c>
      <c r="B11" s="2">
        <v>276.97</v>
      </c>
      <c r="C11" s="3" t="s">
        <v>1</v>
      </c>
      <c r="D11" s="4" t="str">
        <f t="array" ref="D11">XLOOKUP(Hoja5!A11,Agregado!B1512:B1519,Agregado!G11:G1519)</f>
        <v>#N/A</v>
      </c>
    </row>
    <row r="12">
      <c r="A12" s="12">
        <v>43117.0</v>
      </c>
      <c r="B12" s="2">
        <v>279.61</v>
      </c>
      <c r="C12" s="3" t="s">
        <v>2</v>
      </c>
      <c r="D12" s="4" t="str">
        <f t="array" ref="D12">XLOOKUP(Hoja5!A12,Agregado!B1512:B1520,Agregado!G12:G1520)</f>
        <v>#N/A</v>
      </c>
    </row>
    <row r="13">
      <c r="A13" s="12">
        <v>43118.0</v>
      </c>
      <c r="B13" s="2">
        <v>279.14</v>
      </c>
      <c r="C13" s="3" t="s">
        <v>3</v>
      </c>
      <c r="D13" s="4" t="str">
        <f t="array" ref="D13">XLOOKUP(Hoja5!A13,Agregado!B1512:B1521,Agregado!G13:G1521)</f>
        <v>#N/A</v>
      </c>
    </row>
    <row r="14">
      <c r="A14" s="12">
        <v>43119.0</v>
      </c>
      <c r="B14" s="2">
        <v>280.41</v>
      </c>
      <c r="C14" s="3" t="s">
        <v>4</v>
      </c>
      <c r="D14" s="4" t="str">
        <f t="array" ref="D14">XLOOKUP(Hoja5!A14,Agregado!B1512:B1522,Agregado!G14:G1522)</f>
        <v>#N/A</v>
      </c>
    </row>
    <row r="15">
      <c r="A15" s="12">
        <v>43122.0</v>
      </c>
      <c r="B15" s="2">
        <v>282.69</v>
      </c>
      <c r="C15" s="3" t="s">
        <v>5</v>
      </c>
      <c r="D15" s="4" t="str">
        <f t="array" ref="D15">XLOOKUP(Hoja5!A15,Agregado!B1512:B1523,Agregado!G15:G1523)</f>
        <v>#N/A</v>
      </c>
    </row>
    <row r="16">
      <c r="A16" s="12">
        <v>43123.0</v>
      </c>
      <c r="B16" s="2">
        <v>283.29</v>
      </c>
      <c r="C16" s="3" t="s">
        <v>6</v>
      </c>
      <c r="D16" s="4" t="str">
        <f t="array" ref="D16">XLOOKUP(Hoja5!A16,Agregado!B1512:B1524,Agregado!G16:G1524)</f>
        <v>#N/A</v>
      </c>
    </row>
    <row r="17">
      <c r="A17" s="12">
        <v>43124.0</v>
      </c>
      <c r="B17" s="2">
        <v>283.18</v>
      </c>
      <c r="C17" s="3" t="s">
        <v>7</v>
      </c>
      <c r="D17" s="4" t="str">
        <f t="array" ref="D17">XLOOKUP(Hoja5!A17,Agregado!B1512:B1525,Agregado!G17:G1525)</f>
        <v>#N/A</v>
      </c>
    </row>
    <row r="18">
      <c r="A18" s="12">
        <v>43125.0</v>
      </c>
      <c r="B18" s="2">
        <v>283.3</v>
      </c>
      <c r="C18" s="3" t="s">
        <v>8</v>
      </c>
      <c r="D18" s="4" t="str">
        <f t="array" ref="D18">XLOOKUP(Hoja5!A18,Agregado!B1512:B1526,Agregado!G18:G1526)</f>
        <v>#N/A</v>
      </c>
    </row>
    <row r="19">
      <c r="A19" s="12">
        <v>43126.0</v>
      </c>
      <c r="B19" s="2">
        <v>286.58</v>
      </c>
      <c r="C19" s="3" t="s">
        <v>9</v>
      </c>
      <c r="D19" s="4" t="str">
        <f t="array" ref="D19">XLOOKUP(Hoja5!A19,Agregado!B1512:B1527,Agregado!G19:G1527)</f>
        <v>#N/A</v>
      </c>
    </row>
    <row r="20">
      <c r="A20" s="12">
        <v>43129.0</v>
      </c>
      <c r="B20" s="2">
        <v>284.68</v>
      </c>
      <c r="C20" s="3" t="s">
        <v>10</v>
      </c>
      <c r="D20" s="4" t="str">
        <f t="array" ref="D20">XLOOKUP(Hoja5!A20,Agregado!B1512:B1528,Agregado!G20:G1528)</f>
        <v>#N/A</v>
      </c>
    </row>
    <row r="21" ht="15.75" customHeight="1">
      <c r="A21" s="12">
        <v>43130.0</v>
      </c>
      <c r="B21" s="2">
        <v>281.76</v>
      </c>
      <c r="C21" s="3" t="s">
        <v>11</v>
      </c>
      <c r="D21" s="4" t="str">
        <f t="array" ref="D21">XLOOKUP(Hoja5!A21,Agregado!B1512:B1529,Agregado!G21:G1529)</f>
        <v>#N/A</v>
      </c>
    </row>
    <row r="22" ht="15.75" customHeight="1">
      <c r="A22" s="12">
        <v>43131.0</v>
      </c>
      <c r="B22" s="2">
        <v>281.9</v>
      </c>
      <c r="C22" s="3" t="s">
        <v>12</v>
      </c>
      <c r="D22" s="4" t="str">
        <f t="array" ref="D22">XLOOKUP(Hoja5!A22,Agregado!B1512:B1530,Agregado!G22:G1530)</f>
        <v>#N/A</v>
      </c>
    </row>
    <row r="23" ht="15.75" customHeight="1">
      <c r="A23" s="12">
        <v>43132.0</v>
      </c>
      <c r="B23" s="2">
        <v>281.58</v>
      </c>
      <c r="C23" s="3">
        <v>43102.0</v>
      </c>
      <c r="D23" s="4" t="str">
        <f t="array" ref="D23">XLOOKUP(Hoja5!A23,Agregado!B1512:B1531,Agregado!G23:G1531)</f>
        <v>#N/A</v>
      </c>
    </row>
    <row r="24" ht="15.75" customHeight="1">
      <c r="A24" s="12">
        <v>43133.0</v>
      </c>
      <c r="B24" s="2">
        <v>275.45</v>
      </c>
      <c r="C24" s="3">
        <v>43133.0</v>
      </c>
      <c r="D24" s="4" t="str">
        <f t="array" ref="D24">XLOOKUP(Hoja5!A24,Agregado!B1512:B1532,Agregado!G24:G1532)</f>
        <v>#N/A</v>
      </c>
    </row>
    <row r="25" ht="15.75" customHeight="1">
      <c r="A25" s="12">
        <v>43136.0</v>
      </c>
      <c r="B25" s="2">
        <v>263.93</v>
      </c>
      <c r="C25" s="3">
        <v>43222.0</v>
      </c>
      <c r="D25" s="4" t="str">
        <f t="array" ref="D25">XLOOKUP(Hoja5!A25,Agregado!B1512:B1533,Agregado!G25:G1533)</f>
        <v>#N/A</v>
      </c>
    </row>
    <row r="26" ht="15.75" customHeight="1">
      <c r="A26" s="12">
        <v>43137.0</v>
      </c>
      <c r="B26" s="2">
        <v>269.13</v>
      </c>
      <c r="C26" s="3">
        <v>43253.0</v>
      </c>
      <c r="D26" s="4" t="str">
        <f t="array" ref="D26">XLOOKUP(Hoja5!A26,Agregado!B1512:B1534,Agregado!G26:G1534)</f>
        <v>#N/A</v>
      </c>
    </row>
    <row r="27" ht="15.75" customHeight="1">
      <c r="A27" s="12">
        <v>43138.0</v>
      </c>
      <c r="B27" s="2">
        <v>267.67</v>
      </c>
      <c r="C27" s="3">
        <v>43283.0</v>
      </c>
      <c r="D27" s="4" t="str">
        <f t="array" ref="D27">XLOOKUP(Hoja5!A27,Agregado!B1512:B1535,Agregado!G27:G1535)</f>
        <v>#N/A</v>
      </c>
    </row>
    <row r="28" ht="15.75" customHeight="1">
      <c r="A28" s="12">
        <v>43139.0</v>
      </c>
      <c r="B28" s="2">
        <v>257.63</v>
      </c>
      <c r="C28" s="3">
        <v>43314.0</v>
      </c>
      <c r="D28" s="4" t="str">
        <f t="array" ref="D28">XLOOKUP(Hoja5!A28,Agregado!B1512:B1536,Agregado!G28:G1536)</f>
        <v>#N/A</v>
      </c>
    </row>
    <row r="29" ht="15.75" customHeight="1">
      <c r="A29" s="12">
        <v>43140.0</v>
      </c>
      <c r="B29" s="2">
        <v>261.5</v>
      </c>
      <c r="C29" s="3">
        <v>43345.0</v>
      </c>
      <c r="D29" s="4" t="str">
        <f t="array" ref="D29">XLOOKUP(Hoja5!A29,Agregado!B1512:B1537,Agregado!G29:G1537)</f>
        <v>#N/A</v>
      </c>
    </row>
    <row r="30" ht="15.75" customHeight="1">
      <c r="A30" s="12">
        <v>43143.0</v>
      </c>
      <c r="B30" s="2">
        <v>265.34</v>
      </c>
      <c r="C30" s="3">
        <v>43436.0</v>
      </c>
      <c r="D30" s="4" t="str">
        <f t="array" ref="D30">XLOOKUP(Hoja5!A30,Agregado!B1512:B1538,Agregado!G30:G1538)</f>
        <v>#N/A</v>
      </c>
    </row>
    <row r="31" ht="15.75" customHeight="1">
      <c r="A31" s="12">
        <v>43144.0</v>
      </c>
      <c r="B31" s="2">
        <v>266.0</v>
      </c>
      <c r="C31" s="3" t="s">
        <v>13</v>
      </c>
      <c r="D31" s="4" t="str">
        <f t="array" ref="D31">XLOOKUP(Hoja5!A31,Agregado!B1512:B1539,Agregado!G31:G1539)</f>
        <v>#N/A</v>
      </c>
    </row>
    <row r="32" ht="15.75" customHeight="1">
      <c r="A32" s="12">
        <v>43145.0</v>
      </c>
      <c r="B32" s="2">
        <v>269.59</v>
      </c>
      <c r="C32" s="3" t="s">
        <v>14</v>
      </c>
      <c r="D32" s="4" t="str">
        <f t="array" ref="D32">XLOOKUP(Hoja5!A32,Agregado!B1512:B1540,Agregado!G32:G1540)</f>
        <v>#N/A</v>
      </c>
    </row>
    <row r="33" ht="15.75" customHeight="1">
      <c r="A33" s="12">
        <v>43146.0</v>
      </c>
      <c r="B33" s="2">
        <v>273.03</v>
      </c>
      <c r="C33" s="3" t="s">
        <v>15</v>
      </c>
      <c r="D33" s="4" t="str">
        <f t="array" ref="D33">XLOOKUP(Hoja5!A33,Agregado!B1512:B1541,Agregado!G33:G1541)</f>
        <v>#N/A</v>
      </c>
    </row>
    <row r="34" ht="15.75" customHeight="1">
      <c r="A34" s="12">
        <v>43147.0</v>
      </c>
      <c r="B34" s="2">
        <v>273.11</v>
      </c>
      <c r="C34" s="3" t="s">
        <v>16</v>
      </c>
      <c r="D34" s="4" t="str">
        <f t="array" ref="D34">XLOOKUP(Hoja5!A34,Agregado!B1512:B1542,Agregado!G34:G1542)</f>
        <v>#N/A</v>
      </c>
    </row>
    <row r="35" ht="15.75" customHeight="1">
      <c r="A35" s="12">
        <v>43151.0</v>
      </c>
      <c r="B35" s="2">
        <v>271.4</v>
      </c>
      <c r="C35" s="3" t="s">
        <v>17</v>
      </c>
      <c r="D35" s="4" t="str">
        <f t="array" ref="D35">XLOOKUP(Hoja5!A35,Agregado!B1512:B1543,Agregado!G35:G1543)</f>
        <v>#N/A</v>
      </c>
    </row>
    <row r="36" ht="15.75" customHeight="1">
      <c r="A36" s="12">
        <v>43152.0</v>
      </c>
      <c r="B36" s="2">
        <v>270.05</v>
      </c>
      <c r="C36" s="3" t="s">
        <v>18</v>
      </c>
      <c r="D36" s="4" t="str">
        <f t="array" ref="D36">XLOOKUP(Hoja5!A36,Agregado!B1512:B1544,Agregado!G36:G1544)</f>
        <v>#N/A</v>
      </c>
    </row>
    <row r="37" ht="15.75" customHeight="1">
      <c r="A37" s="12">
        <v>43153.0</v>
      </c>
      <c r="B37" s="2">
        <v>270.4</v>
      </c>
      <c r="C37" s="3" t="s">
        <v>19</v>
      </c>
      <c r="D37" s="4" t="str">
        <f t="array" ref="D37">XLOOKUP(Hoja5!A37,Agregado!B1512:B1545,Agregado!G37:G1545)</f>
        <v>#N/A</v>
      </c>
    </row>
    <row r="38" ht="15.75" customHeight="1">
      <c r="A38" s="12">
        <v>43154.0</v>
      </c>
      <c r="B38" s="2">
        <v>274.71</v>
      </c>
      <c r="C38" s="3" t="s">
        <v>20</v>
      </c>
      <c r="D38" s="4" t="str">
        <f t="array" ref="D38">XLOOKUP(Hoja5!A38,Agregado!B1512:B1546,Agregado!G38:G1546)</f>
        <v>#N/A</v>
      </c>
    </row>
    <row r="39" ht="15.75" customHeight="1">
      <c r="A39" s="12">
        <v>43157.0</v>
      </c>
      <c r="B39" s="2">
        <v>277.9</v>
      </c>
      <c r="C39" s="3" t="s">
        <v>21</v>
      </c>
      <c r="D39" s="4" t="str">
        <f t="array" ref="D39">XLOOKUP(Hoja5!A39,Agregado!B1512:B1547,Agregado!G39:G1547)</f>
        <v>#N/A</v>
      </c>
    </row>
    <row r="40" ht="15.75" customHeight="1">
      <c r="A40" s="12">
        <v>43158.0</v>
      </c>
      <c r="B40" s="2">
        <v>274.43</v>
      </c>
      <c r="C40" s="3" t="s">
        <v>22</v>
      </c>
      <c r="D40" s="4" t="str">
        <f t="array" ref="D40">XLOOKUP(Hoja5!A40,Agregado!B1512:B1548,Agregado!G40:G1548)</f>
        <v>#N/A</v>
      </c>
    </row>
    <row r="41" ht="15.75" customHeight="1">
      <c r="A41" s="12">
        <v>43159.0</v>
      </c>
      <c r="B41" s="2">
        <v>271.65</v>
      </c>
      <c r="C41" s="3" t="s">
        <v>23</v>
      </c>
      <c r="D41" s="4" t="str">
        <f t="array" ref="D41">XLOOKUP(Hoja5!A41,Agregado!B1512:B1549,Agregado!G41:G1549)</f>
        <v>#N/A</v>
      </c>
    </row>
    <row r="42" ht="15.75" customHeight="1">
      <c r="A42" s="12">
        <v>43160.0</v>
      </c>
      <c r="B42" s="2">
        <v>267.7</v>
      </c>
      <c r="C42" s="3">
        <v>43103.0</v>
      </c>
      <c r="D42" s="4" t="str">
        <f t="array" ref="D42">XLOOKUP(Hoja5!A42,Agregado!B1512:B1550,Agregado!G42:G1550)</f>
        <v>#N/A</v>
      </c>
    </row>
    <row r="43" ht="15.75" customHeight="1">
      <c r="A43" s="12">
        <v>43161.0</v>
      </c>
      <c r="B43" s="2">
        <v>269.08</v>
      </c>
      <c r="C43" s="3">
        <v>43134.0</v>
      </c>
      <c r="D43" s="4" t="str">
        <f t="array" ref="D43">XLOOKUP(Hoja5!A43,Agregado!B1512:B1551,Agregado!G43:G1551)</f>
        <v>#N/A</v>
      </c>
    </row>
    <row r="44" ht="15.75" customHeight="1">
      <c r="A44" s="12">
        <v>43164.0</v>
      </c>
      <c r="B44" s="2">
        <v>272.19</v>
      </c>
      <c r="C44" s="3">
        <v>43223.0</v>
      </c>
      <c r="D44" s="4" t="str">
        <f t="array" ref="D44">XLOOKUP(Hoja5!A44,Agregado!B1512:B1552,Agregado!G44:G1552)</f>
        <v>#N/A</v>
      </c>
    </row>
    <row r="45" ht="15.75" customHeight="1">
      <c r="A45" s="12">
        <v>43165.0</v>
      </c>
      <c r="B45" s="2">
        <v>272.88</v>
      </c>
      <c r="C45" s="3">
        <v>43254.0</v>
      </c>
      <c r="D45" s="4" t="str">
        <f t="array" ref="D45">XLOOKUP(Hoja5!A45,Agregado!B1512:B1553,Agregado!G45:G1553)</f>
        <v>#N/A</v>
      </c>
    </row>
    <row r="46" ht="15.75" customHeight="1">
      <c r="A46" s="12">
        <v>43166.0</v>
      </c>
      <c r="B46" s="2">
        <v>272.78</v>
      </c>
      <c r="C46" s="3">
        <v>43284.0</v>
      </c>
      <c r="D46" s="4" t="str">
        <f t="array" ref="D46">XLOOKUP(Hoja5!A46,Agregado!B1512:B1554,Agregado!G46:G1554)</f>
        <v>#N/A</v>
      </c>
    </row>
    <row r="47" ht="15.75" customHeight="1">
      <c r="A47" s="12">
        <v>43167.0</v>
      </c>
      <c r="B47" s="2">
        <v>274.1</v>
      </c>
      <c r="C47" s="3">
        <v>43315.0</v>
      </c>
      <c r="D47" s="4" t="str">
        <f t="array" ref="D47">XLOOKUP(Hoja5!A47,Agregado!B1512:B1555,Agregado!G47:G1555)</f>
        <v>#N/A</v>
      </c>
    </row>
    <row r="48" ht="15.75" customHeight="1">
      <c r="A48" s="12">
        <v>43168.0</v>
      </c>
      <c r="B48" s="2">
        <v>278.87</v>
      </c>
      <c r="C48" s="3">
        <v>43346.0</v>
      </c>
      <c r="D48" s="4" t="str">
        <f t="array" ref="D48">XLOOKUP(Hoja5!A48,Agregado!B1512:B1556,Agregado!G48:G1556)</f>
        <v>#N/A</v>
      </c>
    </row>
    <row r="49" ht="15.75" customHeight="1">
      <c r="A49" s="12">
        <v>43171.0</v>
      </c>
      <c r="B49" s="2">
        <v>278.52</v>
      </c>
      <c r="C49" s="3">
        <v>43437.0</v>
      </c>
      <c r="D49" s="4" t="str">
        <f t="array" ref="D49">XLOOKUP(Hoja5!A49,Agregado!B1512:B1557,Agregado!G49:G1557)</f>
        <v>#N/A</v>
      </c>
    </row>
    <row r="50" ht="15.75" customHeight="1">
      <c r="A50" s="12">
        <v>43172.0</v>
      </c>
      <c r="B50" s="2">
        <v>276.72</v>
      </c>
      <c r="C50" s="3" t="s">
        <v>24</v>
      </c>
      <c r="D50" s="4" t="str">
        <f t="array" ref="D50">XLOOKUP(Hoja5!A50,Agregado!B1512:B1558,Agregado!G50:G1558)</f>
        <v>#N/A</v>
      </c>
    </row>
    <row r="51" ht="15.75" customHeight="1">
      <c r="A51" s="12">
        <v>43173.0</v>
      </c>
      <c r="B51" s="2">
        <v>275.3</v>
      </c>
      <c r="C51" s="3" t="s">
        <v>25</v>
      </c>
      <c r="D51" s="4" t="str">
        <f t="array" ref="D51">XLOOKUP(Hoja5!A51,Agregado!B1512:B1559,Agregado!G51:G1559)</f>
        <v>#N/A</v>
      </c>
    </row>
    <row r="52" ht="15.75" customHeight="1">
      <c r="A52" s="12">
        <v>43174.0</v>
      </c>
      <c r="B52" s="2">
        <v>275.0</v>
      </c>
      <c r="C52" s="3" t="s">
        <v>26</v>
      </c>
      <c r="D52" s="4" t="str">
        <f t="array" ref="D52">XLOOKUP(Hoja5!A52,Agregado!B1512:B1560,Agregado!G52:G1560)</f>
        <v>#N/A</v>
      </c>
    </row>
    <row r="53" ht="15.75" customHeight="1">
      <c r="A53" s="12">
        <v>43175.0</v>
      </c>
      <c r="B53" s="2">
        <v>274.2</v>
      </c>
      <c r="C53" s="3" t="s">
        <v>27</v>
      </c>
      <c r="D53" s="4" t="str">
        <f t="array" ref="D53">XLOOKUP(Hoja5!A53,Agregado!B1512:B1561,Agregado!G53:G1561)</f>
        <v>#N/A</v>
      </c>
    </row>
    <row r="54" ht="15.75" customHeight="1">
      <c r="A54" s="12">
        <v>43178.0</v>
      </c>
      <c r="B54" s="2">
        <v>270.49</v>
      </c>
      <c r="C54" s="3" t="s">
        <v>28</v>
      </c>
      <c r="D54" s="4" t="str">
        <f t="array" ref="D54">XLOOKUP(Hoja5!A54,Agregado!B1512:B1562,Agregado!G54:G1562)</f>
        <v>#N/A</v>
      </c>
    </row>
    <row r="55" ht="15.75" customHeight="1">
      <c r="A55" s="12">
        <v>43179.0</v>
      </c>
      <c r="B55" s="2">
        <v>270.95</v>
      </c>
      <c r="C55" s="3" t="s">
        <v>29</v>
      </c>
      <c r="D55" s="4" t="str">
        <f t="array" ref="D55">XLOOKUP(Hoja5!A55,Agregado!B1512:B1563,Agregado!G55:G1563)</f>
        <v>#N/A</v>
      </c>
    </row>
    <row r="56" ht="15.75" customHeight="1">
      <c r="A56" s="12">
        <v>43180.0</v>
      </c>
      <c r="B56" s="2">
        <v>270.43</v>
      </c>
      <c r="C56" s="3" t="s">
        <v>30</v>
      </c>
      <c r="D56" s="4" t="str">
        <f t="array" ref="D56">XLOOKUP(Hoja5!A56,Agregado!B1512:B1564,Agregado!G56:G1564)</f>
        <v>#N/A</v>
      </c>
    </row>
    <row r="57" ht="15.75" customHeight="1">
      <c r="A57" s="12">
        <v>43181.0</v>
      </c>
      <c r="B57" s="2">
        <v>263.67</v>
      </c>
      <c r="C57" s="3" t="s">
        <v>31</v>
      </c>
      <c r="D57" s="4" t="str">
        <f t="array" ref="D57">XLOOKUP(Hoja5!A57,Agregado!B1512:B1565,Agregado!G57:G1565)</f>
        <v>#N/A</v>
      </c>
    </row>
    <row r="58" ht="15.75" customHeight="1">
      <c r="A58" s="12">
        <v>43182.0</v>
      </c>
      <c r="B58" s="2">
        <v>258.05</v>
      </c>
      <c r="C58" s="3" t="s">
        <v>32</v>
      </c>
      <c r="D58" s="4" t="str">
        <f t="array" ref="D58">XLOOKUP(Hoja5!A58,Agregado!B1512:B1566,Agregado!G58:G1566)</f>
        <v>#N/A</v>
      </c>
    </row>
    <row r="59" ht="15.75" customHeight="1">
      <c r="A59" s="12">
        <v>43185.0</v>
      </c>
      <c r="B59" s="2">
        <v>265.11</v>
      </c>
      <c r="C59" s="3" t="s">
        <v>33</v>
      </c>
      <c r="D59" s="4" t="str">
        <f t="array" ref="D59">XLOOKUP(Hoja5!A59,Agregado!B1512:B1567,Agregado!G59:G1567)</f>
        <v>#N/A</v>
      </c>
    </row>
    <row r="60" ht="15.75" customHeight="1">
      <c r="A60" s="12">
        <v>43186.0</v>
      </c>
      <c r="B60" s="2">
        <v>260.6</v>
      </c>
      <c r="C60" s="3" t="s">
        <v>34</v>
      </c>
      <c r="D60" s="4" t="str">
        <f t="array" ref="D60">XLOOKUP(Hoja5!A60,Agregado!B1512:B1568,Agregado!G60:G1568)</f>
        <v>#N/A</v>
      </c>
    </row>
    <row r="61" ht="15.75" customHeight="1">
      <c r="A61" s="12">
        <v>43187.0</v>
      </c>
      <c r="B61" s="2">
        <v>259.83</v>
      </c>
      <c r="C61" s="3" t="s">
        <v>35</v>
      </c>
      <c r="D61" s="4" t="str">
        <f t="array" ref="D61">XLOOKUP(Hoja5!A61,Agregado!B1512:B1569,Agregado!G61:G1569)</f>
        <v>#N/A</v>
      </c>
    </row>
    <row r="62" ht="15.75" customHeight="1">
      <c r="A62" s="12">
        <v>43188.0</v>
      </c>
      <c r="B62" s="2">
        <v>263.15</v>
      </c>
      <c r="C62" s="3" t="s">
        <v>36</v>
      </c>
      <c r="D62" s="4" t="str">
        <f t="array" ref="D62">XLOOKUP(Hoja5!A62,Agregado!B1512:B1570,Agregado!G62:G1570)</f>
        <v>#N/A</v>
      </c>
    </row>
    <row r="63" ht="15.75" customHeight="1">
      <c r="A63" s="12">
        <v>43192.0</v>
      </c>
      <c r="B63" s="2">
        <v>257.47</v>
      </c>
      <c r="C63" s="3">
        <v>43135.0</v>
      </c>
      <c r="D63" s="4" t="str">
        <f t="array" ref="D63">XLOOKUP(Hoja5!A63,Agregado!B1512:B1571,Agregado!G63:G1571)</f>
        <v>#N/A</v>
      </c>
    </row>
    <row r="64" ht="15.75" customHeight="1">
      <c r="A64" s="12">
        <v>43193.0</v>
      </c>
      <c r="B64" s="2">
        <v>260.77</v>
      </c>
      <c r="C64" s="3">
        <v>43163.0</v>
      </c>
      <c r="D64" s="4" t="str">
        <f t="array" ref="D64">XLOOKUP(Hoja5!A64,Agregado!B1512:B1572,Agregado!G64:G1572)</f>
        <v>#N/A</v>
      </c>
    </row>
    <row r="65" ht="15.75" customHeight="1">
      <c r="A65" s="12">
        <v>43194.0</v>
      </c>
      <c r="B65" s="2">
        <v>263.56</v>
      </c>
      <c r="C65" s="3">
        <v>43194.0</v>
      </c>
      <c r="D65" s="4" t="str">
        <f t="array" ref="D65">XLOOKUP(Hoja5!A65,Agregado!B1512:B1573,Agregado!G65:G1573)</f>
        <v>#N/A</v>
      </c>
    </row>
    <row r="66" ht="15.75" customHeight="1">
      <c r="A66" s="12">
        <v>43195.0</v>
      </c>
      <c r="B66" s="2">
        <v>265.64</v>
      </c>
      <c r="C66" s="3">
        <v>43224.0</v>
      </c>
      <c r="D66" s="4" t="str">
        <f t="array" ref="D66">XLOOKUP(Hoja5!A66,Agregado!B1512:B1574,Agregado!G66:G1574)</f>
        <v>#N/A</v>
      </c>
    </row>
    <row r="67" ht="15.75" customHeight="1">
      <c r="A67" s="12">
        <v>43196.0</v>
      </c>
      <c r="B67" s="2">
        <v>259.72</v>
      </c>
      <c r="C67" s="3">
        <v>43255.0</v>
      </c>
      <c r="D67" s="4" t="str">
        <f t="array" ref="D67">XLOOKUP(Hoja5!A67,Agregado!B1512:B1575,Agregado!G67:G1575)</f>
        <v>#N/A</v>
      </c>
    </row>
    <row r="68" ht="15.75" customHeight="1">
      <c r="A68" s="12">
        <v>43199.0</v>
      </c>
      <c r="B68" s="2">
        <v>261.0</v>
      </c>
      <c r="C68" s="3">
        <v>43347.0</v>
      </c>
      <c r="D68" s="4" t="str">
        <f t="array" ref="D68">XLOOKUP(Hoja5!A68,Agregado!B1512:B1576,Agregado!G68:G1576)</f>
        <v>#N/A</v>
      </c>
    </row>
    <row r="69" ht="15.75" customHeight="1">
      <c r="A69" s="12">
        <v>43200.0</v>
      </c>
      <c r="B69" s="2">
        <v>265.15</v>
      </c>
      <c r="C69" s="3">
        <v>43377.0</v>
      </c>
      <c r="D69" s="4" t="str">
        <f t="array" ref="D69">XLOOKUP(Hoja5!A69,Agregado!B1512:B1577,Agregado!G69:G1577)</f>
        <v>#N/A</v>
      </c>
    </row>
    <row r="70" ht="15.75" customHeight="1">
      <c r="A70" s="12">
        <v>43201.0</v>
      </c>
      <c r="B70" s="2">
        <v>263.76</v>
      </c>
      <c r="C70" s="3">
        <v>43408.0</v>
      </c>
      <c r="D70" s="4" t="str">
        <f t="array" ref="D70">XLOOKUP(Hoja5!A70,Agregado!B1512:B1578,Agregado!G70:G1578)</f>
        <v>#N/A</v>
      </c>
    </row>
    <row r="71" ht="15.75" customHeight="1">
      <c r="A71" s="12">
        <v>43202.0</v>
      </c>
      <c r="B71" s="2">
        <v>265.93</v>
      </c>
      <c r="C71" s="3">
        <v>43438.0</v>
      </c>
      <c r="D71" s="4" t="str">
        <f t="array" ref="D71">XLOOKUP(Hoja5!A71,Agregado!B1512:B1579,Agregado!G71:G1579)</f>
        <v>#N/A</v>
      </c>
    </row>
    <row r="72" ht="15.75" customHeight="1">
      <c r="A72" s="12">
        <v>43203.0</v>
      </c>
      <c r="B72" s="2">
        <v>265.15</v>
      </c>
      <c r="C72" s="3" t="s">
        <v>37</v>
      </c>
      <c r="D72" s="4" t="str">
        <f t="array" ref="D72">XLOOKUP(Hoja5!A72,Agregado!B1512:B1580,Agregado!G72:G1580)</f>
        <v>#N/A</v>
      </c>
    </row>
    <row r="73" ht="15.75" customHeight="1">
      <c r="A73" s="12">
        <v>43206.0</v>
      </c>
      <c r="B73" s="2">
        <v>267.33</v>
      </c>
      <c r="C73" s="3" t="s">
        <v>38</v>
      </c>
      <c r="D73" s="4" t="str">
        <f t="array" ref="D73">XLOOKUP(Hoja5!A73,Agregado!B1512:B1581,Agregado!G73:G1581)</f>
        <v>#N/A</v>
      </c>
    </row>
    <row r="74" ht="15.75" customHeight="1">
      <c r="A74" s="12">
        <v>43207.0</v>
      </c>
      <c r="B74" s="2">
        <v>270.19</v>
      </c>
      <c r="C74" s="3" t="s">
        <v>39</v>
      </c>
      <c r="D74" s="4" t="str">
        <f t="array" ref="D74">XLOOKUP(Hoja5!A74,Agregado!B1512:B1582,Agregado!G74:G1582)</f>
        <v>#N/A</v>
      </c>
    </row>
    <row r="75" ht="15.75" customHeight="1">
      <c r="A75" s="12">
        <v>43208.0</v>
      </c>
      <c r="B75" s="2">
        <v>270.39</v>
      </c>
      <c r="C75" s="3" t="s">
        <v>40</v>
      </c>
      <c r="D75" s="4" t="str">
        <f t="array" ref="D75">XLOOKUP(Hoja5!A75,Agregado!B1512:B1583,Agregado!G75:G1583)</f>
        <v>#N/A</v>
      </c>
    </row>
    <row r="76" ht="15.75" customHeight="1">
      <c r="A76" s="12">
        <v>43209.0</v>
      </c>
      <c r="B76" s="2">
        <v>268.89</v>
      </c>
      <c r="C76" s="3" t="s">
        <v>41</v>
      </c>
      <c r="D76" s="4" t="str">
        <f t="array" ref="D76">XLOOKUP(Hoja5!A76,Agregado!B1512:B1584,Agregado!G76:G1584)</f>
        <v>#N/A</v>
      </c>
    </row>
    <row r="77" ht="15.75" customHeight="1">
      <c r="A77" s="12">
        <v>43210.0</v>
      </c>
      <c r="B77" s="2">
        <v>266.61</v>
      </c>
      <c r="C77" s="3" t="s">
        <v>42</v>
      </c>
      <c r="D77" s="4" t="str">
        <f t="array" ref="D77">XLOOKUP(Hoja5!A77,Agregado!B1512:B1585,Agregado!G77:G1585)</f>
        <v>#N/A</v>
      </c>
    </row>
    <row r="78" ht="15.75" customHeight="1">
      <c r="A78" s="12">
        <v>43213.0</v>
      </c>
      <c r="B78" s="2">
        <v>266.57</v>
      </c>
      <c r="C78" s="3" t="s">
        <v>43</v>
      </c>
      <c r="D78" s="4" t="str">
        <f t="array" ref="D78">XLOOKUP(Hoja5!A78,Agregado!B1512:B1586,Agregado!G78:G1586)</f>
        <v>#N/A</v>
      </c>
    </row>
    <row r="79" ht="15.75" customHeight="1">
      <c r="A79" s="12">
        <v>43214.0</v>
      </c>
      <c r="B79" s="2">
        <v>262.98</v>
      </c>
      <c r="C79" s="3" t="s">
        <v>44</v>
      </c>
      <c r="D79" s="4" t="str">
        <f t="array" ref="D79">XLOOKUP(Hoja5!A79,Agregado!B1512:B1587,Agregado!G79:G1587)</f>
        <v>#N/A</v>
      </c>
    </row>
    <row r="80" ht="15.75" customHeight="1">
      <c r="A80" s="12">
        <v>43215.0</v>
      </c>
      <c r="B80" s="2">
        <v>263.63</v>
      </c>
      <c r="C80" s="3" t="s">
        <v>45</v>
      </c>
      <c r="D80" s="4" t="str">
        <f t="array" ref="D80">XLOOKUP(Hoja5!A80,Agregado!B1512:B1588,Agregado!G80:G1588)</f>
        <v>#N/A</v>
      </c>
    </row>
    <row r="81" ht="15.75" customHeight="1">
      <c r="A81" s="12">
        <v>43216.0</v>
      </c>
      <c r="B81" s="2">
        <v>266.31</v>
      </c>
      <c r="C81" s="3" t="s">
        <v>46</v>
      </c>
      <c r="D81" s="4" t="str">
        <f t="array" ref="D81">XLOOKUP(Hoja5!A81,Agregado!B1512:B1589,Agregado!G81:G1589)</f>
        <v>#N/A</v>
      </c>
    </row>
    <row r="82" ht="15.75" customHeight="1">
      <c r="A82" s="12">
        <v>43217.0</v>
      </c>
      <c r="B82" s="2">
        <v>266.56</v>
      </c>
      <c r="C82" s="3" t="s">
        <v>47</v>
      </c>
      <c r="D82" s="4" t="str">
        <f t="array" ref="D82">XLOOKUP(Hoja5!A82,Agregado!B1512:B1590,Agregado!G82:G1590)</f>
        <v>#N/A</v>
      </c>
    </row>
    <row r="83" ht="15.75" customHeight="1">
      <c r="A83" s="12">
        <v>43220.0</v>
      </c>
      <c r="B83" s="2">
        <v>264.51</v>
      </c>
      <c r="C83" s="3" t="s">
        <v>48</v>
      </c>
      <c r="D83" s="4" t="str">
        <f t="array" ref="D83">XLOOKUP(Hoja5!A83,Agregado!B1512:B1591,Agregado!G83:G1591)</f>
        <v>#N/A</v>
      </c>
    </row>
    <row r="84" ht="15.75" customHeight="1">
      <c r="A84" s="12">
        <v>43221.0</v>
      </c>
      <c r="B84" s="2">
        <v>264.98</v>
      </c>
      <c r="C84" s="3">
        <v>43105.0</v>
      </c>
      <c r="D84" s="4" t="str">
        <f t="array" ref="D84">XLOOKUP(Hoja5!A84,Agregado!B1512:B1592,Agregado!G84:G1592)</f>
        <v>#N/A</v>
      </c>
    </row>
    <row r="85" ht="15.75" customHeight="1">
      <c r="A85" s="12">
        <v>43222.0</v>
      </c>
      <c r="B85" s="2">
        <v>263.2</v>
      </c>
      <c r="C85" s="3">
        <v>43136.0</v>
      </c>
      <c r="D85" s="4" t="str">
        <f t="array" ref="D85">XLOOKUP(Hoja5!A85,Agregado!B1512:B1593,Agregado!G85:G1593)</f>
        <v>#N/A</v>
      </c>
    </row>
    <row r="86" ht="15.75" customHeight="1">
      <c r="A86" s="12">
        <v>43223.0</v>
      </c>
      <c r="B86" s="2">
        <v>262.62</v>
      </c>
      <c r="C86" s="3">
        <v>43164.0</v>
      </c>
      <c r="D86" s="4" t="str">
        <f t="array" ref="D86">XLOOKUP(Hoja5!A86,Agregado!B1512:B1594,Agregado!G86:G1594)</f>
        <v>#N/A</v>
      </c>
    </row>
    <row r="87" ht="15.75" customHeight="1">
      <c r="A87" s="12">
        <v>43224.0</v>
      </c>
      <c r="B87" s="2">
        <v>266.02</v>
      </c>
      <c r="C87" s="3">
        <v>43195.0</v>
      </c>
      <c r="D87" s="4" t="str">
        <f t="array" ref="D87">XLOOKUP(Hoja5!A87,Agregado!B1512:B1595,Agregado!G87:G1595)</f>
        <v>#N/A</v>
      </c>
    </row>
    <row r="88" ht="15.75" customHeight="1">
      <c r="A88" s="12">
        <v>43227.0</v>
      </c>
      <c r="B88" s="2">
        <v>266.92</v>
      </c>
      <c r="C88" s="3">
        <v>43286.0</v>
      </c>
      <c r="D88" s="4" t="str">
        <f t="array" ref="D88">XLOOKUP(Hoja5!A88,Agregado!B1512:B1596,Agregado!G88:G1596)</f>
        <v>#N/A</v>
      </c>
    </row>
    <row r="89" ht="15.75" customHeight="1">
      <c r="A89" s="12">
        <v>43228.0</v>
      </c>
      <c r="B89" s="2">
        <v>266.92</v>
      </c>
      <c r="C89" s="3">
        <v>43317.0</v>
      </c>
      <c r="D89" s="4" t="str">
        <f t="array" ref="D89">XLOOKUP(Hoja5!A89,Agregado!B1512:B1597,Agregado!G89:G1597)</f>
        <v>#N/A</v>
      </c>
    </row>
    <row r="90" ht="15.75" customHeight="1">
      <c r="A90" s="12">
        <v>43229.0</v>
      </c>
      <c r="B90" s="2">
        <v>269.5</v>
      </c>
      <c r="C90" s="3">
        <v>43348.0</v>
      </c>
      <c r="D90" s="4" t="str">
        <f t="array" ref="D90">XLOOKUP(Hoja5!A90,Agregado!B1512:B1598,Agregado!G90:G1598)</f>
        <v>#N/A</v>
      </c>
    </row>
    <row r="91" ht="15.75" customHeight="1">
      <c r="A91" s="12">
        <v>43230.0</v>
      </c>
      <c r="B91" s="2">
        <v>272.02</v>
      </c>
      <c r="C91" s="3">
        <v>43378.0</v>
      </c>
      <c r="D91" s="4" t="str">
        <f t="array" ref="D91">XLOOKUP(Hoja5!A91,Agregado!B1512:B1599,Agregado!G91:G1599)</f>
        <v>#N/A</v>
      </c>
    </row>
    <row r="92" ht="15.75" customHeight="1">
      <c r="A92" s="12">
        <v>43231.0</v>
      </c>
      <c r="B92" s="2">
        <v>272.85</v>
      </c>
      <c r="C92" s="3">
        <v>43409.0</v>
      </c>
      <c r="D92" s="4" t="str">
        <f t="array" ref="D92">XLOOKUP(Hoja5!A92,Agregado!B1512:B1600,Agregado!G92:G1600)</f>
        <v>#N/A</v>
      </c>
    </row>
    <row r="93" ht="15.75" customHeight="1">
      <c r="A93" s="12">
        <v>43234.0</v>
      </c>
      <c r="B93" s="2">
        <v>272.98</v>
      </c>
      <c r="C93" s="3" t="s">
        <v>49</v>
      </c>
      <c r="D93" s="4" t="str">
        <f t="array" ref="D93">XLOOKUP(Hoja5!A93,Agregado!B1512:B1601,Agregado!G93:G1601)</f>
        <v>#N/A</v>
      </c>
    </row>
    <row r="94" ht="15.75" customHeight="1">
      <c r="A94" s="12">
        <v>43235.0</v>
      </c>
      <c r="B94" s="2">
        <v>271.1</v>
      </c>
      <c r="C94" s="3" t="s">
        <v>50</v>
      </c>
      <c r="D94" s="4" t="str">
        <f t="array" ref="D94">XLOOKUP(Hoja5!A94,Agregado!B1512:B1602,Agregado!G94:G1602)</f>
        <v>#N/A</v>
      </c>
    </row>
    <row r="95" ht="15.75" customHeight="1">
      <c r="A95" s="12">
        <v>43236.0</v>
      </c>
      <c r="B95" s="2">
        <v>272.24</v>
      </c>
      <c r="C95" s="3" t="s">
        <v>51</v>
      </c>
      <c r="D95" s="4" t="str">
        <f t="array" ref="D95">XLOOKUP(Hoja5!A95,Agregado!B1512:B1603,Agregado!G95:G1603)</f>
        <v>#N/A</v>
      </c>
    </row>
    <row r="96" ht="15.75" customHeight="1">
      <c r="A96" s="12">
        <v>43237.0</v>
      </c>
      <c r="B96" s="2">
        <v>272.01</v>
      </c>
      <c r="C96" s="3" t="s">
        <v>52</v>
      </c>
      <c r="D96" s="4" t="str">
        <f t="array" ref="D96">XLOOKUP(Hoja5!A96,Agregado!B1512:B1604,Agregado!G96:G1604)</f>
        <v>#N/A</v>
      </c>
    </row>
    <row r="97" ht="15.75" customHeight="1">
      <c r="A97" s="12">
        <v>43238.0</v>
      </c>
      <c r="B97" s="2">
        <v>271.33</v>
      </c>
      <c r="C97" s="3" t="s">
        <v>53</v>
      </c>
      <c r="D97" s="4" t="str">
        <f t="array" ref="D97">XLOOKUP(Hoja5!A97,Agregado!B1512:B1605,Agregado!G97:G1605)</f>
        <v>#N/A</v>
      </c>
    </row>
    <row r="98" ht="15.75" customHeight="1">
      <c r="A98" s="12">
        <v>43241.0</v>
      </c>
      <c r="B98" s="2">
        <v>273.37</v>
      </c>
      <c r="C98" s="3" t="s">
        <v>54</v>
      </c>
      <c r="D98" s="4" t="str">
        <f t="array" ref="D98">XLOOKUP(Hoja5!A98,Agregado!B1512:B1606,Agregado!G98:G1606)</f>
        <v>#N/A</v>
      </c>
    </row>
    <row r="99" ht="15.75" customHeight="1">
      <c r="A99" s="12">
        <v>43242.0</v>
      </c>
      <c r="B99" s="2">
        <v>272.61</v>
      </c>
      <c r="C99" s="3" t="s">
        <v>55</v>
      </c>
      <c r="D99" s="4" t="str">
        <f t="array" ref="D99">XLOOKUP(Hoja5!A99,Agregado!B1512:B1607,Agregado!G99:G1607)</f>
        <v>#N/A</v>
      </c>
    </row>
    <row r="100" ht="15.75" customHeight="1">
      <c r="A100" s="12">
        <v>43243.0</v>
      </c>
      <c r="B100" s="2">
        <v>273.36</v>
      </c>
      <c r="C100" s="3" t="s">
        <v>56</v>
      </c>
      <c r="D100" s="4" t="str">
        <f t="array" ref="D100">XLOOKUP(Hoja5!A100,Agregado!B1512:B1608,Agregado!G100:G1608)</f>
        <v>#N/A</v>
      </c>
    </row>
    <row r="101" ht="15.75" customHeight="1">
      <c r="A101" s="12">
        <v>43244.0</v>
      </c>
      <c r="B101" s="2">
        <v>272.8</v>
      </c>
      <c r="C101" s="3" t="s">
        <v>57</v>
      </c>
      <c r="D101" s="4" t="str">
        <f t="array" ref="D101">XLOOKUP(Hoja5!A101,Agregado!B1512:B1609,Agregado!G101:G1609)</f>
        <v>#N/A</v>
      </c>
    </row>
    <row r="102" ht="15.75" customHeight="1">
      <c r="A102" s="12">
        <v>43245.0</v>
      </c>
      <c r="B102" s="2">
        <v>272.15</v>
      </c>
      <c r="C102" s="3" t="s">
        <v>58</v>
      </c>
      <c r="D102" s="4" t="str">
        <f t="array" ref="D102">XLOOKUP(Hoja5!A102,Agregado!B1512:B1610,Agregado!G102:G1610)</f>
        <v>#N/A</v>
      </c>
    </row>
    <row r="103" ht="15.75" customHeight="1">
      <c r="A103" s="12">
        <v>43249.0</v>
      </c>
      <c r="B103" s="2">
        <v>269.02</v>
      </c>
      <c r="C103" s="3" t="s">
        <v>59</v>
      </c>
      <c r="D103" s="4" t="str">
        <f t="array" ref="D103">XLOOKUP(Hoja5!A103,Agregado!B1512:B1611,Agregado!G103:G1611)</f>
        <v>#N/A</v>
      </c>
    </row>
    <row r="104" ht="15.75" customHeight="1">
      <c r="A104" s="12">
        <v>43250.0</v>
      </c>
      <c r="B104" s="2">
        <v>272.61</v>
      </c>
      <c r="C104" s="3" t="s">
        <v>60</v>
      </c>
      <c r="D104" s="4" t="str">
        <f t="array" ref="D104">XLOOKUP(Hoja5!A104,Agregado!B1512:B1612,Agregado!G104:G1612)</f>
        <v>#N/A</v>
      </c>
    </row>
    <row r="105" ht="15.75" customHeight="1">
      <c r="A105" s="12">
        <v>43251.0</v>
      </c>
      <c r="B105" s="2">
        <v>270.94</v>
      </c>
      <c r="C105" s="3" t="s">
        <v>61</v>
      </c>
      <c r="D105" s="4" t="str">
        <f t="array" ref="D105">XLOOKUP(Hoja5!A105,Agregado!B1512:B1613,Agregado!G105:G1613)</f>
        <v>#N/A</v>
      </c>
    </row>
    <row r="106" ht="15.75" customHeight="1">
      <c r="A106" s="12">
        <v>43252.0</v>
      </c>
      <c r="B106" s="2">
        <v>273.6</v>
      </c>
      <c r="C106" s="3">
        <v>43106.0</v>
      </c>
      <c r="D106" s="4" t="str">
        <f t="array" ref="D106">XLOOKUP(Hoja5!A106,Agregado!B1512:B1614,Agregado!G106:G1614)</f>
        <v>#N/A</v>
      </c>
    </row>
    <row r="107" ht="15.75" customHeight="1">
      <c r="A107" s="12">
        <v>43255.0</v>
      </c>
      <c r="B107" s="2">
        <v>274.9</v>
      </c>
      <c r="C107" s="3">
        <v>43196.0</v>
      </c>
      <c r="D107" s="4" t="str">
        <f t="array" ref="D107">XLOOKUP(Hoja5!A107,Agregado!B1512:B1615,Agregado!G107:G1615)</f>
        <v>#N/A</v>
      </c>
    </row>
    <row r="108" ht="15.75" customHeight="1">
      <c r="A108" s="12">
        <v>43256.0</v>
      </c>
      <c r="B108" s="2">
        <v>275.1</v>
      </c>
      <c r="C108" s="3">
        <v>43226.0</v>
      </c>
      <c r="D108" s="4" t="str">
        <f t="array" ref="D108">XLOOKUP(Hoja5!A108,Agregado!B1512:B1616,Agregado!G108:G1616)</f>
        <v>#N/A</v>
      </c>
    </row>
    <row r="109" ht="15.75" customHeight="1">
      <c r="A109" s="12">
        <v>43257.0</v>
      </c>
      <c r="B109" s="2">
        <v>277.4</v>
      </c>
      <c r="C109" s="3">
        <v>43257.0</v>
      </c>
      <c r="D109" s="4" t="str">
        <f t="array" ref="D109">XLOOKUP(Hoja5!A109,Agregado!B1512:B1617,Agregado!G109:G1617)</f>
        <v>#N/A</v>
      </c>
    </row>
    <row r="110" ht="15.75" customHeight="1">
      <c r="A110" s="12">
        <v>43258.0</v>
      </c>
      <c r="B110" s="2">
        <v>277.37</v>
      </c>
      <c r="C110" s="3">
        <v>43287.0</v>
      </c>
      <c r="D110" s="4" t="str">
        <f t="array" ref="D110">XLOOKUP(Hoja5!A110,Agregado!B1512:B1618,Agregado!G110:G1618)</f>
        <v>#N/A</v>
      </c>
    </row>
    <row r="111" ht="15.75" customHeight="1">
      <c r="A111" s="12">
        <v>43259.0</v>
      </c>
      <c r="B111" s="2">
        <v>278.19</v>
      </c>
      <c r="C111" s="3">
        <v>43318.0</v>
      </c>
      <c r="D111" s="4" t="str">
        <f t="array" ref="D111">XLOOKUP(Hoja5!A111,Agregado!B1512:B1619,Agregado!G111:G1619)</f>
        <v>#N/A</v>
      </c>
    </row>
    <row r="112" ht="15.75" customHeight="1">
      <c r="A112" s="12">
        <v>43262.0</v>
      </c>
      <c r="B112" s="2">
        <v>278.56</v>
      </c>
      <c r="C112" s="3">
        <v>43410.0</v>
      </c>
      <c r="D112" s="4" t="str">
        <f t="array" ref="D112">XLOOKUP(Hoja5!A112,Agregado!B1512:B1620,Agregado!G112:G1620)</f>
        <v>#N/A</v>
      </c>
    </row>
    <row r="113" ht="15.75" customHeight="1">
      <c r="A113" s="12">
        <v>43263.0</v>
      </c>
      <c r="B113" s="2">
        <v>278.92</v>
      </c>
      <c r="C113" s="3">
        <v>43440.0</v>
      </c>
      <c r="D113" s="4" t="str">
        <f t="array" ref="D113">XLOOKUP(Hoja5!A113,Agregado!B1512:B1621,Agregado!G113:G1621)</f>
        <v>#N/A</v>
      </c>
    </row>
    <row r="114" ht="15.75" customHeight="1">
      <c r="A114" s="12">
        <v>43264.0</v>
      </c>
      <c r="B114" s="2">
        <v>278.03</v>
      </c>
      <c r="C114" s="3" t="s">
        <v>62</v>
      </c>
      <c r="D114" s="4" t="str">
        <f t="array" ref="D114">XLOOKUP(Hoja5!A114,Agregado!B1512:B1622,Agregado!G114:G1622)</f>
        <v>#N/A</v>
      </c>
    </row>
    <row r="115" ht="15.75" customHeight="1">
      <c r="A115" s="12">
        <v>43265.0</v>
      </c>
      <c r="B115" s="2">
        <v>278.73</v>
      </c>
      <c r="C115" s="3" t="s">
        <v>63</v>
      </c>
      <c r="D115" s="4" t="str">
        <f t="array" ref="D115">XLOOKUP(Hoja5!A115,Agregado!B1512:B1623,Agregado!G115:G1623)</f>
        <v>#N/A</v>
      </c>
    </row>
    <row r="116" ht="15.75" customHeight="1">
      <c r="A116" s="12">
        <v>43266.0</v>
      </c>
      <c r="B116" s="2">
        <v>277.13</v>
      </c>
      <c r="C116" s="3" t="s">
        <v>64</v>
      </c>
      <c r="D116" s="4" t="str">
        <f t="array" ref="D116">XLOOKUP(Hoja5!A116,Agregado!B1512:B1624,Agregado!G116:G1624)</f>
        <v>#N/A</v>
      </c>
    </row>
    <row r="117" ht="15.75" customHeight="1">
      <c r="A117" s="12">
        <v>43269.0</v>
      </c>
      <c r="B117" s="2">
        <v>276.56</v>
      </c>
      <c r="C117" s="3" t="s">
        <v>65</v>
      </c>
      <c r="D117" s="4" t="str">
        <f t="array" ref="D117">XLOOKUP(Hoja5!A117,Agregado!B1512:B1625,Agregado!G117:G1625)</f>
        <v>#N/A</v>
      </c>
    </row>
    <row r="118" ht="15.75" customHeight="1">
      <c r="A118" s="12">
        <v>43270.0</v>
      </c>
      <c r="B118" s="2">
        <v>275.5</v>
      </c>
      <c r="C118" s="3" t="s">
        <v>66</v>
      </c>
      <c r="D118" s="4" t="str">
        <f t="array" ref="D118">XLOOKUP(Hoja5!A118,Agregado!B1512:B1626,Agregado!G118:G1626)</f>
        <v>#N/A</v>
      </c>
    </row>
    <row r="119" ht="15.75" customHeight="1">
      <c r="A119" s="12">
        <v>43271.0</v>
      </c>
      <c r="B119" s="2">
        <v>275.97</v>
      </c>
      <c r="C119" s="3" t="s">
        <v>67</v>
      </c>
      <c r="D119" s="4" t="str">
        <f t="array" ref="D119">XLOOKUP(Hoja5!A119,Agregado!B1512:B1627,Agregado!G119:G1627)</f>
        <v>#N/A</v>
      </c>
    </row>
    <row r="120" ht="15.75" customHeight="1">
      <c r="A120" s="12">
        <v>43272.0</v>
      </c>
      <c r="B120" s="2">
        <v>274.24</v>
      </c>
      <c r="C120" s="3" t="s">
        <v>68</v>
      </c>
      <c r="D120" s="4" t="str">
        <f t="array" ref="D120">XLOOKUP(Hoja5!A120,Agregado!B1512:B1628,Agregado!G120:G1628)</f>
        <v>#N/A</v>
      </c>
    </row>
    <row r="121" ht="15.75" customHeight="1">
      <c r="A121" s="12">
        <v>43273.0</v>
      </c>
      <c r="B121" s="2">
        <v>274.74</v>
      </c>
      <c r="C121" s="3" t="s">
        <v>69</v>
      </c>
      <c r="D121" s="4" t="str">
        <f t="array" ref="D121">XLOOKUP(Hoja5!A121,Agregado!B1512:B1629,Agregado!G121:G1629)</f>
        <v>#N/A</v>
      </c>
    </row>
    <row r="122" ht="15.75" customHeight="1">
      <c r="A122" s="12">
        <v>43276.0</v>
      </c>
      <c r="B122" s="2">
        <v>271.0</v>
      </c>
      <c r="C122" s="3" t="s">
        <v>70</v>
      </c>
      <c r="D122" s="4" t="str">
        <f t="array" ref="D122">XLOOKUP(Hoja5!A122,Agregado!B1512:B1630,Agregado!G122:G1630)</f>
        <v>#N/A</v>
      </c>
    </row>
    <row r="123" ht="15.75" customHeight="1">
      <c r="A123" s="12">
        <v>43277.0</v>
      </c>
      <c r="B123" s="2">
        <v>271.6</v>
      </c>
      <c r="C123" s="3" t="s">
        <v>71</v>
      </c>
      <c r="D123" s="4" t="str">
        <f t="array" ref="D123">XLOOKUP(Hoja5!A123,Agregado!B1512:B1631,Agregado!G123:G1631)</f>
        <v>#N/A</v>
      </c>
    </row>
    <row r="124" ht="15.75" customHeight="1">
      <c r="A124" s="12">
        <v>43278.0</v>
      </c>
      <c r="B124" s="2">
        <v>269.35</v>
      </c>
      <c r="C124" s="3" t="s">
        <v>72</v>
      </c>
      <c r="D124" s="4" t="str">
        <f t="array" ref="D124">XLOOKUP(Hoja5!A124,Agregado!B1512:B1632,Agregado!G124:G1632)</f>
        <v>#N/A</v>
      </c>
    </row>
    <row r="125" ht="15.75" customHeight="1">
      <c r="A125" s="12">
        <v>43279.0</v>
      </c>
      <c r="B125" s="2">
        <v>270.89</v>
      </c>
      <c r="C125" s="3" t="s">
        <v>73</v>
      </c>
      <c r="D125" s="4" t="str">
        <f t="array" ref="D125">XLOOKUP(Hoja5!A125,Agregado!B1512:B1633,Agregado!G125:G1633)</f>
        <v>#N/A</v>
      </c>
    </row>
    <row r="126" ht="15.75" customHeight="1">
      <c r="A126" s="12">
        <v>43280.0</v>
      </c>
      <c r="B126" s="2">
        <v>271.28</v>
      </c>
      <c r="C126" s="3" t="s">
        <v>74</v>
      </c>
      <c r="D126" s="4" t="str">
        <f t="array" ref="D126">XLOOKUP(Hoja5!A126,Agregado!B1512:B1634,Agregado!G126:G1634)</f>
        <v>#N/A</v>
      </c>
    </row>
    <row r="127" ht="15.75" customHeight="1">
      <c r="A127" s="12">
        <v>43283.0</v>
      </c>
      <c r="B127" s="2">
        <v>271.86</v>
      </c>
      <c r="C127" s="3">
        <v>43138.0</v>
      </c>
      <c r="D127" s="4" t="str">
        <f t="array" ref="D127">XLOOKUP(Hoja5!A127,Agregado!B1512:B1635,Agregado!G127:G1635)</f>
        <v>#N/A</v>
      </c>
    </row>
    <row r="128" ht="15.75" customHeight="1">
      <c r="A128" s="12">
        <v>43284.0</v>
      </c>
      <c r="B128" s="2">
        <v>270.9</v>
      </c>
      <c r="C128" s="3">
        <v>43166.0</v>
      </c>
      <c r="D128" s="4" t="str">
        <f t="array" ref="D128">XLOOKUP(Hoja5!A128,Agregado!B1512:B1636,Agregado!G128:G1636)</f>
        <v>#N/A</v>
      </c>
    </row>
    <row r="129" ht="15.75" customHeight="1">
      <c r="A129" s="12">
        <v>43286.0</v>
      </c>
      <c r="B129" s="2">
        <v>273.11</v>
      </c>
      <c r="C129" s="3">
        <v>43227.0</v>
      </c>
      <c r="D129" s="4" t="str">
        <f t="array" ref="D129">XLOOKUP(Hoja5!A129,Agregado!B1512:B1637,Agregado!G129:G1637)</f>
        <v>#N/A</v>
      </c>
    </row>
    <row r="130" ht="15.75" customHeight="1">
      <c r="A130" s="12">
        <v>43287.0</v>
      </c>
      <c r="B130" s="2">
        <v>275.42</v>
      </c>
      <c r="C130" s="3">
        <v>43258.0</v>
      </c>
      <c r="D130" s="4" t="str">
        <f t="array" ref="D130">XLOOKUP(Hoja5!A130,Agregado!B1512:B1638,Agregado!G130:G1638)</f>
        <v>#N/A</v>
      </c>
    </row>
    <row r="131" ht="15.75" customHeight="1">
      <c r="A131" s="12">
        <v>43290.0</v>
      </c>
      <c r="B131" s="2">
        <v>277.9</v>
      </c>
      <c r="C131" s="3">
        <v>43350.0</v>
      </c>
      <c r="D131" s="4" t="str">
        <f t="array" ref="D131">XLOOKUP(Hoja5!A131,Agregado!B1512:B1639,Agregado!G131:G1639)</f>
        <v>#N/A</v>
      </c>
    </row>
    <row r="132" ht="15.75" customHeight="1">
      <c r="A132" s="12">
        <v>43291.0</v>
      </c>
      <c r="B132" s="2">
        <v>278.9</v>
      </c>
      <c r="C132" s="3">
        <v>43380.0</v>
      </c>
      <c r="D132" s="4" t="str">
        <f t="array" ref="D132">XLOOKUP(Hoja5!A132,Agregado!B1512:B1640,Agregado!G132:G1640)</f>
        <v>#N/A</v>
      </c>
    </row>
    <row r="133" ht="15.75" customHeight="1">
      <c r="A133" s="12">
        <v>43292.0</v>
      </c>
      <c r="B133" s="2">
        <v>276.86</v>
      </c>
      <c r="C133" s="3">
        <v>43411.0</v>
      </c>
      <c r="D133" s="4" t="str">
        <f t="array" ref="D133">XLOOKUP(Hoja5!A133,Agregado!B1512:B1641,Agregado!G133:G1641)</f>
        <v>#N/A</v>
      </c>
    </row>
    <row r="134" ht="15.75" customHeight="1">
      <c r="A134" s="12">
        <v>43293.0</v>
      </c>
      <c r="B134" s="2">
        <v>279.37</v>
      </c>
      <c r="C134" s="3">
        <v>43441.0</v>
      </c>
      <c r="D134" s="4" t="str">
        <f t="array" ref="D134">XLOOKUP(Hoja5!A134,Agregado!B1512:B1642,Agregado!G134:G1642)</f>
        <v>#N/A</v>
      </c>
    </row>
    <row r="135" ht="15.75" customHeight="1">
      <c r="A135" s="12">
        <v>43294.0</v>
      </c>
      <c r="B135" s="2">
        <v>279.59</v>
      </c>
      <c r="C135" s="3" t="s">
        <v>75</v>
      </c>
      <c r="D135" s="4" t="str">
        <f t="array" ref="D135">XLOOKUP(Hoja5!A135,Agregado!B1512:B1643,Agregado!G135:G1643)</f>
        <v>#N/A</v>
      </c>
    </row>
    <row r="136" ht="15.75" customHeight="1">
      <c r="A136" s="12">
        <v>43297.0</v>
      </c>
      <c r="B136" s="2">
        <v>279.34</v>
      </c>
      <c r="C136" s="3" t="s">
        <v>76</v>
      </c>
      <c r="D136" s="4" t="str">
        <f t="array" ref="D136">XLOOKUP(Hoja5!A136,Agregado!B1512:B1644,Agregado!G136:G1644)</f>
        <v>#N/A</v>
      </c>
    </row>
    <row r="137" ht="15.75" customHeight="1">
      <c r="A137" s="12">
        <v>43298.0</v>
      </c>
      <c r="B137" s="2">
        <v>280.47</v>
      </c>
      <c r="C137" s="3" t="s">
        <v>77</v>
      </c>
      <c r="D137" s="4" t="str">
        <f t="array" ref="D137">XLOOKUP(Hoja5!A137,Agregado!B1512:B1645,Agregado!G137:G1645)</f>
        <v>#N/A</v>
      </c>
    </row>
    <row r="138" ht="15.75" customHeight="1">
      <c r="A138" s="12">
        <v>43299.0</v>
      </c>
      <c r="B138" s="2">
        <v>281.06</v>
      </c>
      <c r="C138" s="3" t="s">
        <v>78</v>
      </c>
      <c r="D138" s="4" t="str">
        <f t="array" ref="D138">XLOOKUP(Hoja5!A138,Agregado!B1512:B1646,Agregado!G138:G1646)</f>
        <v>#N/A</v>
      </c>
    </row>
    <row r="139" ht="15.75" customHeight="1">
      <c r="A139" s="12">
        <v>43300.0</v>
      </c>
      <c r="B139" s="2">
        <v>280.0</v>
      </c>
      <c r="C139" s="3" t="s">
        <v>79</v>
      </c>
      <c r="D139" s="4" t="str">
        <f t="array" ref="D139">XLOOKUP(Hoja5!A139,Agregado!B1512:B1647,Agregado!G139:G1647)</f>
        <v>#N/A</v>
      </c>
    </row>
    <row r="140" ht="15.75" customHeight="1">
      <c r="A140" s="12">
        <v>43301.0</v>
      </c>
      <c r="B140" s="2">
        <v>279.68</v>
      </c>
      <c r="C140" s="3" t="s">
        <v>80</v>
      </c>
      <c r="D140" s="4" t="str">
        <f t="array" ref="D140">XLOOKUP(Hoja5!A140,Agregado!B1512:B1648,Agregado!G140:G1648)</f>
        <v>#N/A</v>
      </c>
    </row>
    <row r="141" ht="15.75" customHeight="1">
      <c r="A141" s="12">
        <v>43304.0</v>
      </c>
      <c r="B141" s="2">
        <v>280.2</v>
      </c>
      <c r="C141" s="3" t="s">
        <v>81</v>
      </c>
      <c r="D141" s="4" t="str">
        <f t="array" ref="D141">XLOOKUP(Hoja5!A141,Agregado!B1512:B1649,Agregado!G141:G1649)</f>
        <v>#N/A</v>
      </c>
    </row>
    <row r="142" ht="15.75" customHeight="1">
      <c r="A142" s="12">
        <v>43305.0</v>
      </c>
      <c r="B142" s="2">
        <v>281.61</v>
      </c>
      <c r="C142" s="3" t="s">
        <v>82</v>
      </c>
      <c r="D142" s="4" t="str">
        <f t="array" ref="D142">XLOOKUP(Hoja5!A142,Agregado!B1512:B1650,Agregado!G142:G1650)</f>
        <v>#N/A</v>
      </c>
    </row>
    <row r="143" ht="15.75" customHeight="1">
      <c r="A143" s="12">
        <v>43306.0</v>
      </c>
      <c r="B143" s="2">
        <v>284.01</v>
      </c>
      <c r="C143" s="3" t="s">
        <v>83</v>
      </c>
      <c r="D143" s="4" t="str">
        <f t="array" ref="D143">XLOOKUP(Hoja5!A143,Agregado!B1512:B1651,Agregado!G143:G1651)</f>
        <v>#N/A</v>
      </c>
    </row>
    <row r="144" ht="15.75" customHeight="1">
      <c r="A144" s="12">
        <v>43307.0</v>
      </c>
      <c r="B144" s="2">
        <v>283.34</v>
      </c>
      <c r="C144" s="3" t="s">
        <v>84</v>
      </c>
      <c r="D144" s="4" t="str">
        <f t="array" ref="D144">XLOOKUP(Hoja5!A144,Agregado!B1512:B1652,Agregado!G144:G1652)</f>
        <v>#N/A</v>
      </c>
    </row>
    <row r="145" ht="15.75" customHeight="1">
      <c r="A145" s="12">
        <v>43308.0</v>
      </c>
      <c r="B145" s="2">
        <v>281.42</v>
      </c>
      <c r="C145" s="3" t="s">
        <v>85</v>
      </c>
      <c r="D145" s="4" t="str">
        <f t="array" ref="D145">XLOOKUP(Hoja5!A145,Agregado!B1512:B1653,Agregado!G145:G1653)</f>
        <v>#N/A</v>
      </c>
    </row>
    <row r="146" ht="15.75" customHeight="1">
      <c r="A146" s="12">
        <v>43311.0</v>
      </c>
      <c r="B146" s="2">
        <v>279.95</v>
      </c>
      <c r="C146" s="3" t="s">
        <v>86</v>
      </c>
      <c r="D146" s="4" t="str">
        <f t="array" ref="D146">XLOOKUP(Hoja5!A146,Agregado!B1512:B1654,Agregado!G146:G1654)</f>
        <v>#N/A</v>
      </c>
    </row>
    <row r="147" ht="15.75" customHeight="1">
      <c r="A147" s="12">
        <v>43312.0</v>
      </c>
      <c r="B147" s="2">
        <v>281.33</v>
      </c>
      <c r="C147" s="3" t="s">
        <v>87</v>
      </c>
      <c r="D147" s="4" t="str">
        <f t="array" ref="D147">XLOOKUP(Hoja5!A147,Agregado!B1512:B1655,Agregado!G147:G1655)</f>
        <v>#N/A</v>
      </c>
    </row>
    <row r="148" ht="15.75" customHeight="1">
      <c r="A148" s="12">
        <v>43313.0</v>
      </c>
      <c r="B148" s="2">
        <v>280.86</v>
      </c>
      <c r="C148" s="3">
        <v>43108.0</v>
      </c>
      <c r="D148" s="4" t="str">
        <f t="array" ref="D148">XLOOKUP(Hoja5!A148,Agregado!B1512:B1656,Agregado!G148:G1656)</f>
        <v>#N/A</v>
      </c>
    </row>
    <row r="149" ht="15.75" customHeight="1">
      <c r="A149" s="12">
        <v>43314.0</v>
      </c>
      <c r="B149" s="2">
        <v>282.39</v>
      </c>
      <c r="C149" s="3">
        <v>43139.0</v>
      </c>
      <c r="D149" s="4" t="str">
        <f t="array" ref="D149">XLOOKUP(Hoja5!A149,Agregado!B1512:B1657,Agregado!G149:G1657)</f>
        <v>#N/A</v>
      </c>
    </row>
    <row r="150" ht="15.75" customHeight="1">
      <c r="A150" s="12">
        <v>43315.0</v>
      </c>
      <c r="B150" s="2">
        <v>283.6</v>
      </c>
      <c r="C150" s="3">
        <v>43167.0</v>
      </c>
      <c r="D150" s="4" t="str">
        <f t="array" ref="D150">XLOOKUP(Hoja5!A150,Agregado!B1512:B1658,Agregado!G150:G1658)</f>
        <v>#N/A</v>
      </c>
    </row>
    <row r="151" ht="15.75" customHeight="1">
      <c r="A151" s="12">
        <v>43318.0</v>
      </c>
      <c r="B151" s="2">
        <v>284.64</v>
      </c>
      <c r="C151" s="3">
        <v>43259.0</v>
      </c>
      <c r="D151" s="4" t="str">
        <f t="array" ref="D151">XLOOKUP(Hoja5!A151,Agregado!B1512:B1659,Agregado!G151:G1659)</f>
        <v>#N/A</v>
      </c>
    </row>
    <row r="152" ht="15.75" customHeight="1">
      <c r="A152" s="12">
        <v>43319.0</v>
      </c>
      <c r="B152" s="2">
        <v>285.58</v>
      </c>
      <c r="C152" s="3">
        <v>43289.0</v>
      </c>
      <c r="D152" s="4" t="str">
        <f t="array" ref="D152">XLOOKUP(Hoja5!A152,Agregado!B1512:B1660,Agregado!G152:G1660)</f>
        <v>#N/A</v>
      </c>
    </row>
    <row r="153" ht="15.75" customHeight="1">
      <c r="A153" s="12">
        <v>43320.0</v>
      </c>
      <c r="B153" s="2">
        <v>285.46</v>
      </c>
      <c r="C153" s="3">
        <v>43320.0</v>
      </c>
      <c r="D153" s="4" t="str">
        <f t="array" ref="D153">XLOOKUP(Hoja5!A153,Agregado!B1512:B1661,Agregado!G153:G1661)</f>
        <v>#N/A</v>
      </c>
    </row>
    <row r="154" ht="15.75" customHeight="1">
      <c r="A154" s="12">
        <v>43321.0</v>
      </c>
      <c r="B154" s="2">
        <v>285.07</v>
      </c>
      <c r="C154" s="3">
        <v>43351.0</v>
      </c>
      <c r="D154" s="4" t="str">
        <f t="array" ref="D154">XLOOKUP(Hoja5!A154,Agregado!B1512:B1662,Agregado!G154:G1662)</f>
        <v>#N/A</v>
      </c>
    </row>
    <row r="155" ht="15.75" customHeight="1">
      <c r="A155" s="12">
        <v>43322.0</v>
      </c>
      <c r="B155" s="2">
        <v>283.16</v>
      </c>
      <c r="C155" s="3">
        <v>43381.0</v>
      </c>
      <c r="D155" s="4" t="str">
        <f t="array" ref="D155">XLOOKUP(Hoja5!A155,Agregado!B1512:B1663,Agregado!G155:G1663)</f>
        <v>#N/A</v>
      </c>
    </row>
    <row r="156" ht="15.75" customHeight="1">
      <c r="A156" s="12">
        <v>43325.0</v>
      </c>
      <c r="B156" s="2">
        <v>282.1</v>
      </c>
      <c r="C156" s="3" t="s">
        <v>88</v>
      </c>
      <c r="D156" s="4" t="str">
        <f t="array" ref="D156">XLOOKUP(Hoja5!A156,Agregado!B1512:B1664,Agregado!G156:G1664)</f>
        <v>#N/A</v>
      </c>
    </row>
    <row r="157" ht="15.75" customHeight="1">
      <c r="A157" s="12">
        <v>43326.0</v>
      </c>
      <c r="B157" s="2">
        <v>283.9</v>
      </c>
      <c r="C157" s="3" t="s">
        <v>89</v>
      </c>
      <c r="D157" s="4" t="str">
        <f t="array" ref="D157">XLOOKUP(Hoja5!A157,Agregado!B1512:B1665,Agregado!G157:G1665)</f>
        <v>#N/A</v>
      </c>
    </row>
    <row r="158" ht="15.75" customHeight="1">
      <c r="A158" s="12">
        <v>43327.0</v>
      </c>
      <c r="B158" s="2">
        <v>281.78</v>
      </c>
      <c r="C158" s="3" t="s">
        <v>90</v>
      </c>
      <c r="D158" s="4" t="str">
        <f t="array" ref="D158">XLOOKUP(Hoja5!A158,Agregado!B1512:B1666,Agregado!G158:G1666)</f>
        <v>#N/A</v>
      </c>
    </row>
    <row r="159" ht="15.75" customHeight="1">
      <c r="A159" s="12">
        <v>43328.0</v>
      </c>
      <c r="B159" s="2">
        <v>284.06</v>
      </c>
      <c r="C159" s="3" t="s">
        <v>91</v>
      </c>
      <c r="D159" s="4" t="str">
        <f t="array" ref="D159">XLOOKUP(Hoja5!A159,Agregado!B1512:B1667,Agregado!G159:G1667)</f>
        <v>#N/A</v>
      </c>
    </row>
    <row r="160" ht="15.75" customHeight="1">
      <c r="A160" s="12">
        <v>43329.0</v>
      </c>
      <c r="B160" s="2">
        <v>285.06</v>
      </c>
      <c r="C160" s="3" t="s">
        <v>92</v>
      </c>
      <c r="D160" s="4" t="str">
        <f t="array" ref="D160">XLOOKUP(Hoja5!A160,Agregado!B1512:B1668,Agregado!G160:G1668)</f>
        <v>#N/A</v>
      </c>
    </row>
    <row r="161" ht="15.75" customHeight="1">
      <c r="A161" s="12">
        <v>43332.0</v>
      </c>
      <c r="B161" s="2">
        <v>285.67</v>
      </c>
      <c r="C161" s="3" t="s">
        <v>93</v>
      </c>
      <c r="D161" s="4" t="str">
        <f t="array" ref="D161">XLOOKUP(Hoja5!A161,Agregado!B1512:B1669,Agregado!G161:G1669)</f>
        <v>#N/A</v>
      </c>
    </row>
    <row r="162" ht="15.75" customHeight="1">
      <c r="A162" s="12">
        <v>43333.0</v>
      </c>
      <c r="B162" s="2">
        <v>286.34</v>
      </c>
      <c r="C162" s="3" t="s">
        <v>94</v>
      </c>
      <c r="D162" s="4" t="str">
        <f t="array" ref="D162">XLOOKUP(Hoja5!A162,Agregado!B1512:B1670,Agregado!G162:G1670)</f>
        <v>#N/A</v>
      </c>
    </row>
    <row r="163" ht="15.75" customHeight="1">
      <c r="A163" s="12">
        <v>43334.0</v>
      </c>
      <c r="B163" s="2">
        <v>286.17</v>
      </c>
      <c r="C163" s="3" t="s">
        <v>95</v>
      </c>
      <c r="D163" s="4" t="str">
        <f t="array" ref="D163">XLOOKUP(Hoja5!A163,Agregado!B1512:B1671,Agregado!G163:G1671)</f>
        <v>#N/A</v>
      </c>
    </row>
    <row r="164" ht="15.75" customHeight="1">
      <c r="A164" s="12">
        <v>43335.0</v>
      </c>
      <c r="B164" s="2">
        <v>285.79</v>
      </c>
      <c r="C164" s="3" t="s">
        <v>96</v>
      </c>
      <c r="D164" s="4" t="str">
        <f t="array" ref="D164">XLOOKUP(Hoja5!A164,Agregado!B1512:B1672,Agregado!G164:G1672)</f>
        <v>#N/A</v>
      </c>
    </row>
    <row r="165" ht="15.75" customHeight="1">
      <c r="A165" s="12">
        <v>43336.0</v>
      </c>
      <c r="B165" s="2">
        <v>287.51</v>
      </c>
      <c r="C165" s="3" t="s">
        <v>97</v>
      </c>
      <c r="D165" s="4" t="str">
        <f t="array" ref="D165">XLOOKUP(Hoja5!A165,Agregado!B1512:B1673,Agregado!G165:G1673)</f>
        <v>#N/A</v>
      </c>
    </row>
    <row r="166" ht="15.75" customHeight="1">
      <c r="A166" s="12">
        <v>43339.0</v>
      </c>
      <c r="B166" s="2">
        <v>289.78</v>
      </c>
      <c r="C166" s="3" t="s">
        <v>98</v>
      </c>
      <c r="D166" s="4" t="str">
        <f t="array" ref="D166">XLOOKUP(Hoja5!A166,Agregado!B1512:B1674,Agregado!G166:G1674)</f>
        <v>#N/A</v>
      </c>
    </row>
    <row r="167" ht="15.75" customHeight="1">
      <c r="A167" s="12">
        <v>43340.0</v>
      </c>
      <c r="B167" s="2">
        <v>289.92</v>
      </c>
      <c r="C167" s="3" t="s">
        <v>99</v>
      </c>
      <c r="D167" s="4" t="str">
        <f t="array" ref="D167">XLOOKUP(Hoja5!A167,Agregado!B1512:B1675,Agregado!G167:G1675)</f>
        <v>#N/A</v>
      </c>
    </row>
    <row r="168" ht="15.75" customHeight="1">
      <c r="A168" s="12">
        <v>43341.0</v>
      </c>
      <c r="B168" s="2">
        <v>291.48</v>
      </c>
      <c r="C168" s="3" t="s">
        <v>100</v>
      </c>
      <c r="D168" s="4" t="str">
        <f t="array" ref="D168">XLOOKUP(Hoja5!A168,Agregado!B1512:B1676,Agregado!G168:G1676)</f>
        <v>#N/A</v>
      </c>
    </row>
    <row r="169" ht="15.75" customHeight="1">
      <c r="A169" s="12">
        <v>43342.0</v>
      </c>
      <c r="B169" s="2">
        <v>290.3</v>
      </c>
      <c r="C169" s="3" t="s">
        <v>101</v>
      </c>
      <c r="D169" s="4" t="str">
        <f t="array" ref="D169">XLOOKUP(Hoja5!A169,Agregado!B1512:B1677,Agregado!G169:G1677)</f>
        <v>#N/A</v>
      </c>
    </row>
    <row r="170" ht="15.75" customHeight="1">
      <c r="A170" s="12">
        <v>43343.0</v>
      </c>
      <c r="B170" s="2">
        <v>290.31</v>
      </c>
      <c r="C170" s="3" t="s">
        <v>102</v>
      </c>
      <c r="D170" s="4" t="str">
        <f t="array" ref="D170">XLOOKUP(Hoja5!A170,Agregado!B1512:B1678,Agregado!G170:G1678)</f>
        <v>#N/A</v>
      </c>
    </row>
    <row r="171" ht="15.75" customHeight="1">
      <c r="A171" s="12">
        <v>43347.0</v>
      </c>
      <c r="B171" s="2">
        <v>289.81</v>
      </c>
      <c r="C171" s="3">
        <v>43199.0</v>
      </c>
      <c r="D171" s="4" t="str">
        <f t="array" ref="D171">XLOOKUP(Hoja5!A171,Agregado!B1512:B1679,Agregado!G171:G1679)</f>
        <v>#N/A</v>
      </c>
    </row>
    <row r="172" ht="15.75" customHeight="1">
      <c r="A172" s="12">
        <v>43348.0</v>
      </c>
      <c r="B172" s="2">
        <v>289.03</v>
      </c>
      <c r="C172" s="3">
        <v>43229.0</v>
      </c>
      <c r="D172" s="4" t="str">
        <f t="array" ref="D172">XLOOKUP(Hoja5!A172,Agregado!B1512:B1680,Agregado!G172:G1680)</f>
        <v>#N/A</v>
      </c>
    </row>
    <row r="173" ht="15.75" customHeight="1">
      <c r="A173" s="12">
        <v>43349.0</v>
      </c>
      <c r="B173" s="2">
        <v>288.16</v>
      </c>
      <c r="C173" s="3">
        <v>43260.0</v>
      </c>
      <c r="D173" s="4" t="str">
        <f t="array" ref="D173">XLOOKUP(Hoja5!A173,Agregado!B1512:B1681,Agregado!G173:G1681)</f>
        <v>#N/A</v>
      </c>
    </row>
    <row r="174" ht="15.75" customHeight="1">
      <c r="A174" s="12">
        <v>43350.0</v>
      </c>
      <c r="B174" s="2">
        <v>287.6</v>
      </c>
      <c r="C174" s="3">
        <v>43290.0</v>
      </c>
      <c r="D174" s="4" t="str">
        <f t="array" ref="D174">XLOOKUP(Hoja5!A174,Agregado!B1512:B1682,Agregado!G174:G1682)</f>
        <v>#N/A</v>
      </c>
    </row>
    <row r="175" ht="15.75" customHeight="1">
      <c r="A175" s="12">
        <v>43353.0</v>
      </c>
      <c r="B175" s="2">
        <v>288.1</v>
      </c>
      <c r="C175" s="3">
        <v>43382.0</v>
      </c>
      <c r="D175" s="4" t="str">
        <f t="array" ref="D175">XLOOKUP(Hoja5!A175,Agregado!B1512:B1683,Agregado!G175:G1683)</f>
        <v>#N/A</v>
      </c>
    </row>
    <row r="176" ht="15.75" customHeight="1">
      <c r="A176" s="12">
        <v>43354.0</v>
      </c>
      <c r="B176" s="2">
        <v>289.05</v>
      </c>
      <c r="C176" s="3">
        <v>43413.0</v>
      </c>
      <c r="D176" s="4" t="str">
        <f t="array" ref="D176">XLOOKUP(Hoja5!A176,Agregado!B1512:B1684,Agregado!G176:G1684)</f>
        <v>#N/A</v>
      </c>
    </row>
    <row r="177" ht="15.75" customHeight="1">
      <c r="A177" s="12">
        <v>43355.0</v>
      </c>
      <c r="B177" s="2">
        <v>289.12</v>
      </c>
      <c r="C177" s="3">
        <v>43443.0</v>
      </c>
      <c r="D177" s="4" t="str">
        <f t="array" ref="D177">XLOOKUP(Hoja5!A177,Agregado!B1512:B1685,Agregado!G177:G1685)</f>
        <v>#N/A</v>
      </c>
    </row>
    <row r="178" ht="15.75" customHeight="1">
      <c r="A178" s="12">
        <v>43356.0</v>
      </c>
      <c r="B178" s="2">
        <v>290.83</v>
      </c>
      <c r="C178" s="3" t="s">
        <v>103</v>
      </c>
      <c r="D178" s="4" t="str">
        <f t="array" ref="D178">XLOOKUP(Hoja5!A178,Agregado!B1512:B1686,Agregado!G178:G1686)</f>
        <v>#N/A</v>
      </c>
    </row>
    <row r="179" ht="15.75" customHeight="1">
      <c r="A179" s="12">
        <v>43357.0</v>
      </c>
      <c r="B179" s="2">
        <v>290.88</v>
      </c>
      <c r="C179" s="3" t="s">
        <v>104</v>
      </c>
      <c r="D179" s="4" t="str">
        <f t="array" ref="D179">XLOOKUP(Hoja5!A179,Agregado!B1512:B1687,Agregado!G179:G1687)</f>
        <v>#N/A</v>
      </c>
    </row>
    <row r="180" ht="15.75" customHeight="1">
      <c r="A180" s="12">
        <v>43360.0</v>
      </c>
      <c r="B180" s="2">
        <v>289.34</v>
      </c>
      <c r="C180" s="3" t="s">
        <v>105</v>
      </c>
      <c r="D180" s="4" t="str">
        <f t="array" ref="D180">XLOOKUP(Hoja5!A180,Agregado!B1512:B1688,Agregado!G180:G1688)</f>
        <v>#N/A</v>
      </c>
    </row>
    <row r="181" ht="15.75" customHeight="1">
      <c r="A181" s="12">
        <v>43361.0</v>
      </c>
      <c r="B181" s="2">
        <v>290.91</v>
      </c>
      <c r="C181" s="3" t="s">
        <v>106</v>
      </c>
      <c r="D181" s="4" t="str">
        <f t="array" ref="D181">XLOOKUP(Hoja5!A181,Agregado!B1512:B1689,Agregado!G181:G1689)</f>
        <v>#N/A</v>
      </c>
    </row>
    <row r="182" ht="15.75" customHeight="1">
      <c r="A182" s="12">
        <v>43362.0</v>
      </c>
      <c r="B182" s="2">
        <v>291.22</v>
      </c>
      <c r="C182" s="3" t="s">
        <v>107</v>
      </c>
      <c r="D182" s="4" t="str">
        <f t="array" ref="D182">XLOOKUP(Hoja5!A182,Agregado!B1512:B1690,Agregado!G182:G1690)</f>
        <v>#N/A</v>
      </c>
    </row>
    <row r="183" ht="15.75" customHeight="1">
      <c r="A183" s="12">
        <v>43363.0</v>
      </c>
      <c r="B183" s="2">
        <v>293.58</v>
      </c>
      <c r="C183" s="3" t="s">
        <v>108</v>
      </c>
      <c r="D183" s="4" t="str">
        <f t="array" ref="D183">XLOOKUP(Hoja5!A183,Agregado!B1512:B1691,Agregado!G183:G1691)</f>
        <v>#N/A</v>
      </c>
    </row>
    <row r="184" ht="15.75" customHeight="1">
      <c r="A184" s="12">
        <v>43364.0</v>
      </c>
      <c r="B184" s="2">
        <v>291.99</v>
      </c>
      <c r="C184" s="3" t="s">
        <v>109</v>
      </c>
      <c r="D184" s="4" t="str">
        <f t="array" ref="D184">XLOOKUP(Hoja5!A184,Agregado!B1512:B1692,Agregado!G184:G1692)</f>
        <v>#N/A</v>
      </c>
    </row>
    <row r="185" ht="15.75" customHeight="1">
      <c r="A185" s="12">
        <v>43367.0</v>
      </c>
      <c r="B185" s="2">
        <v>291.02</v>
      </c>
      <c r="C185" s="3" t="s">
        <v>110</v>
      </c>
      <c r="D185" s="4" t="str">
        <f t="array" ref="D185">XLOOKUP(Hoja5!A185,Agregado!B1512:B1693,Agregado!G185:G1693)</f>
        <v>#N/A</v>
      </c>
    </row>
    <row r="186" ht="15.75" customHeight="1">
      <c r="A186" s="12">
        <v>43368.0</v>
      </c>
      <c r="B186" s="2">
        <v>290.75</v>
      </c>
      <c r="C186" s="3" t="s">
        <v>111</v>
      </c>
      <c r="D186" s="4" t="str">
        <f t="array" ref="D186">XLOOKUP(Hoja5!A186,Agregado!B1512:B1694,Agregado!G186:G1694)</f>
        <v>#N/A</v>
      </c>
    </row>
    <row r="187" ht="15.75" customHeight="1">
      <c r="A187" s="12">
        <v>43369.0</v>
      </c>
      <c r="B187" s="2">
        <v>289.88</v>
      </c>
      <c r="C187" s="3" t="s">
        <v>112</v>
      </c>
      <c r="D187" s="4" t="str">
        <f t="array" ref="D187">XLOOKUP(Hoja5!A187,Agregado!B1512:B1695,Agregado!G187:G1695)</f>
        <v>#N/A</v>
      </c>
    </row>
    <row r="188" ht="15.75" customHeight="1">
      <c r="A188" s="12">
        <v>43370.0</v>
      </c>
      <c r="B188" s="2">
        <v>290.69</v>
      </c>
      <c r="C188" s="3" t="s">
        <v>113</v>
      </c>
      <c r="D188" s="4" t="str">
        <f t="array" ref="D188">XLOOKUP(Hoja5!A188,Agregado!B1512:B1696,Agregado!G188:G1696)</f>
        <v>#N/A</v>
      </c>
    </row>
    <row r="189" ht="15.75" customHeight="1">
      <c r="A189" s="12">
        <v>43371.0</v>
      </c>
      <c r="B189" s="2">
        <v>290.72</v>
      </c>
      <c r="C189" s="3" t="s">
        <v>114</v>
      </c>
      <c r="D189" s="4" t="str">
        <f t="array" ref="D189">XLOOKUP(Hoja5!A189,Agregado!B1512:B1697,Agregado!G189:G1697)</f>
        <v>#N/A</v>
      </c>
    </row>
    <row r="190" ht="15.75" customHeight="1">
      <c r="A190" s="12">
        <v>43374.0</v>
      </c>
      <c r="B190" s="2">
        <v>291.73</v>
      </c>
      <c r="C190" s="3">
        <v>43110.0</v>
      </c>
      <c r="D190" s="4" t="str">
        <f t="array" ref="D190">XLOOKUP(Hoja5!A190,Agregado!B1512:B1698,Agregado!G190:G1698)</f>
        <v>#N/A</v>
      </c>
    </row>
    <row r="191" ht="15.75" customHeight="1">
      <c r="A191" s="12">
        <v>43375.0</v>
      </c>
      <c r="B191" s="2">
        <v>291.56</v>
      </c>
      <c r="C191" s="3">
        <v>43141.0</v>
      </c>
      <c r="D191" s="4" t="str">
        <f t="array" ref="D191">XLOOKUP(Hoja5!A191,Agregado!B1512:B1699,Agregado!G191:G1699)</f>
        <v>#N/A</v>
      </c>
    </row>
    <row r="192" ht="15.75" customHeight="1">
      <c r="A192" s="12">
        <v>43376.0</v>
      </c>
      <c r="B192" s="2">
        <v>291.72</v>
      </c>
      <c r="C192" s="3">
        <v>43169.0</v>
      </c>
      <c r="D192" s="4" t="str">
        <f t="array" ref="D192">XLOOKUP(Hoja5!A192,Agregado!B1512:B1700,Agregado!G192:G1700)</f>
        <v>#N/A</v>
      </c>
    </row>
    <row r="193" ht="15.75" customHeight="1">
      <c r="A193" s="12">
        <v>43377.0</v>
      </c>
      <c r="B193" s="2">
        <v>289.44</v>
      </c>
      <c r="C193" s="3">
        <v>43200.0</v>
      </c>
      <c r="D193" s="4" t="str">
        <f t="array" ref="D193">XLOOKUP(Hoja5!A193,Agregado!B1512:B1701,Agregado!G193:G1701)</f>
        <v>#N/A</v>
      </c>
    </row>
    <row r="194" ht="15.75" customHeight="1">
      <c r="A194" s="12">
        <v>43378.0</v>
      </c>
      <c r="B194" s="2">
        <v>287.82</v>
      </c>
      <c r="C194" s="3">
        <v>43230.0</v>
      </c>
      <c r="D194" s="4" t="str">
        <f t="array" ref="D194">XLOOKUP(Hoja5!A194,Agregado!B1512:B1702,Agregado!G194:G1702)</f>
        <v>#N/A</v>
      </c>
    </row>
    <row r="195" ht="15.75" customHeight="1">
      <c r="A195" s="12">
        <v>43381.0</v>
      </c>
      <c r="B195" s="2">
        <v>287.82</v>
      </c>
      <c r="C195" s="3">
        <v>43322.0</v>
      </c>
      <c r="D195" s="4" t="str">
        <f t="array" ref="D195">XLOOKUP(Hoja5!A195,Agregado!B1512:B1703,Agregado!G195:G1703)</f>
        <v>#N/A</v>
      </c>
    </row>
    <row r="196" ht="15.75" customHeight="1">
      <c r="A196" s="12">
        <v>43382.0</v>
      </c>
      <c r="B196" s="2">
        <v>287.4</v>
      </c>
      <c r="C196" s="3">
        <v>43353.0</v>
      </c>
      <c r="D196" s="4" t="str">
        <f t="array" ref="D196">XLOOKUP(Hoja5!A196,Agregado!B1512:B1704,Agregado!G196:G1704)</f>
        <v>#N/A</v>
      </c>
    </row>
    <row r="197" ht="15.75" customHeight="1">
      <c r="A197" s="12">
        <v>43383.0</v>
      </c>
      <c r="B197" s="2">
        <v>278.3</v>
      </c>
      <c r="C197" s="3">
        <v>43383.0</v>
      </c>
      <c r="D197" s="4" t="str">
        <f t="array" ref="D197">XLOOKUP(Hoja5!A197,Agregado!B1512:B1705,Agregado!G197:G1705)</f>
        <v>#N/A</v>
      </c>
    </row>
    <row r="198" ht="15.75" customHeight="1">
      <c r="A198" s="12">
        <v>43384.0</v>
      </c>
      <c r="B198" s="2">
        <v>272.17</v>
      </c>
      <c r="C198" s="3">
        <v>43414.0</v>
      </c>
      <c r="D198" s="4" t="str">
        <f t="array" ref="D198">XLOOKUP(Hoja5!A198,Agregado!B1512:B1706,Agregado!G198:G1706)</f>
        <v>#N/A</v>
      </c>
    </row>
    <row r="199" ht="15.75" customHeight="1">
      <c r="A199" s="12">
        <v>43385.0</v>
      </c>
      <c r="B199" s="2">
        <v>275.95</v>
      </c>
      <c r="C199" s="3">
        <v>43444.0</v>
      </c>
      <c r="D199" s="4" t="str">
        <f t="array" ref="D199">XLOOKUP(Hoja5!A199,Agregado!B1512:B1707,Agregado!G199:G1707)</f>
        <v>#N/A</v>
      </c>
    </row>
    <row r="200" ht="15.75" customHeight="1">
      <c r="A200" s="12">
        <v>43388.0</v>
      </c>
      <c r="B200" s="2">
        <v>274.4</v>
      </c>
      <c r="C200" s="3" t="s">
        <v>115</v>
      </c>
      <c r="D200" s="4" t="str">
        <f t="array" ref="D200">XLOOKUP(Hoja5!A200,Agregado!B1512:B1708,Agregado!G200:G1708)</f>
        <v>#N/A</v>
      </c>
    </row>
    <row r="201" ht="15.75" customHeight="1">
      <c r="A201" s="12">
        <v>43389.0</v>
      </c>
      <c r="B201" s="2">
        <v>280.4</v>
      </c>
      <c r="C201" s="3" t="s">
        <v>116</v>
      </c>
      <c r="D201" s="4" t="str">
        <f t="array" ref="D201">XLOOKUP(Hoja5!A201,Agregado!B1512:B1709,Agregado!G201:G1709)</f>
        <v>#N/A</v>
      </c>
    </row>
    <row r="202" ht="15.75" customHeight="1">
      <c r="A202" s="12">
        <v>43390.0</v>
      </c>
      <c r="B202" s="2">
        <v>280.45</v>
      </c>
      <c r="C202" s="3" t="s">
        <v>117</v>
      </c>
      <c r="D202" s="4" t="str">
        <f t="array" ref="D202">XLOOKUP(Hoja5!A202,Agregado!B1512:B1710,Agregado!G202:G1710)</f>
        <v>#N/A</v>
      </c>
    </row>
    <row r="203" ht="15.75" customHeight="1">
      <c r="A203" s="12">
        <v>43391.0</v>
      </c>
      <c r="B203" s="2">
        <v>276.4</v>
      </c>
      <c r="C203" s="3" t="s">
        <v>118</v>
      </c>
      <c r="D203" s="4" t="str">
        <f t="array" ref="D203">XLOOKUP(Hoja5!A203,Agregado!B1512:B1711,Agregado!G203:G1711)</f>
        <v>#N/A</v>
      </c>
    </row>
    <row r="204" ht="15.75" customHeight="1">
      <c r="A204" s="12">
        <v>43392.0</v>
      </c>
      <c r="B204" s="2">
        <v>276.25</v>
      </c>
      <c r="C204" s="3" t="s">
        <v>119</v>
      </c>
      <c r="D204" s="4" t="str">
        <f t="array" ref="D204">XLOOKUP(Hoja5!A204,Agregado!B1512:B1712,Agregado!G204:G1712)</f>
        <v>#N/A</v>
      </c>
    </row>
    <row r="205" ht="15.75" customHeight="1">
      <c r="A205" s="12">
        <v>43395.0</v>
      </c>
      <c r="B205" s="2">
        <v>275.01</v>
      </c>
      <c r="C205" s="3" t="s">
        <v>120</v>
      </c>
      <c r="D205" s="4" t="str">
        <f t="array" ref="D205">XLOOKUP(Hoja5!A205,Agregado!B1512:B1713,Agregado!G205:G1713)</f>
        <v>#N/A</v>
      </c>
    </row>
    <row r="206" ht="15.75" customHeight="1">
      <c r="A206" s="12">
        <v>43396.0</v>
      </c>
      <c r="B206" s="2">
        <v>273.61</v>
      </c>
      <c r="C206" s="3" t="s">
        <v>121</v>
      </c>
      <c r="D206" s="4" t="str">
        <f t="array" ref="D206">XLOOKUP(Hoja5!A206,Agregado!B1512:B1714,Agregado!G206:G1714)</f>
        <v>#N/A</v>
      </c>
    </row>
    <row r="207" ht="15.75" customHeight="1">
      <c r="A207" s="12">
        <v>43397.0</v>
      </c>
      <c r="B207" s="2">
        <v>265.32</v>
      </c>
      <c r="C207" s="3" t="s">
        <v>122</v>
      </c>
      <c r="D207" s="4" t="str">
        <f t="array" ref="D207">XLOOKUP(Hoja5!A207,Agregado!B1512:B1715,Agregado!G207:G1715)</f>
        <v>#N/A</v>
      </c>
    </row>
    <row r="208" ht="15.75" customHeight="1">
      <c r="A208" s="12">
        <v>43398.0</v>
      </c>
      <c r="B208" s="2">
        <v>270.08</v>
      </c>
      <c r="C208" s="3" t="s">
        <v>123</v>
      </c>
      <c r="D208" s="4" t="str">
        <f t="array" ref="D208">XLOOKUP(Hoja5!A208,Agregado!B1512:B1716,Agregado!G208:G1716)</f>
        <v>#N/A</v>
      </c>
    </row>
    <row r="209" ht="15.75" customHeight="1">
      <c r="A209" s="12">
        <v>43399.0</v>
      </c>
      <c r="B209" s="2">
        <v>265.33</v>
      </c>
      <c r="C209" s="3" t="s">
        <v>124</v>
      </c>
      <c r="D209" s="4" t="str">
        <f t="array" ref="D209">XLOOKUP(Hoja5!A209,Agregado!B1512:B1717,Agregado!G209:G1717)</f>
        <v>#N/A</v>
      </c>
    </row>
    <row r="210" ht="15.75" customHeight="1">
      <c r="A210" s="12">
        <v>43402.0</v>
      </c>
      <c r="B210" s="2">
        <v>263.86</v>
      </c>
      <c r="C210" s="3" t="s">
        <v>125</v>
      </c>
      <c r="D210" s="4" t="str">
        <f t="array" ref="D210">XLOOKUP(Hoja5!A210,Agregado!B1512:B1718,Agregado!G210:G1718)</f>
        <v>#N/A</v>
      </c>
    </row>
    <row r="211" ht="15.75" customHeight="1">
      <c r="A211" s="12">
        <v>43403.0</v>
      </c>
      <c r="B211" s="2">
        <v>267.77</v>
      </c>
      <c r="C211" s="3" t="s">
        <v>126</v>
      </c>
      <c r="D211" s="4" t="str">
        <f t="array" ref="D211">XLOOKUP(Hoja5!A211,Agregado!B1512:B1719,Agregado!G211:G1719)</f>
        <v>#N/A</v>
      </c>
    </row>
    <row r="212" ht="15.75" customHeight="1">
      <c r="A212" s="12">
        <v>43404.0</v>
      </c>
      <c r="B212" s="2">
        <v>270.63</v>
      </c>
      <c r="C212" s="3" t="s">
        <v>127</v>
      </c>
      <c r="D212" s="4" t="str">
        <f t="array" ref="D212">XLOOKUP(Hoja5!A212,Agregado!B1512:B1720,Agregado!G212:G1720)</f>
        <v>#N/A</v>
      </c>
    </row>
    <row r="213" ht="15.75" customHeight="1">
      <c r="A213" s="12">
        <v>43405.0</v>
      </c>
      <c r="B213" s="2">
        <v>273.51</v>
      </c>
      <c r="C213" s="3">
        <v>43111.0</v>
      </c>
      <c r="D213" s="4" t="str">
        <f t="array" ref="D213">XLOOKUP(Hoja5!A213,Agregado!B1512:B1721,Agregado!G213:G1721)</f>
        <v>#N/A</v>
      </c>
    </row>
    <row r="214" ht="15.75" customHeight="1">
      <c r="A214" s="12">
        <v>43406.0</v>
      </c>
      <c r="B214" s="2">
        <v>271.89</v>
      </c>
      <c r="C214" s="3">
        <v>43142.0</v>
      </c>
      <c r="D214" s="4" t="str">
        <f t="array" ref="D214">XLOOKUP(Hoja5!A214,Agregado!B1512:B1722,Agregado!G214:G1722)</f>
        <v>#N/A</v>
      </c>
    </row>
    <row r="215" ht="15.75" customHeight="1">
      <c r="A215" s="12">
        <v>43409.0</v>
      </c>
      <c r="B215" s="2">
        <v>273.39</v>
      </c>
      <c r="C215" s="3">
        <v>43231.0</v>
      </c>
      <c r="D215" s="4" t="str">
        <f t="array" ref="D215">XLOOKUP(Hoja5!A215,Agregado!B1512:B1723,Agregado!G215:G1723)</f>
        <v>#N/A</v>
      </c>
    </row>
    <row r="216" ht="15.75" customHeight="1">
      <c r="A216" s="12">
        <v>43410.0</v>
      </c>
      <c r="B216" s="2">
        <v>275.12</v>
      </c>
      <c r="C216" s="3">
        <v>43262.0</v>
      </c>
      <c r="D216" s="4" t="str">
        <f t="array" ref="D216">XLOOKUP(Hoja5!A216,Agregado!B1512:B1724,Agregado!G216:G1724)</f>
        <v>#N/A</v>
      </c>
    </row>
    <row r="217" ht="15.75" customHeight="1">
      <c r="A217" s="12">
        <v>43411.0</v>
      </c>
      <c r="B217" s="2">
        <v>281.01</v>
      </c>
      <c r="C217" s="3">
        <v>43292.0</v>
      </c>
      <c r="D217" s="4" t="str">
        <f t="array" ref="D217">XLOOKUP(Hoja5!A217,Agregado!B1512:B1725,Agregado!G217:G1725)</f>
        <v>#N/A</v>
      </c>
    </row>
    <row r="218" ht="15.75" customHeight="1">
      <c r="A218" s="12">
        <v>43412.0</v>
      </c>
      <c r="B218" s="2">
        <v>280.5</v>
      </c>
      <c r="C218" s="3">
        <v>43323.0</v>
      </c>
      <c r="D218" s="4" t="str">
        <f t="array" ref="D218">XLOOKUP(Hoja5!A218,Agregado!B1512:B1726,Agregado!G218:G1726)</f>
        <v>#N/A</v>
      </c>
    </row>
    <row r="219" ht="15.75" customHeight="1">
      <c r="A219" s="12">
        <v>43413.0</v>
      </c>
      <c r="B219" s="2">
        <v>277.76</v>
      </c>
      <c r="C219" s="3">
        <v>43354.0</v>
      </c>
      <c r="D219" s="4" t="str">
        <f t="array" ref="D219">XLOOKUP(Hoja5!A219,Agregado!B1512:B1727,Agregado!G219:G1727)</f>
        <v>#N/A</v>
      </c>
    </row>
    <row r="220" ht="15.75" customHeight="1">
      <c r="A220" s="12">
        <v>43416.0</v>
      </c>
      <c r="B220" s="2">
        <v>272.57</v>
      </c>
      <c r="C220" s="3">
        <v>43445.0</v>
      </c>
      <c r="D220" s="4" t="str">
        <f t="array" ref="D220">XLOOKUP(Hoja5!A220,Agregado!B1512:B1728,Agregado!G220:G1728)</f>
        <v>#N/A</v>
      </c>
    </row>
    <row r="221" ht="15.75" customHeight="1">
      <c r="A221" s="12">
        <v>43417.0</v>
      </c>
      <c r="B221" s="2">
        <v>272.06</v>
      </c>
      <c r="C221" s="3" t="s">
        <v>128</v>
      </c>
      <c r="D221" s="4" t="str">
        <f t="array" ref="D221">XLOOKUP(Hoja5!A221,Agregado!B1512:B1729,Agregado!G221:G1729)</f>
        <v>#N/A</v>
      </c>
    </row>
    <row r="222" ht="15.75" customHeight="1">
      <c r="A222" s="12">
        <v>43418.0</v>
      </c>
      <c r="B222" s="2">
        <v>270.2</v>
      </c>
      <c r="C222" s="3" t="s">
        <v>129</v>
      </c>
      <c r="D222" s="4" t="str">
        <f t="array" ref="D222">XLOOKUP(Hoja5!A222,Agregado!B1512:B1730,Agregado!G222:G1730)</f>
        <v>#N/A</v>
      </c>
    </row>
    <row r="223" ht="15.75" customHeight="1">
      <c r="A223" s="12">
        <v>43419.0</v>
      </c>
      <c r="B223" s="2">
        <v>273.02</v>
      </c>
      <c r="C223" s="3" t="s">
        <v>130</v>
      </c>
      <c r="D223" s="4" t="str">
        <f t="array" ref="D223">XLOOKUP(Hoja5!A223,Agregado!B1512:B1731,Agregado!G223:G1731)</f>
        <v>#N/A</v>
      </c>
    </row>
    <row r="224" ht="15.75" customHeight="1">
      <c r="A224" s="12">
        <v>43420.0</v>
      </c>
      <c r="B224" s="2">
        <v>273.73</v>
      </c>
      <c r="C224" s="3" t="s">
        <v>131</v>
      </c>
      <c r="D224" s="4" t="str">
        <f t="array" ref="D224">XLOOKUP(Hoja5!A224,Agregado!B1512:B1732,Agregado!G224:G1732)</f>
        <v>#N/A</v>
      </c>
    </row>
    <row r="225" ht="15.75" customHeight="1">
      <c r="A225" s="12">
        <v>43423.0</v>
      </c>
      <c r="B225" s="2">
        <v>269.1</v>
      </c>
      <c r="C225" s="3" t="s">
        <v>132</v>
      </c>
      <c r="D225" s="4" t="str">
        <f t="array" ref="D225">XLOOKUP(Hoja5!A225,Agregado!B1512:B1733,Agregado!G225:G1733)</f>
        <v>#N/A</v>
      </c>
    </row>
    <row r="226" ht="15.75" customHeight="1">
      <c r="A226" s="12">
        <v>43424.0</v>
      </c>
      <c r="B226" s="2">
        <v>264.12</v>
      </c>
      <c r="C226" s="3" t="s">
        <v>133</v>
      </c>
      <c r="D226" s="4" t="str">
        <f t="array" ref="D226">XLOOKUP(Hoja5!A226,Agregado!B1512:B1734,Agregado!G226:G1734)</f>
        <v>#N/A</v>
      </c>
    </row>
    <row r="227" ht="15.75" customHeight="1">
      <c r="A227" s="12">
        <v>43425.0</v>
      </c>
      <c r="B227" s="2">
        <v>265.02</v>
      </c>
      <c r="C227" s="3" t="s">
        <v>134</v>
      </c>
      <c r="D227" s="4" t="str">
        <f t="array" ref="D227">XLOOKUP(Hoja5!A227,Agregado!B1512:B1735,Agregado!G227:G1735)</f>
        <v>#N/A</v>
      </c>
    </row>
    <row r="228" ht="15.75" customHeight="1">
      <c r="A228" s="12">
        <v>43427.0</v>
      </c>
      <c r="B228" s="2">
        <v>263.25</v>
      </c>
      <c r="C228" s="3" t="s">
        <v>135</v>
      </c>
      <c r="D228" s="4" t="str">
        <f t="array" ref="D228">XLOOKUP(Hoja5!A228,Agregado!B1512:B1736,Agregado!G228:G1736)</f>
        <v>#N/A</v>
      </c>
    </row>
    <row r="229" ht="15.75" customHeight="1">
      <c r="A229" s="12">
        <v>43430.0</v>
      </c>
      <c r="B229" s="2">
        <v>267.5</v>
      </c>
      <c r="C229" s="3" t="s">
        <v>136</v>
      </c>
      <c r="D229" s="4" t="str">
        <f t="array" ref="D229">XLOOKUP(Hoja5!A229,Agregado!B1512:B1737,Agregado!G229:G1737)</f>
        <v>#N/A</v>
      </c>
    </row>
    <row r="230" ht="15.75" customHeight="1">
      <c r="A230" s="12">
        <v>43431.0</v>
      </c>
      <c r="B230" s="2">
        <v>268.4</v>
      </c>
      <c r="C230" s="3" t="s">
        <v>137</v>
      </c>
      <c r="D230" s="4" t="str">
        <f t="array" ref="D230">XLOOKUP(Hoja5!A230,Agregado!B1512:B1738,Agregado!G230:G1738)</f>
        <v>#N/A</v>
      </c>
    </row>
    <row r="231" ht="15.75" customHeight="1">
      <c r="A231" s="12">
        <v>43432.0</v>
      </c>
      <c r="B231" s="2">
        <v>274.58</v>
      </c>
      <c r="C231" s="3" t="s">
        <v>138</v>
      </c>
      <c r="D231" s="4" t="str">
        <f t="array" ref="D231">XLOOKUP(Hoja5!A231,Agregado!B1512:B1739,Agregado!G231:G1739)</f>
        <v>#N/A</v>
      </c>
    </row>
    <row r="232" ht="15.75" customHeight="1">
      <c r="A232" s="12">
        <v>43433.0</v>
      </c>
      <c r="B232" s="2">
        <v>273.98</v>
      </c>
      <c r="C232" s="3" t="s">
        <v>139</v>
      </c>
      <c r="D232" s="4" t="str">
        <f t="array" ref="D232">XLOOKUP(Hoja5!A232,Agregado!B1512:B1740,Agregado!G232:G1740)</f>
        <v>#N/A</v>
      </c>
    </row>
    <row r="233" ht="15.75" customHeight="1">
      <c r="A233" s="12">
        <v>43434.0</v>
      </c>
      <c r="B233" s="2">
        <v>275.65</v>
      </c>
      <c r="C233" s="3" t="s">
        <v>140</v>
      </c>
      <c r="D233" s="4" t="str">
        <f t="array" ref="D233">XLOOKUP(Hoja5!A233,Agregado!B1512:B1741,Agregado!G233:G1741)</f>
        <v>#N/A</v>
      </c>
    </row>
    <row r="234" ht="15.75" customHeight="1">
      <c r="A234" s="12">
        <v>43437.0</v>
      </c>
      <c r="B234" s="2">
        <v>279.3</v>
      </c>
      <c r="C234" s="3">
        <v>43171.0</v>
      </c>
      <c r="D234" s="4" t="str">
        <f t="array" ref="D234">XLOOKUP(Hoja5!A234,Agregado!B1512:B1742,Agregado!G234:G1742)</f>
        <v>#N/A</v>
      </c>
    </row>
    <row r="235" ht="15.75" customHeight="1">
      <c r="A235" s="12">
        <v>43438.0</v>
      </c>
      <c r="B235" s="2">
        <v>270.25</v>
      </c>
      <c r="C235" s="3">
        <v>43202.0</v>
      </c>
      <c r="D235" s="4" t="str">
        <f t="array" ref="D235">XLOOKUP(Hoja5!A235,Agregado!B1512:B1743,Agregado!G235:G1743)</f>
        <v>#N/A</v>
      </c>
    </row>
    <row r="236" ht="15.75" customHeight="1">
      <c r="A236" s="12">
        <v>43440.0</v>
      </c>
      <c r="B236" s="2">
        <v>269.84</v>
      </c>
      <c r="C236" s="3">
        <v>43263.0</v>
      </c>
      <c r="D236" s="4" t="str">
        <f t="array" ref="D236">XLOOKUP(Hoja5!A236,Agregado!B1512:B1744,Agregado!G236:G1744)</f>
        <v>#N/A</v>
      </c>
    </row>
    <row r="237" ht="15.75" customHeight="1">
      <c r="A237" s="12">
        <v>43441.0</v>
      </c>
      <c r="B237" s="2">
        <v>263.57</v>
      </c>
      <c r="C237" s="3">
        <v>43293.0</v>
      </c>
      <c r="D237" s="4" t="str">
        <f t="array" ref="D237">XLOOKUP(Hoja5!A237,Agregado!B1512:B1745,Agregado!G237:G1745)</f>
        <v>#N/A</v>
      </c>
    </row>
    <row r="238" ht="15.75" customHeight="1">
      <c r="A238" s="12">
        <v>43444.0</v>
      </c>
      <c r="B238" s="2">
        <v>264.07</v>
      </c>
      <c r="C238" s="3">
        <v>43385.0</v>
      </c>
      <c r="D238" s="4" t="str">
        <f t="array" ref="D238">XLOOKUP(Hoja5!A238,Agregado!B1512:B1746,Agregado!G238:G1746)</f>
        <v>#N/A</v>
      </c>
    </row>
    <row r="239" ht="15.75" customHeight="1">
      <c r="A239" s="12">
        <v>43445.0</v>
      </c>
      <c r="B239" s="2">
        <v>264.13</v>
      </c>
      <c r="C239" s="3">
        <v>43416.0</v>
      </c>
      <c r="D239" s="4" t="str">
        <f t="array" ref="D239">XLOOKUP(Hoja5!A239,Agregado!B1512:B1747,Agregado!G239:G1747)</f>
        <v>#N/A</v>
      </c>
    </row>
    <row r="240" ht="15.75" customHeight="1">
      <c r="A240" s="12">
        <v>43446.0</v>
      </c>
      <c r="B240" s="2">
        <v>265.46</v>
      </c>
      <c r="C240" s="3">
        <v>43446.0</v>
      </c>
      <c r="D240" s="4" t="str">
        <f t="array" ref="D240">XLOOKUP(Hoja5!A240,Agregado!B1512:B1748,Agregado!G240:G1748)</f>
        <v>#N/A</v>
      </c>
    </row>
    <row r="241" ht="15.75" customHeight="1">
      <c r="A241" s="12">
        <v>43447.0</v>
      </c>
      <c r="B241" s="2">
        <v>265.37</v>
      </c>
      <c r="C241" s="3" t="s">
        <v>141</v>
      </c>
      <c r="D241" s="4" t="str">
        <f t="array" ref="D241">XLOOKUP(Hoja5!A241,Agregado!B1512:B1749,Agregado!G241:G1749)</f>
        <v>#N/A</v>
      </c>
    </row>
    <row r="242" ht="15.75" customHeight="1">
      <c r="A242" s="12">
        <v>43448.0</v>
      </c>
      <c r="B242" s="2">
        <v>260.47</v>
      </c>
      <c r="C242" s="3" t="s">
        <v>142</v>
      </c>
      <c r="D242" s="4" t="str">
        <f t="array" ref="D242">XLOOKUP(Hoja5!A242,Agregado!B1512:B1750,Agregado!G242:G1750)</f>
        <v>#N/A</v>
      </c>
    </row>
    <row r="243" ht="15.75" customHeight="1">
      <c r="A243" s="12">
        <v>43451.0</v>
      </c>
      <c r="B243" s="2">
        <v>255.36</v>
      </c>
      <c r="C243" s="3" t="s">
        <v>143</v>
      </c>
      <c r="D243" s="4" t="str">
        <f t="array" ref="D243">XLOOKUP(Hoja5!A243,Agregado!B1512:B1751,Agregado!G243:G1751)</f>
        <v>#N/A</v>
      </c>
    </row>
    <row r="244" ht="15.75" customHeight="1">
      <c r="A244" s="12">
        <v>43452.0</v>
      </c>
      <c r="B244" s="2">
        <v>255.08</v>
      </c>
      <c r="C244" s="3" t="s">
        <v>144</v>
      </c>
      <c r="D244" s="4" t="str">
        <f t="array" ref="D244">XLOOKUP(Hoja5!A244,Agregado!B1512:B1752,Agregado!G244:G1752)</f>
        <v>#N/A</v>
      </c>
    </row>
    <row r="245" ht="15.75" customHeight="1">
      <c r="A245" s="12">
        <v>43453.0</v>
      </c>
      <c r="B245" s="2">
        <v>251.26</v>
      </c>
      <c r="C245" s="3" t="s">
        <v>145</v>
      </c>
      <c r="D245" s="4" t="str">
        <f t="array" ref="D245">XLOOKUP(Hoja5!A245,Agregado!B1512:B1753,Agregado!G245:G1753)</f>
        <v>#N/A</v>
      </c>
    </row>
    <row r="246" ht="15.75" customHeight="1">
      <c r="A246" s="12">
        <v>43454.0</v>
      </c>
      <c r="B246" s="2">
        <v>247.17</v>
      </c>
      <c r="C246" s="3" t="s">
        <v>146</v>
      </c>
      <c r="D246" s="4" t="str">
        <f t="array" ref="D246">XLOOKUP(Hoja5!A246,Agregado!B1512:B1754,Agregado!G246:G1754)</f>
        <v>#N/A</v>
      </c>
    </row>
    <row r="247" ht="15.75" customHeight="1">
      <c r="A247" s="12">
        <v>43455.0</v>
      </c>
      <c r="B247" s="2">
        <v>240.7</v>
      </c>
      <c r="C247" s="3" t="s">
        <v>147</v>
      </c>
      <c r="D247" s="4" t="str">
        <f t="array" ref="D247">XLOOKUP(Hoja5!A247,Agregado!B1512:B1755,Agregado!G247:G1755)</f>
        <v>#N/A</v>
      </c>
    </row>
    <row r="248" ht="15.75" customHeight="1">
      <c r="A248" s="12">
        <v>43458.0</v>
      </c>
      <c r="B248" s="2">
        <v>234.34</v>
      </c>
      <c r="C248" s="3" t="s">
        <v>148</v>
      </c>
      <c r="D248" s="4" t="str">
        <f t="array" ref="D248">XLOOKUP(Hoja5!A248,Agregado!B1512:B1756,Agregado!G248:G1756)</f>
        <v>#N/A</v>
      </c>
    </row>
    <row r="249" ht="15.75" customHeight="1">
      <c r="A249" s="12">
        <v>43460.0</v>
      </c>
      <c r="B249" s="2">
        <v>246.18</v>
      </c>
      <c r="C249" s="3" t="s">
        <v>149</v>
      </c>
      <c r="D249" s="4" t="str">
        <f t="array" ref="D249">XLOOKUP(Hoja5!A249,Agregado!B1512:B1757,Agregado!G249:G1757)</f>
        <v>#N/A</v>
      </c>
    </row>
    <row r="250" ht="15.75" customHeight="1">
      <c r="A250" s="12">
        <v>43461.0</v>
      </c>
      <c r="B250" s="2">
        <v>248.07</v>
      </c>
      <c r="C250" s="3" t="s">
        <v>150</v>
      </c>
      <c r="D250" s="4" t="str">
        <f t="array" ref="D250">XLOOKUP(Hoja5!A250,Agregado!B1512:B1758,Agregado!G250:G1758)</f>
        <v>#N/A</v>
      </c>
    </row>
    <row r="251" ht="15.75" customHeight="1">
      <c r="A251" s="12">
        <v>43462.0</v>
      </c>
      <c r="B251" s="2">
        <v>247.75</v>
      </c>
      <c r="C251" s="3" t="s">
        <v>151</v>
      </c>
      <c r="D251" s="4" t="str">
        <f t="array" ref="D251">XLOOKUP(Hoja5!A251,Agregado!B1512:B1759,Agregado!G251:G1759)</f>
        <v>#N/A</v>
      </c>
    </row>
    <row r="252" ht="15.75" customHeight="1">
      <c r="A252" s="12">
        <v>43465.0</v>
      </c>
      <c r="B252" s="2">
        <v>249.92</v>
      </c>
      <c r="C252" s="3" t="s">
        <v>152</v>
      </c>
      <c r="D252" s="4" t="str">
        <f t="array" ref="D252">XLOOKUP(Hoja5!A252,Agregado!B1512:B1760,Agregado!G252:G1760)</f>
        <v>#N/A</v>
      </c>
    </row>
    <row r="253" ht="15.75" customHeight="1">
      <c r="A253" s="12">
        <v>43467.0</v>
      </c>
      <c r="B253" s="2">
        <v>250.18</v>
      </c>
      <c r="C253" s="3">
        <v>43497.0</v>
      </c>
      <c r="D253" s="4" t="str">
        <f t="array" ref="D253">XLOOKUP(Hoja5!A253,Agregado!B1512:B1761,Agregado!G253:G1761)</f>
        <v>#N/A</v>
      </c>
    </row>
    <row r="254" ht="15.75" customHeight="1">
      <c r="A254" s="12">
        <v>43468.0</v>
      </c>
      <c r="B254" s="2">
        <v>244.21</v>
      </c>
      <c r="C254" s="3">
        <v>43525.0</v>
      </c>
      <c r="D254" s="4" t="str">
        <f t="array" ref="D254">XLOOKUP(Hoja5!A254,Agregado!B1512:B1762,Agregado!G254:G1762)</f>
        <v>#N/A</v>
      </c>
    </row>
    <row r="255" ht="15.75" customHeight="1">
      <c r="A255" s="12">
        <v>43469.0</v>
      </c>
      <c r="B255" s="2">
        <v>252.39</v>
      </c>
      <c r="C255" s="3">
        <v>43556.0</v>
      </c>
      <c r="D255" s="4" t="str">
        <f t="array" ref="D255">XLOOKUP(Hoja5!A255,Agregado!B1512:B1763,Agregado!G255:G1763)</f>
        <v>#N/A</v>
      </c>
    </row>
    <row r="256" ht="15.75" customHeight="1">
      <c r="A256" s="12">
        <v>43472.0</v>
      </c>
      <c r="B256" s="2">
        <v>254.38</v>
      </c>
      <c r="C256" s="3">
        <v>43647.0</v>
      </c>
      <c r="D256" s="4" t="str">
        <f t="array" ref="D256">XLOOKUP(Hoja5!A256,Agregado!B1512:B1764,Agregado!G256:G1764)</f>
        <v>#N/A</v>
      </c>
    </row>
    <row r="257" ht="15.75" customHeight="1">
      <c r="A257" s="12">
        <v>43473.0</v>
      </c>
      <c r="B257" s="2">
        <v>256.77</v>
      </c>
      <c r="C257" s="3">
        <v>43678.0</v>
      </c>
      <c r="D257" s="4" t="str">
        <f t="array" ref="D257">XLOOKUP(Hoja5!A257,Agregado!B1512:B1765,Agregado!G257:G1765)</f>
        <v>#N/A</v>
      </c>
    </row>
    <row r="258" ht="15.75" customHeight="1">
      <c r="A258" s="12">
        <v>43474.0</v>
      </c>
      <c r="B258" s="2">
        <v>257.97</v>
      </c>
      <c r="C258" s="3">
        <v>43709.0</v>
      </c>
      <c r="D258" s="4" t="str">
        <f t="array" ref="D258">XLOOKUP(Hoja5!A258,Agregado!B1512:B1766,Agregado!G258:G1766)</f>
        <v>#N/A</v>
      </c>
    </row>
    <row r="259" ht="15.75" customHeight="1">
      <c r="A259" s="12">
        <v>43475.0</v>
      </c>
      <c r="B259" s="2">
        <v>258.88</v>
      </c>
      <c r="C259" s="3">
        <v>43739.0</v>
      </c>
      <c r="D259" s="4" t="str">
        <f t="array" ref="D259">XLOOKUP(Hoja5!A259,Agregado!B1512:B1767,Agregado!G259:G1767)</f>
        <v>#N/A</v>
      </c>
    </row>
    <row r="260" ht="15.75" customHeight="1">
      <c r="A260" s="12">
        <v>43476.0</v>
      </c>
      <c r="B260" s="2">
        <v>258.98</v>
      </c>
      <c r="C260" s="3">
        <v>43770.0</v>
      </c>
      <c r="D260" s="4" t="str">
        <f t="array" ref="D260">XLOOKUP(Hoja5!A260,Agregado!B1512:B1768,Agregado!G260:G1768)</f>
        <v>#N/A</v>
      </c>
    </row>
    <row r="261" ht="15.75" customHeight="1">
      <c r="A261" s="12">
        <v>43479.0</v>
      </c>
      <c r="B261" s="2">
        <v>257.4</v>
      </c>
      <c r="C261" s="3" t="s">
        <v>153</v>
      </c>
      <c r="D261" s="4" t="str">
        <f t="array" ref="D261">XLOOKUP(Hoja5!A261,Agregado!B1512:B1769,Agregado!G261:G1769)</f>
        <v>#N/A</v>
      </c>
    </row>
    <row r="262" ht="15.75" customHeight="1">
      <c r="A262" s="12">
        <v>43480.0</v>
      </c>
      <c r="B262" s="2">
        <v>260.35</v>
      </c>
      <c r="C262" s="3" t="s">
        <v>154</v>
      </c>
      <c r="D262" s="4" t="str">
        <f t="array" ref="D262">XLOOKUP(Hoja5!A262,Agregado!B1512:B1770,Agregado!G262:G1770)</f>
        <v>#N/A</v>
      </c>
    </row>
    <row r="263" ht="15.75" customHeight="1">
      <c r="A263" s="12">
        <v>43481.0</v>
      </c>
      <c r="B263" s="2">
        <v>260.98</v>
      </c>
      <c r="C263" s="3" t="s">
        <v>155</v>
      </c>
      <c r="D263" s="4" t="str">
        <f t="array" ref="D263">XLOOKUP(Hoja5!A263,Agregado!B1512:B1771,Agregado!G263:G1771)</f>
        <v>#N/A</v>
      </c>
    </row>
    <row r="264" ht="15.75" customHeight="1">
      <c r="A264" s="12">
        <v>43482.0</v>
      </c>
      <c r="B264" s="2">
        <v>262.96</v>
      </c>
      <c r="C264" s="3" t="s">
        <v>156</v>
      </c>
      <c r="D264" s="4" t="str">
        <f t="array" ref="D264">XLOOKUP(Hoja5!A264,Agregado!B1512:B1772,Agregado!G264:G1772)</f>
        <v>#N/A</v>
      </c>
    </row>
    <row r="265" ht="15.75" customHeight="1">
      <c r="A265" s="12">
        <v>43483.0</v>
      </c>
      <c r="B265" s="2">
        <v>266.46</v>
      </c>
      <c r="C265" s="3" t="s">
        <v>157</v>
      </c>
      <c r="D265" s="4" t="str">
        <f t="array" ref="D265">XLOOKUP(Hoja5!A265,Agregado!B1512:B1773,Agregado!G265:G1773)</f>
        <v>#N/A</v>
      </c>
    </row>
    <row r="266" ht="15.75" customHeight="1">
      <c r="A266" s="12">
        <v>43487.0</v>
      </c>
      <c r="B266" s="2">
        <v>262.86</v>
      </c>
      <c r="C266" s="3" t="s">
        <v>158</v>
      </c>
      <c r="D266" s="4" t="str">
        <f t="array" ref="D266">XLOOKUP(Hoja5!A266,Agregado!B1512:B1774,Agregado!G266:G1774)</f>
        <v>#N/A</v>
      </c>
    </row>
    <row r="267" ht="15.75" customHeight="1">
      <c r="A267" s="12">
        <v>43488.0</v>
      </c>
      <c r="B267" s="2">
        <v>263.41</v>
      </c>
      <c r="C267" s="3" t="s">
        <v>159</v>
      </c>
      <c r="D267" s="4" t="str">
        <f t="array" ref="D267">XLOOKUP(Hoja5!A267,Agregado!B1512:B1775,Agregado!G267:G1775)</f>
        <v>#N/A</v>
      </c>
    </row>
    <row r="268" ht="15.75" customHeight="1">
      <c r="A268" s="12">
        <v>43489.0</v>
      </c>
      <c r="B268" s="2">
        <v>263.55</v>
      </c>
      <c r="C268" s="3" t="s">
        <v>160</v>
      </c>
      <c r="D268" s="4" t="str">
        <f t="array" ref="D268">XLOOKUP(Hoja5!A268,Agregado!B1512:B1776,Agregado!G268:G1776)</f>
        <v>#N/A</v>
      </c>
    </row>
    <row r="269" ht="15.75" customHeight="1">
      <c r="A269" s="12">
        <v>43490.0</v>
      </c>
      <c r="B269" s="2">
        <v>265.78</v>
      </c>
      <c r="C269" s="3" t="s">
        <v>161</v>
      </c>
      <c r="D269" s="4" t="str">
        <f t="array" ref="D269">XLOOKUP(Hoja5!A269,Agregado!B1512:B1777,Agregado!G269:G1777)</f>
        <v>#N/A</v>
      </c>
    </row>
    <row r="270" ht="15.75" customHeight="1">
      <c r="A270" s="12">
        <v>43493.0</v>
      </c>
      <c r="B270" s="2">
        <v>263.76</v>
      </c>
      <c r="C270" s="3" t="s">
        <v>162</v>
      </c>
      <c r="D270" s="4" t="str">
        <f t="array" ref="D270">XLOOKUP(Hoja5!A270,Agregado!B1512:B1778,Agregado!G270:G1778)</f>
        <v>#N/A</v>
      </c>
    </row>
    <row r="271" ht="15.75" customHeight="1">
      <c r="A271" s="12">
        <v>43494.0</v>
      </c>
      <c r="B271" s="2">
        <v>263.41</v>
      </c>
      <c r="C271" s="3" t="s">
        <v>163</v>
      </c>
      <c r="D271" s="4" t="str">
        <f t="array" ref="D271">XLOOKUP(Hoja5!A271,Agregado!B1512:B1779,Agregado!G271:G1779)</f>
        <v>#N/A</v>
      </c>
    </row>
    <row r="272" ht="15.75" customHeight="1">
      <c r="A272" s="12">
        <v>43495.0</v>
      </c>
      <c r="B272" s="2">
        <v>267.58</v>
      </c>
      <c r="C272" s="3" t="s">
        <v>164</v>
      </c>
      <c r="D272" s="4" t="str">
        <f t="array" ref="D272">XLOOKUP(Hoja5!A272,Agregado!B1512:B1780,Agregado!G272:G1780)</f>
        <v>#N/A</v>
      </c>
    </row>
    <row r="273" ht="15.75" customHeight="1">
      <c r="A273" s="12">
        <v>43496.0</v>
      </c>
      <c r="B273" s="2">
        <v>269.93</v>
      </c>
      <c r="C273" s="3" t="s">
        <v>165</v>
      </c>
      <c r="D273" s="4" t="str">
        <f t="array" ref="D273">XLOOKUP(Hoja5!A273,Agregado!B1512:B1781,Agregado!G273:G1781)</f>
        <v>#N/A</v>
      </c>
    </row>
    <row r="274" ht="15.75" customHeight="1">
      <c r="A274" s="12">
        <v>43497.0</v>
      </c>
      <c r="B274" s="2">
        <v>270.06</v>
      </c>
      <c r="C274" s="3">
        <v>43467.0</v>
      </c>
      <c r="D274" s="4" t="str">
        <f t="array" ref="D274">XLOOKUP(Hoja5!A274,Agregado!B1512:B1782,Agregado!G274:G1782)</f>
        <v>#N/A</v>
      </c>
    </row>
    <row r="275" ht="15.75" customHeight="1">
      <c r="A275" s="12">
        <v>43500.0</v>
      </c>
      <c r="B275" s="2">
        <v>271.96</v>
      </c>
      <c r="C275" s="3">
        <v>43557.0</v>
      </c>
      <c r="D275" s="4" t="str">
        <f t="array" ref="D275">XLOOKUP(Hoja5!A275,Agregado!B1512:B1783,Agregado!G275:G1783)</f>
        <v>#N/A</v>
      </c>
    </row>
    <row r="276" ht="15.75" customHeight="1">
      <c r="A276" s="12">
        <v>43501.0</v>
      </c>
      <c r="B276" s="2">
        <v>273.1</v>
      </c>
      <c r="C276" s="3">
        <v>43587.0</v>
      </c>
      <c r="D276" s="4" t="str">
        <f t="array" ref="D276">XLOOKUP(Hoja5!A276,Agregado!B1512:B1784,Agregado!G276:G1784)</f>
        <v>#N/A</v>
      </c>
    </row>
    <row r="277" ht="15.75" customHeight="1">
      <c r="A277" s="12">
        <v>43502.0</v>
      </c>
      <c r="B277" s="2">
        <v>272.74</v>
      </c>
      <c r="C277" s="3">
        <v>43618.0</v>
      </c>
      <c r="D277" s="4" t="str">
        <f t="array" ref="D277">XLOOKUP(Hoja5!A277,Agregado!B1512:B1785,Agregado!G277:G1785)</f>
        <v>#N/A</v>
      </c>
    </row>
    <row r="278" ht="15.75" customHeight="1">
      <c r="A278" s="12">
        <v>43503.0</v>
      </c>
      <c r="B278" s="2">
        <v>270.14</v>
      </c>
      <c r="C278" s="3">
        <v>43648.0</v>
      </c>
      <c r="D278" s="4" t="str">
        <f t="array" ref="D278">XLOOKUP(Hoja5!A278,Agregado!B1512:B1786,Agregado!G278:G1786)</f>
        <v>#N/A</v>
      </c>
    </row>
    <row r="279" ht="15.75" customHeight="1">
      <c r="A279" s="12">
        <v>43504.0</v>
      </c>
      <c r="B279" s="2">
        <v>270.47</v>
      </c>
      <c r="C279" s="3">
        <v>43679.0</v>
      </c>
      <c r="D279" s="4" t="str">
        <f t="array" ref="D279">XLOOKUP(Hoja5!A279,Agregado!B1512:B1787,Agregado!G279:G1787)</f>
        <v>#N/A</v>
      </c>
    </row>
    <row r="280" ht="15.75" customHeight="1">
      <c r="A280" s="12">
        <v>43507.0</v>
      </c>
      <c r="B280" s="2">
        <v>270.62</v>
      </c>
      <c r="C280" s="3">
        <v>43771.0</v>
      </c>
      <c r="D280" s="4" t="str">
        <f t="array" ref="D280">XLOOKUP(Hoja5!A280,Agregado!B1512:B1788,Agregado!G280:G1788)</f>
        <v>#N/A</v>
      </c>
    </row>
    <row r="281" ht="15.75" customHeight="1">
      <c r="A281" s="12">
        <v>43508.0</v>
      </c>
      <c r="B281" s="2">
        <v>274.1</v>
      </c>
      <c r="C281" s="3">
        <v>43801.0</v>
      </c>
      <c r="D281" s="4" t="str">
        <f t="array" ref="D281">XLOOKUP(Hoja5!A281,Agregado!B1512:B1789,Agregado!G281:G1789)</f>
        <v>#N/A</v>
      </c>
    </row>
    <row r="282" ht="15.75" customHeight="1">
      <c r="A282" s="12">
        <v>43509.0</v>
      </c>
      <c r="B282" s="2">
        <v>274.99</v>
      </c>
      <c r="C282" s="3" t="s">
        <v>166</v>
      </c>
      <c r="D282" s="4" t="str">
        <f t="array" ref="D282">XLOOKUP(Hoja5!A282,Agregado!B1512:B1790,Agregado!G282:G1790)</f>
        <v>#N/A</v>
      </c>
    </row>
    <row r="283" ht="15.75" customHeight="1">
      <c r="A283" s="12">
        <v>43510.0</v>
      </c>
      <c r="B283" s="2">
        <v>274.38</v>
      </c>
      <c r="C283" s="3" t="s">
        <v>167</v>
      </c>
      <c r="D283" s="4" t="str">
        <f t="array" ref="D283">XLOOKUP(Hoja5!A283,Agregado!B1512:B1791,Agregado!G283:G1791)</f>
        <v>#N/A</v>
      </c>
    </row>
    <row r="284" ht="15.75" customHeight="1">
      <c r="A284" s="12">
        <v>43511.0</v>
      </c>
      <c r="B284" s="2">
        <v>277.37</v>
      </c>
      <c r="C284" s="3" t="s">
        <v>168</v>
      </c>
      <c r="D284" s="4" t="str">
        <f t="array" ref="D284">XLOOKUP(Hoja5!A284,Agregado!B1512:B1792,Agregado!G284:G1792)</f>
        <v>#N/A</v>
      </c>
    </row>
    <row r="285" ht="15.75" customHeight="1">
      <c r="A285" s="12">
        <v>43515.0</v>
      </c>
      <c r="B285" s="2">
        <v>277.85</v>
      </c>
      <c r="C285" s="3" t="s">
        <v>169</v>
      </c>
      <c r="D285" s="4" t="str">
        <f t="array" ref="D285">XLOOKUP(Hoja5!A285,Agregado!B1512:B1793,Agregado!G285:G1793)</f>
        <v>#N/A</v>
      </c>
    </row>
    <row r="286" ht="15.75" customHeight="1">
      <c r="A286" s="12">
        <v>43516.0</v>
      </c>
      <c r="B286" s="2">
        <v>278.41</v>
      </c>
      <c r="C286" s="3" t="s">
        <v>170</v>
      </c>
      <c r="D286" s="4" t="str">
        <f t="array" ref="D286">XLOOKUP(Hoja5!A286,Agregado!B1512:B1794,Agregado!G286:G1794)</f>
        <v>#N/A</v>
      </c>
    </row>
    <row r="287" ht="15.75" customHeight="1">
      <c r="A287" s="12">
        <v>43517.0</v>
      </c>
      <c r="B287" s="2">
        <v>277.42</v>
      </c>
      <c r="C287" s="3" t="s">
        <v>171</v>
      </c>
      <c r="D287" s="4" t="str">
        <f t="array" ref="D287">XLOOKUP(Hoja5!A287,Agregado!B1512:B1795,Agregado!G287:G1795)</f>
        <v>#N/A</v>
      </c>
    </row>
    <row r="288" ht="15.75" customHeight="1">
      <c r="A288" s="12">
        <v>43518.0</v>
      </c>
      <c r="B288" s="2">
        <v>279.14</v>
      </c>
      <c r="C288" s="3" t="s">
        <v>172</v>
      </c>
      <c r="D288" s="4" t="str">
        <f t="array" ref="D288">XLOOKUP(Hoja5!A288,Agregado!B1512:B1796,Agregado!G288:G1796)</f>
        <v>#N/A</v>
      </c>
    </row>
    <row r="289" ht="15.75" customHeight="1">
      <c r="A289" s="12">
        <v>43521.0</v>
      </c>
      <c r="B289" s="2">
        <v>279.52</v>
      </c>
      <c r="C289" s="3" t="s">
        <v>173</v>
      </c>
      <c r="D289" s="4" t="str">
        <f t="array" ref="D289">XLOOKUP(Hoja5!A289,Agregado!B1512:B1797,Agregado!G289:G1797)</f>
        <v>#N/A</v>
      </c>
    </row>
    <row r="290" ht="15.75" customHeight="1">
      <c r="A290" s="12">
        <v>43522.0</v>
      </c>
      <c r="B290" s="2">
        <v>279.32</v>
      </c>
      <c r="C290" s="3" t="s">
        <v>174</v>
      </c>
      <c r="D290" s="4" t="str">
        <f t="array" ref="D290">XLOOKUP(Hoja5!A290,Agregado!B1512:B1798,Agregado!G290:G1798)</f>
        <v>#N/A</v>
      </c>
    </row>
    <row r="291" ht="15.75" customHeight="1">
      <c r="A291" s="12">
        <v>43523.0</v>
      </c>
      <c r="B291" s="2">
        <v>279.2</v>
      </c>
      <c r="C291" s="3" t="s">
        <v>175</v>
      </c>
      <c r="D291" s="4" t="str">
        <f t="array" ref="D291">XLOOKUP(Hoja5!A291,Agregado!B1512:B1799,Agregado!G291:G1799)</f>
        <v>#N/A</v>
      </c>
    </row>
    <row r="292" ht="15.75" customHeight="1">
      <c r="A292" s="12">
        <v>43524.0</v>
      </c>
      <c r="B292" s="2">
        <v>278.68</v>
      </c>
      <c r="C292" s="3" t="s">
        <v>176</v>
      </c>
      <c r="D292" s="4" t="str">
        <f t="array" ref="D292">XLOOKUP(Hoja5!A292,Agregado!B1512:B1800,Agregado!G292:G1800)</f>
        <v>#N/A</v>
      </c>
    </row>
    <row r="293" ht="15.75" customHeight="1">
      <c r="A293" s="12">
        <v>43525.0</v>
      </c>
      <c r="B293" s="2">
        <v>280.42</v>
      </c>
      <c r="C293" s="3">
        <v>43468.0</v>
      </c>
      <c r="D293" s="4" t="str">
        <f t="array" ref="D293">XLOOKUP(Hoja5!A293,Agregado!B1512:B1801,Agregado!G293:G1801)</f>
        <v>#N/A</v>
      </c>
    </row>
    <row r="294" ht="15.75" customHeight="1">
      <c r="A294" s="12">
        <v>43528.0</v>
      </c>
      <c r="B294" s="2">
        <v>279.4</v>
      </c>
      <c r="C294" s="3">
        <v>43558.0</v>
      </c>
      <c r="D294" s="4" t="str">
        <f t="array" ref="D294">XLOOKUP(Hoja5!A294,Agregado!B1512:B1802,Agregado!G294:G1802)</f>
        <v>#N/A</v>
      </c>
    </row>
    <row r="295" ht="15.75" customHeight="1">
      <c r="A295" s="12">
        <v>43529.0</v>
      </c>
      <c r="B295" s="2">
        <v>279.02</v>
      </c>
      <c r="C295" s="3">
        <v>43588.0</v>
      </c>
      <c r="D295" s="4" t="str">
        <f t="array" ref="D295">XLOOKUP(Hoja5!A295,Agregado!B1512:B1803,Agregado!G295:G1803)</f>
        <v>#N/A</v>
      </c>
    </row>
    <row r="296" ht="15.75" customHeight="1">
      <c r="A296" s="12">
        <v>43530.0</v>
      </c>
      <c r="B296" s="2">
        <v>277.33</v>
      </c>
      <c r="C296" s="3">
        <v>43619.0</v>
      </c>
      <c r="D296" s="4" t="str">
        <f t="array" ref="D296">XLOOKUP(Hoja5!A296,Agregado!B1512:B1804,Agregado!G296:G1804)</f>
        <v>#N/A</v>
      </c>
    </row>
    <row r="297" ht="15.75" customHeight="1">
      <c r="A297" s="12">
        <v>43531.0</v>
      </c>
      <c r="B297" s="2">
        <v>275.01</v>
      </c>
      <c r="C297" s="3">
        <v>43649.0</v>
      </c>
      <c r="D297" s="4" t="str">
        <f t="array" ref="D297">XLOOKUP(Hoja5!A297,Agregado!B1512:B1805,Agregado!G297:G1805)</f>
        <v>#N/A</v>
      </c>
    </row>
    <row r="298" ht="15.75" customHeight="1">
      <c r="A298" s="12">
        <v>43532.0</v>
      </c>
      <c r="B298" s="2">
        <v>274.46</v>
      </c>
      <c r="C298" s="3">
        <v>43680.0</v>
      </c>
      <c r="D298" s="4" t="str">
        <f t="array" ref="D298">XLOOKUP(Hoja5!A298,Agregado!B1512:B1806,Agregado!G298:G1806)</f>
        <v>#N/A</v>
      </c>
    </row>
    <row r="299" ht="15.75" customHeight="1">
      <c r="A299" s="12">
        <v>43535.0</v>
      </c>
      <c r="B299" s="2">
        <v>278.44</v>
      </c>
      <c r="C299" s="3">
        <v>43772.0</v>
      </c>
      <c r="D299" s="4" t="str">
        <f t="array" ref="D299">XLOOKUP(Hoja5!A299,Agregado!B1512:B1807,Agregado!G299:G1807)</f>
        <v>#N/A</v>
      </c>
    </row>
    <row r="300" ht="15.75" customHeight="1">
      <c r="A300" s="12">
        <v>43536.0</v>
      </c>
      <c r="B300" s="2">
        <v>279.49</v>
      </c>
      <c r="C300" s="3">
        <v>43802.0</v>
      </c>
      <c r="D300" s="4" t="str">
        <f t="array" ref="D300">XLOOKUP(Hoja5!A300,Agregado!B1512:B1808,Agregado!G300:G1808)</f>
        <v>#N/A</v>
      </c>
    </row>
    <row r="301" ht="15.75" customHeight="1">
      <c r="A301" s="12">
        <v>43537.0</v>
      </c>
      <c r="B301" s="2">
        <v>281.34</v>
      </c>
      <c r="C301" s="3" t="s">
        <v>177</v>
      </c>
      <c r="D301" s="4" t="str">
        <f t="array" ref="D301">XLOOKUP(Hoja5!A301,Agregado!B1512:B1809,Agregado!G301:G1809)</f>
        <v>#N/A</v>
      </c>
    </row>
    <row r="302" ht="15.75" customHeight="1">
      <c r="A302" s="12">
        <v>43538.0</v>
      </c>
      <c r="B302" s="2">
        <v>281.16</v>
      </c>
      <c r="C302" s="3" t="s">
        <v>178</v>
      </c>
      <c r="D302" s="4" t="str">
        <f t="array" ref="D302">XLOOKUP(Hoja5!A302,Agregado!B1512:B1810,Agregado!G302:G1810)</f>
        <v>#N/A</v>
      </c>
    </row>
    <row r="303" ht="15.75" customHeight="1">
      <c r="A303" s="12">
        <v>43539.0</v>
      </c>
      <c r="B303" s="2">
        <v>281.31</v>
      </c>
      <c r="C303" s="3" t="s">
        <v>179</v>
      </c>
      <c r="D303" s="4" t="str">
        <f t="array" ref="D303">XLOOKUP(Hoja5!A303,Agregado!B1512:B1811,Agregado!G303:G1811)</f>
        <v>#N/A</v>
      </c>
    </row>
    <row r="304" ht="15.75" customHeight="1">
      <c r="A304" s="12">
        <v>43542.0</v>
      </c>
      <c r="B304" s="2">
        <v>282.33</v>
      </c>
      <c r="C304" s="3" t="s">
        <v>180</v>
      </c>
      <c r="D304" s="4" t="str">
        <f t="array" ref="D304">XLOOKUP(Hoja5!A304,Agregado!B1512:B1812,Agregado!G304:G1812)</f>
        <v>#N/A</v>
      </c>
    </row>
    <row r="305" ht="15.75" customHeight="1">
      <c r="A305" s="12">
        <v>43543.0</v>
      </c>
      <c r="B305" s="2">
        <v>282.4</v>
      </c>
      <c r="C305" s="3" t="s">
        <v>181</v>
      </c>
      <c r="D305" s="4" t="str">
        <f t="array" ref="D305">XLOOKUP(Hoja5!A305,Agregado!B1512:B1813,Agregado!G305:G1813)</f>
        <v>#N/A</v>
      </c>
    </row>
    <row r="306" ht="15.75" customHeight="1">
      <c r="A306" s="12">
        <v>43544.0</v>
      </c>
      <c r="B306" s="2">
        <v>281.55</v>
      </c>
      <c r="C306" s="3" t="s">
        <v>182</v>
      </c>
      <c r="D306" s="4" t="str">
        <f t="array" ref="D306">XLOOKUP(Hoja5!A306,Agregado!B1512:B1814,Agregado!G306:G1814)</f>
        <v>#N/A</v>
      </c>
    </row>
    <row r="307" ht="15.75" customHeight="1">
      <c r="A307" s="12">
        <v>43545.0</v>
      </c>
      <c r="B307" s="2">
        <v>284.73</v>
      </c>
      <c r="C307" s="3" t="s">
        <v>183</v>
      </c>
      <c r="D307" s="4" t="str">
        <f t="array" ref="D307">XLOOKUP(Hoja5!A307,Agregado!B1512:B1815,Agregado!G307:G1815)</f>
        <v>#N/A</v>
      </c>
    </row>
    <row r="308" ht="15.75" customHeight="1">
      <c r="A308" s="12">
        <v>43546.0</v>
      </c>
      <c r="B308" s="2">
        <v>279.25</v>
      </c>
      <c r="C308" s="3" t="s">
        <v>184</v>
      </c>
      <c r="D308" s="4" t="str">
        <f t="array" ref="D308">XLOOKUP(Hoja5!A308,Agregado!B1512:B1816,Agregado!G308:G1816)</f>
        <v>#N/A</v>
      </c>
    </row>
    <row r="309" ht="15.75" customHeight="1">
      <c r="A309" s="12">
        <v>43549.0</v>
      </c>
      <c r="B309" s="2">
        <v>279.04</v>
      </c>
      <c r="C309" s="3" t="s">
        <v>185</v>
      </c>
      <c r="D309" s="4" t="str">
        <f t="array" ref="D309">XLOOKUP(Hoja5!A309,Agregado!B1512:B1817,Agregado!G309:G1817)</f>
        <v>#N/A</v>
      </c>
    </row>
    <row r="310" ht="15.75" customHeight="1">
      <c r="A310" s="12">
        <v>43550.0</v>
      </c>
      <c r="B310" s="2">
        <v>281.12</v>
      </c>
      <c r="C310" s="3" t="s">
        <v>186</v>
      </c>
      <c r="D310" s="4" t="str">
        <f t="array" ref="D310">XLOOKUP(Hoja5!A310,Agregado!B1512:B1818,Agregado!G310:G1818)</f>
        <v>#N/A</v>
      </c>
    </row>
    <row r="311" ht="15.75" customHeight="1">
      <c r="A311" s="12">
        <v>43551.0</v>
      </c>
      <c r="B311" s="2">
        <v>279.65</v>
      </c>
      <c r="C311" s="3" t="s">
        <v>187</v>
      </c>
      <c r="D311" s="4" t="str">
        <f t="array" ref="D311">XLOOKUP(Hoja5!A311,Agregado!B1512:B1819,Agregado!G311:G1819)</f>
        <v>#N/A</v>
      </c>
    </row>
    <row r="312" ht="15.75" customHeight="1">
      <c r="A312" s="12">
        <v>43552.0</v>
      </c>
      <c r="B312" s="2">
        <v>280.71</v>
      </c>
      <c r="C312" s="3" t="s">
        <v>188</v>
      </c>
      <c r="D312" s="4" t="str">
        <f t="array" ref="D312">XLOOKUP(Hoja5!A312,Agregado!B1512:B1820,Agregado!G312:G1820)</f>
        <v>#N/A</v>
      </c>
    </row>
    <row r="313" ht="15.75" customHeight="1">
      <c r="A313" s="12">
        <v>43553.0</v>
      </c>
      <c r="B313" s="2">
        <v>282.48</v>
      </c>
      <c r="C313" s="3" t="s">
        <v>189</v>
      </c>
      <c r="D313" s="4" t="str">
        <f t="array" ref="D313">XLOOKUP(Hoja5!A313,Agregado!B1512:B1821,Agregado!G313:G1821)</f>
        <v>#N/A</v>
      </c>
    </row>
    <row r="314" ht="15.75" customHeight="1">
      <c r="A314" s="12">
        <v>43556.0</v>
      </c>
      <c r="B314" s="2">
        <v>285.83</v>
      </c>
      <c r="C314" s="3">
        <v>43469.0</v>
      </c>
      <c r="D314" s="4" t="str">
        <f t="array" ref="D314">XLOOKUP(Hoja5!A314,Agregado!B1512:B1822,Agregado!G314:G1822)</f>
        <v>#N/A</v>
      </c>
    </row>
    <row r="315" ht="15.75" customHeight="1">
      <c r="A315" s="12">
        <v>43557.0</v>
      </c>
      <c r="B315" s="2">
        <v>285.97</v>
      </c>
      <c r="C315" s="3">
        <v>43500.0</v>
      </c>
      <c r="D315" s="4" t="str">
        <f t="array" ref="D315">XLOOKUP(Hoja5!A315,Agregado!B1512:B1823,Agregado!G315:G1823)</f>
        <v>#N/A</v>
      </c>
    </row>
    <row r="316" ht="15.75" customHeight="1">
      <c r="A316" s="12">
        <v>43558.0</v>
      </c>
      <c r="B316" s="2">
        <v>286.42</v>
      </c>
      <c r="C316" s="3">
        <v>43528.0</v>
      </c>
      <c r="D316" s="4" t="str">
        <f t="array" ref="D316">XLOOKUP(Hoja5!A316,Agregado!B1512:B1824,Agregado!G316:G1824)</f>
        <v>#N/A</v>
      </c>
    </row>
    <row r="317" ht="15.75" customHeight="1">
      <c r="A317" s="12">
        <v>43559.0</v>
      </c>
      <c r="B317" s="2">
        <v>287.18</v>
      </c>
      <c r="C317" s="3">
        <v>43559.0</v>
      </c>
      <c r="D317" s="4" t="str">
        <f t="array" ref="D317">XLOOKUP(Hoja5!A317,Agregado!B1512:B1825,Agregado!G317:G1825)</f>
        <v>#N/A</v>
      </c>
    </row>
    <row r="318" ht="15.75" customHeight="1">
      <c r="A318" s="12">
        <v>43560.0</v>
      </c>
      <c r="B318" s="2">
        <v>288.57</v>
      </c>
      <c r="C318" s="3">
        <v>43589.0</v>
      </c>
      <c r="D318" s="4" t="str">
        <f t="array" ref="D318">XLOOKUP(Hoja5!A318,Agregado!B1512:B1826,Agregado!G318:G1826)</f>
        <v>#N/A</v>
      </c>
    </row>
    <row r="319" ht="15.75" customHeight="1">
      <c r="A319" s="12">
        <v>43563.0</v>
      </c>
      <c r="B319" s="2">
        <v>288.79</v>
      </c>
      <c r="C319" s="3">
        <v>43681.0</v>
      </c>
      <c r="D319" s="4" t="str">
        <f t="array" ref="D319">XLOOKUP(Hoja5!A319,Agregado!B1512:B1827,Agregado!G319:G1827)</f>
        <v>#N/A</v>
      </c>
    </row>
    <row r="320" ht="15.75" customHeight="1">
      <c r="A320" s="12">
        <v>43564.0</v>
      </c>
      <c r="B320" s="2">
        <v>287.31</v>
      </c>
      <c r="C320" s="3">
        <v>43712.0</v>
      </c>
      <c r="D320" s="4" t="str">
        <f t="array" ref="D320">XLOOKUP(Hoja5!A320,Agregado!B1512:B1828,Agregado!G320:G1828)</f>
        <v>#N/A</v>
      </c>
    </row>
    <row r="321" ht="15.75" customHeight="1">
      <c r="A321" s="12">
        <v>43565.0</v>
      </c>
      <c r="B321" s="2">
        <v>288.29</v>
      </c>
      <c r="C321" s="3">
        <v>43742.0</v>
      </c>
      <c r="D321" s="4" t="str">
        <f t="array" ref="D321">XLOOKUP(Hoja5!A321,Agregado!B1512:B1829,Agregado!G321:G1829)</f>
        <v>#N/A</v>
      </c>
    </row>
    <row r="322" ht="15.75" customHeight="1">
      <c r="A322" s="12">
        <v>43566.0</v>
      </c>
      <c r="B322" s="2">
        <v>288.21</v>
      </c>
      <c r="C322" s="3">
        <v>43773.0</v>
      </c>
      <c r="D322" s="4" t="str">
        <f t="array" ref="D322">XLOOKUP(Hoja5!A322,Agregado!B1512:B1830,Agregado!G322:G1830)</f>
        <v>#N/A</v>
      </c>
    </row>
    <row r="323" ht="15.75" customHeight="1">
      <c r="A323" s="12">
        <v>43567.0</v>
      </c>
      <c r="B323" s="2">
        <v>290.16</v>
      </c>
      <c r="C323" s="3">
        <v>43803.0</v>
      </c>
      <c r="D323" s="4" t="str">
        <f t="array" ref="D323">XLOOKUP(Hoja5!A323,Agregado!B1512:B1831,Agregado!G323:G1831)</f>
        <v>#N/A</v>
      </c>
    </row>
    <row r="324" ht="15.75" customHeight="1">
      <c r="A324" s="12">
        <v>43570.0</v>
      </c>
      <c r="B324" s="2">
        <v>289.97</v>
      </c>
      <c r="C324" s="3" t="s">
        <v>190</v>
      </c>
      <c r="D324" s="4" t="str">
        <f t="array" ref="D324">XLOOKUP(Hoja5!A324,Agregado!B1512:B1832,Agregado!G324:G1832)</f>
        <v>#N/A</v>
      </c>
    </row>
    <row r="325" ht="15.75" customHeight="1">
      <c r="A325" s="12">
        <v>43571.0</v>
      </c>
      <c r="B325" s="2">
        <v>290.16</v>
      </c>
      <c r="C325" s="3" t="s">
        <v>191</v>
      </c>
      <c r="D325" s="4" t="str">
        <f t="array" ref="D325">XLOOKUP(Hoja5!A325,Agregado!B1512:B1833,Agregado!G325:G1833)</f>
        <v>#N/A</v>
      </c>
    </row>
    <row r="326" ht="15.75" customHeight="1">
      <c r="A326" s="12">
        <v>43572.0</v>
      </c>
      <c r="B326" s="2">
        <v>289.45</v>
      </c>
      <c r="C326" s="3" t="s">
        <v>192</v>
      </c>
      <c r="D326" s="4" t="str">
        <f t="array" ref="D326">XLOOKUP(Hoja5!A326,Agregado!B1512:B1834,Agregado!G326:G1834)</f>
        <v>#N/A</v>
      </c>
    </row>
    <row r="327" ht="15.75" customHeight="1">
      <c r="A327" s="12">
        <v>43573.0</v>
      </c>
      <c r="B327" s="2">
        <v>290.02</v>
      </c>
      <c r="C327" s="3" t="s">
        <v>193</v>
      </c>
      <c r="D327" s="4" t="str">
        <f t="array" ref="D327">XLOOKUP(Hoja5!A327,Agregado!B1512:B1835,Agregado!G327:G1835)</f>
        <v>#N/A</v>
      </c>
    </row>
    <row r="328" ht="15.75" customHeight="1">
      <c r="A328" s="12">
        <v>43577.0</v>
      </c>
      <c r="B328" s="2">
        <v>290.27</v>
      </c>
      <c r="C328" s="3" t="s">
        <v>194</v>
      </c>
      <c r="D328" s="4" t="str">
        <f t="array" ref="D328">XLOOKUP(Hoja5!A328,Agregado!B1512:B1836,Agregado!G328:G1836)</f>
        <v>#N/A</v>
      </c>
    </row>
    <row r="329" ht="15.75" customHeight="1">
      <c r="A329" s="12">
        <v>43578.0</v>
      </c>
      <c r="B329" s="2">
        <v>292.88</v>
      </c>
      <c r="C329" s="3" t="s">
        <v>195</v>
      </c>
      <c r="D329" s="4" t="str">
        <f t="array" ref="D329">XLOOKUP(Hoja5!A329,Agregado!B1512:B1837,Agregado!G329:G1837)</f>
        <v>#N/A</v>
      </c>
    </row>
    <row r="330" ht="15.75" customHeight="1">
      <c r="A330" s="12">
        <v>43579.0</v>
      </c>
      <c r="B330" s="2">
        <v>292.23</v>
      </c>
      <c r="C330" s="3" t="s">
        <v>196</v>
      </c>
      <c r="D330" s="4" t="str">
        <f t="array" ref="D330">XLOOKUP(Hoja5!A330,Agregado!B1512:B1838,Agregado!G330:G1838)</f>
        <v>#N/A</v>
      </c>
    </row>
    <row r="331" ht="15.75" customHeight="1">
      <c r="A331" s="12">
        <v>43580.0</v>
      </c>
      <c r="B331" s="2">
        <v>292.05</v>
      </c>
      <c r="C331" s="3" t="s">
        <v>197</v>
      </c>
      <c r="D331" s="4" t="str">
        <f t="array" ref="D331">XLOOKUP(Hoja5!A331,Agregado!B1512:B1839,Agregado!G331:G1839)</f>
        <v>#N/A</v>
      </c>
    </row>
    <row r="332" ht="15.75" customHeight="1">
      <c r="A332" s="12">
        <v>43581.0</v>
      </c>
      <c r="B332" s="2">
        <v>293.41</v>
      </c>
      <c r="C332" s="3" t="s">
        <v>198</v>
      </c>
      <c r="D332" s="4" t="str">
        <f t="array" ref="D332">XLOOKUP(Hoja5!A332,Agregado!B1512:B1840,Agregado!G332:G1840)</f>
        <v>#N/A</v>
      </c>
    </row>
    <row r="333" ht="15.75" customHeight="1">
      <c r="A333" s="12">
        <v>43584.0</v>
      </c>
      <c r="B333" s="2">
        <v>293.87</v>
      </c>
      <c r="C333" s="3" t="s">
        <v>199</v>
      </c>
      <c r="D333" s="4" t="str">
        <f t="array" ref="D333">XLOOKUP(Hoja5!A333,Agregado!B1512:B1841,Agregado!G333:G1841)</f>
        <v>#N/A</v>
      </c>
    </row>
    <row r="334" ht="15.75" customHeight="1">
      <c r="A334" s="12">
        <v>43585.0</v>
      </c>
      <c r="B334" s="2">
        <v>294.02</v>
      </c>
      <c r="C334" s="3" t="s">
        <v>200</v>
      </c>
      <c r="D334" s="4" t="str">
        <f t="array" ref="D334">XLOOKUP(Hoja5!A334,Agregado!B1512:B1842,Agregado!G334:G1842)</f>
        <v>#N/A</v>
      </c>
    </row>
    <row r="335" ht="15.75" customHeight="1">
      <c r="A335" s="12">
        <v>43586.0</v>
      </c>
      <c r="B335" s="2">
        <v>291.81</v>
      </c>
      <c r="C335" s="3">
        <v>43470.0</v>
      </c>
      <c r="D335" s="4" t="str">
        <f t="array" ref="D335">XLOOKUP(Hoja5!A335,Agregado!B1512:B1843,Agregado!G335:G1843)</f>
        <v>#N/A</v>
      </c>
    </row>
    <row r="336" ht="15.75" customHeight="1">
      <c r="A336" s="12">
        <v>43587.0</v>
      </c>
      <c r="B336" s="2">
        <v>291.18</v>
      </c>
      <c r="C336" s="3">
        <v>43501.0</v>
      </c>
      <c r="D336" s="4" t="str">
        <f t="array" ref="D336">XLOOKUP(Hoja5!A336,Agregado!B1512:B1844,Agregado!G336:G1844)</f>
        <v>#N/A</v>
      </c>
    </row>
    <row r="337" ht="15.75" customHeight="1">
      <c r="A337" s="12">
        <v>43588.0</v>
      </c>
      <c r="B337" s="2">
        <v>294.03</v>
      </c>
      <c r="C337" s="3">
        <v>43529.0</v>
      </c>
      <c r="D337" s="4" t="str">
        <f t="array" ref="D337">XLOOKUP(Hoja5!A337,Agregado!B1512:B1845,Agregado!G337:G1845)</f>
        <v>#N/A</v>
      </c>
    </row>
    <row r="338" ht="15.75" customHeight="1">
      <c r="A338" s="12">
        <v>43591.0</v>
      </c>
      <c r="B338" s="2">
        <v>292.82</v>
      </c>
      <c r="C338" s="3">
        <v>43621.0</v>
      </c>
      <c r="D338" s="4" t="str">
        <f t="array" ref="D338">XLOOKUP(Hoja5!A338,Agregado!B1512:B1846,Agregado!G338:G1846)</f>
        <v>#N/A</v>
      </c>
    </row>
    <row r="339" ht="15.75" customHeight="1">
      <c r="A339" s="12">
        <v>43592.0</v>
      </c>
      <c r="B339" s="2">
        <v>287.93</v>
      </c>
      <c r="C339" s="3">
        <v>43651.0</v>
      </c>
      <c r="D339" s="4" t="str">
        <f t="array" ref="D339">XLOOKUP(Hoja5!A339,Agregado!B1512:B1847,Agregado!G339:G1847)</f>
        <v>#N/A</v>
      </c>
    </row>
    <row r="340" ht="15.75" customHeight="1">
      <c r="A340" s="12">
        <v>43593.0</v>
      </c>
      <c r="B340" s="2">
        <v>287.53</v>
      </c>
      <c r="C340" s="3">
        <v>43682.0</v>
      </c>
      <c r="D340" s="4" t="str">
        <f t="array" ref="D340">XLOOKUP(Hoja5!A340,Agregado!B1512:B1848,Agregado!G340:G1848)</f>
        <v>#N/A</v>
      </c>
    </row>
    <row r="341" ht="15.75" customHeight="1">
      <c r="A341" s="12">
        <v>43594.0</v>
      </c>
      <c r="B341" s="2">
        <v>286.66</v>
      </c>
      <c r="C341" s="3">
        <v>43713.0</v>
      </c>
      <c r="D341" s="4" t="str">
        <f t="array" ref="D341">XLOOKUP(Hoja5!A341,Agregado!B1512:B1849,Agregado!G341:G1849)</f>
        <v>#N/A</v>
      </c>
    </row>
    <row r="342" ht="15.75" customHeight="1">
      <c r="A342" s="12">
        <v>43595.0</v>
      </c>
      <c r="B342" s="2">
        <v>288.1</v>
      </c>
      <c r="C342" s="3">
        <v>43743.0</v>
      </c>
      <c r="D342" s="4" t="str">
        <f t="array" ref="D342">XLOOKUP(Hoja5!A342,Agregado!B1512:B1850,Agregado!G342:G1850)</f>
        <v>#N/A</v>
      </c>
    </row>
    <row r="343" ht="15.75" customHeight="1">
      <c r="A343" s="12">
        <v>43598.0</v>
      </c>
      <c r="B343" s="2">
        <v>280.86</v>
      </c>
      <c r="C343" s="3" t="s">
        <v>201</v>
      </c>
      <c r="D343" s="4" t="str">
        <f t="array" ref="D343">XLOOKUP(Hoja5!A343,Agregado!B1512:B1851,Agregado!G343:G1851)</f>
        <v>#N/A</v>
      </c>
    </row>
    <row r="344" ht="15.75" customHeight="1">
      <c r="A344" s="12">
        <v>43599.0</v>
      </c>
      <c r="B344" s="2">
        <v>283.4</v>
      </c>
      <c r="C344" s="3" t="s">
        <v>202</v>
      </c>
      <c r="D344" s="4" t="str">
        <f t="array" ref="D344">XLOOKUP(Hoja5!A344,Agregado!B1512:B1852,Agregado!G344:G1852)</f>
        <v>#N/A</v>
      </c>
    </row>
    <row r="345" ht="15.75" customHeight="1">
      <c r="A345" s="12">
        <v>43600.0</v>
      </c>
      <c r="B345" s="2">
        <v>285.06</v>
      </c>
      <c r="C345" s="3" t="s">
        <v>203</v>
      </c>
      <c r="D345" s="4" t="str">
        <f t="array" ref="D345">XLOOKUP(Hoja5!A345,Agregado!B1512:B1853,Agregado!G345:G1853)</f>
        <v>#N/A</v>
      </c>
    </row>
    <row r="346" ht="15.75" customHeight="1">
      <c r="A346" s="12">
        <v>43601.0</v>
      </c>
      <c r="B346" s="2">
        <v>287.7</v>
      </c>
      <c r="C346" s="3" t="s">
        <v>204</v>
      </c>
      <c r="D346" s="4" t="str">
        <f t="array" ref="D346">XLOOKUP(Hoja5!A346,Agregado!B1512:B1854,Agregado!G346:G1854)</f>
        <v>#N/A</v>
      </c>
    </row>
    <row r="347" ht="15.75" customHeight="1">
      <c r="A347" s="12">
        <v>43602.0</v>
      </c>
      <c r="B347" s="2">
        <v>285.84</v>
      </c>
      <c r="C347" s="3" t="s">
        <v>205</v>
      </c>
      <c r="D347" s="4" t="str">
        <f t="array" ref="D347">XLOOKUP(Hoja5!A347,Agregado!B1512:B1855,Agregado!G347:G1855)</f>
        <v>#N/A</v>
      </c>
    </row>
    <row r="348" ht="15.75" customHeight="1">
      <c r="A348" s="12">
        <v>43605.0</v>
      </c>
      <c r="B348" s="2">
        <v>283.95</v>
      </c>
      <c r="C348" s="3" t="s">
        <v>206</v>
      </c>
      <c r="D348" s="4" t="str">
        <f t="array" ref="D348">XLOOKUP(Hoja5!A348,Agregado!B1512:B1856,Agregado!G348:G1856)</f>
        <v>#N/A</v>
      </c>
    </row>
    <row r="349" ht="15.75" customHeight="1">
      <c r="A349" s="12">
        <v>43606.0</v>
      </c>
      <c r="B349" s="2">
        <v>286.51</v>
      </c>
      <c r="C349" s="3" t="s">
        <v>207</v>
      </c>
      <c r="D349" s="4" t="str">
        <f t="array" ref="D349">XLOOKUP(Hoja5!A349,Agregado!B1512:B1857,Agregado!G349:G1857)</f>
        <v>#N/A</v>
      </c>
    </row>
    <row r="350" ht="15.75" customHeight="1">
      <c r="A350" s="12">
        <v>43607.0</v>
      </c>
      <c r="B350" s="2">
        <v>285.63</v>
      </c>
      <c r="C350" s="3" t="s">
        <v>208</v>
      </c>
      <c r="D350" s="4" t="str">
        <f t="array" ref="D350">XLOOKUP(Hoja5!A350,Agregado!B1512:B1858,Agregado!G350:G1858)</f>
        <v>#N/A</v>
      </c>
    </row>
    <row r="351" ht="15.75" customHeight="1">
      <c r="A351" s="12">
        <v>43608.0</v>
      </c>
      <c r="B351" s="2">
        <v>282.14</v>
      </c>
      <c r="C351" s="3" t="s">
        <v>209</v>
      </c>
      <c r="D351" s="4" t="str">
        <f t="array" ref="D351">XLOOKUP(Hoja5!A351,Agregado!B1512:B1859,Agregado!G351:G1859)</f>
        <v>#N/A</v>
      </c>
    </row>
    <row r="352" ht="15.75" customHeight="1">
      <c r="A352" s="12">
        <v>43609.0</v>
      </c>
      <c r="B352" s="2">
        <v>282.78</v>
      </c>
      <c r="C352" s="3" t="s">
        <v>210</v>
      </c>
      <c r="D352" s="4" t="str">
        <f t="array" ref="D352">XLOOKUP(Hoja5!A352,Agregado!B1512:B1860,Agregado!G352:G1860)</f>
        <v>#N/A</v>
      </c>
    </row>
    <row r="353" ht="15.75" customHeight="1">
      <c r="A353" s="12">
        <v>43613.0</v>
      </c>
      <c r="B353" s="2">
        <v>280.15</v>
      </c>
      <c r="C353" s="3" t="s">
        <v>211</v>
      </c>
      <c r="D353" s="4" t="str">
        <f t="array" ref="D353">XLOOKUP(Hoja5!A353,Agregado!B1512:B1861,Agregado!G353:G1861)</f>
        <v>#N/A</v>
      </c>
    </row>
    <row r="354" ht="15.75" customHeight="1">
      <c r="A354" s="12">
        <v>43614.0</v>
      </c>
      <c r="B354" s="2">
        <v>278.27</v>
      </c>
      <c r="C354" s="3" t="s">
        <v>212</v>
      </c>
      <c r="D354" s="4" t="str">
        <f t="array" ref="D354">XLOOKUP(Hoja5!A354,Agregado!B1512:B1862,Agregado!G354:G1862)</f>
        <v>#N/A</v>
      </c>
    </row>
    <row r="355" ht="15.75" customHeight="1">
      <c r="A355" s="12">
        <v>43615.0</v>
      </c>
      <c r="B355" s="2">
        <v>279.03</v>
      </c>
      <c r="C355" s="3" t="s">
        <v>213</v>
      </c>
      <c r="D355" s="4" t="str">
        <f t="array" ref="D355">XLOOKUP(Hoja5!A355,Agregado!B1512:B1863,Agregado!G355:G1863)</f>
        <v>#N/A</v>
      </c>
    </row>
    <row r="356" ht="15.75" customHeight="1">
      <c r="A356" s="12">
        <v>43616.0</v>
      </c>
      <c r="B356" s="2">
        <v>275.27</v>
      </c>
      <c r="C356" s="3" t="s">
        <v>214</v>
      </c>
      <c r="D356" s="4" t="str">
        <f t="array" ref="D356">XLOOKUP(Hoja5!A356,Agregado!B1512:B1864,Agregado!G356:G1864)</f>
        <v>#N/A</v>
      </c>
    </row>
    <row r="357" ht="15.75" customHeight="1">
      <c r="A357" s="12">
        <v>43619.0</v>
      </c>
      <c r="B357" s="2">
        <v>274.57</v>
      </c>
      <c r="C357" s="3">
        <v>43530.0</v>
      </c>
      <c r="D357" s="4" t="str">
        <f t="array" ref="D357">XLOOKUP(Hoja5!A357,Agregado!B1512:B1865,Agregado!G357:G1865)</f>
        <v>#N/A</v>
      </c>
    </row>
    <row r="358" ht="15.75" customHeight="1">
      <c r="A358" s="12">
        <v>43620.0</v>
      </c>
      <c r="B358" s="2">
        <v>280.53</v>
      </c>
      <c r="C358" s="3">
        <v>43561.0</v>
      </c>
      <c r="D358" s="4" t="str">
        <f t="array" ref="D358">XLOOKUP(Hoja5!A358,Agregado!B1512:B1866,Agregado!G358:G1866)</f>
        <v>#N/A</v>
      </c>
    </row>
    <row r="359" ht="15.75" customHeight="1">
      <c r="A359" s="12">
        <v>43621.0</v>
      </c>
      <c r="B359" s="2">
        <v>282.96</v>
      </c>
      <c r="C359" s="3">
        <v>43591.0</v>
      </c>
      <c r="D359" s="4" t="str">
        <f t="array" ref="D359">XLOOKUP(Hoja5!A359,Agregado!B1512:B1867,Agregado!G359:G1867)</f>
        <v>#N/A</v>
      </c>
    </row>
    <row r="360" ht="15.75" customHeight="1">
      <c r="A360" s="12">
        <v>43622.0</v>
      </c>
      <c r="B360" s="2">
        <v>284.8</v>
      </c>
      <c r="C360" s="3">
        <v>43622.0</v>
      </c>
      <c r="D360" s="4" t="str">
        <f t="array" ref="D360">XLOOKUP(Hoja5!A360,Agregado!B1512:B1868,Agregado!G360:G1868)</f>
        <v>#N/A</v>
      </c>
    </row>
    <row r="361" ht="15.75" customHeight="1">
      <c r="A361" s="12">
        <v>43623.0</v>
      </c>
      <c r="B361" s="2">
        <v>287.65</v>
      </c>
      <c r="C361" s="3">
        <v>43652.0</v>
      </c>
      <c r="D361" s="4" t="str">
        <f t="array" ref="D361">XLOOKUP(Hoja5!A361,Agregado!B1512:B1869,Agregado!G361:G1869)</f>
        <v>#N/A</v>
      </c>
    </row>
    <row r="362" ht="15.75" customHeight="1">
      <c r="A362" s="12">
        <v>43626.0</v>
      </c>
      <c r="B362" s="2">
        <v>288.97</v>
      </c>
      <c r="C362" s="3">
        <v>43744.0</v>
      </c>
      <c r="D362" s="4" t="str">
        <f t="array" ref="D362">XLOOKUP(Hoja5!A362,Agregado!B1512:B1870,Agregado!G362:G1870)</f>
        <v>#N/A</v>
      </c>
    </row>
    <row r="363" ht="15.75" customHeight="1">
      <c r="A363" s="12">
        <v>43627.0</v>
      </c>
      <c r="B363" s="2">
        <v>288.9</v>
      </c>
      <c r="C363" s="3">
        <v>43775.0</v>
      </c>
      <c r="D363" s="4" t="str">
        <f t="array" ref="D363">XLOOKUP(Hoja5!A363,Agregado!B1512:B1871,Agregado!G363:G1871)</f>
        <v>#N/A</v>
      </c>
    </row>
    <row r="364" ht="15.75" customHeight="1">
      <c r="A364" s="12">
        <v>43628.0</v>
      </c>
      <c r="B364" s="2">
        <v>288.39</v>
      </c>
      <c r="C364" s="3">
        <v>43805.0</v>
      </c>
      <c r="D364" s="4" t="str">
        <f t="array" ref="D364">XLOOKUP(Hoja5!A364,Agregado!B1512:B1872,Agregado!G364:G1872)</f>
        <v>#N/A</v>
      </c>
    </row>
    <row r="365" ht="15.75" customHeight="1">
      <c r="A365" s="12">
        <v>43629.0</v>
      </c>
      <c r="B365" s="2">
        <v>289.58</v>
      </c>
      <c r="C365" s="3" t="s">
        <v>215</v>
      </c>
      <c r="D365" s="4" t="str">
        <f t="array" ref="D365">XLOOKUP(Hoja5!A365,Agregado!B1512:B1873,Agregado!G365:G1873)</f>
        <v>#N/A</v>
      </c>
    </row>
    <row r="366" ht="15.75" customHeight="1">
      <c r="A366" s="12">
        <v>43630.0</v>
      </c>
      <c r="B366" s="2">
        <v>289.26</v>
      </c>
      <c r="C366" s="3" t="s">
        <v>216</v>
      </c>
      <c r="D366" s="4" t="str">
        <f t="array" ref="D366">XLOOKUP(Hoja5!A366,Agregado!B1512:B1874,Agregado!G366:G1874)</f>
        <v>#N/A</v>
      </c>
    </row>
    <row r="367" ht="15.75" customHeight="1">
      <c r="A367" s="12">
        <v>43633.0</v>
      </c>
      <c r="B367" s="2">
        <v>289.37</v>
      </c>
      <c r="C367" s="3" t="s">
        <v>217</v>
      </c>
      <c r="D367" s="4" t="str">
        <f t="array" ref="D367">XLOOKUP(Hoja5!A367,Agregado!B1512:B1875,Agregado!G367:G1875)</f>
        <v>#N/A</v>
      </c>
    </row>
    <row r="368" ht="15.75" customHeight="1">
      <c r="A368" s="12">
        <v>43634.0</v>
      </c>
      <c r="B368" s="2">
        <v>292.4</v>
      </c>
      <c r="C368" s="3" t="s">
        <v>218</v>
      </c>
      <c r="D368" s="4" t="str">
        <f t="array" ref="D368">XLOOKUP(Hoja5!A368,Agregado!B1512:B1876,Agregado!G368:G1876)</f>
        <v>#N/A</v>
      </c>
    </row>
    <row r="369" ht="15.75" customHeight="1">
      <c r="A369" s="12">
        <v>43635.0</v>
      </c>
      <c r="B369" s="2">
        <v>293.06</v>
      </c>
      <c r="C369" s="3" t="s">
        <v>219</v>
      </c>
      <c r="D369" s="4" t="str">
        <f t="array" ref="D369">XLOOKUP(Hoja5!A369,Agregado!B1512:B1877,Agregado!G369:G1877)</f>
        <v>#N/A</v>
      </c>
    </row>
    <row r="370" ht="15.75" customHeight="1">
      <c r="A370" s="12">
        <v>43636.0</v>
      </c>
      <c r="B370" s="2">
        <v>295.86</v>
      </c>
      <c r="C370" s="3" t="s">
        <v>220</v>
      </c>
      <c r="D370" s="4" t="str">
        <f t="array" ref="D370">XLOOKUP(Hoja5!A370,Agregado!B1512:B1878,Agregado!G370:G1878)</f>
        <v>#N/A</v>
      </c>
    </row>
    <row r="371" ht="15.75" customHeight="1">
      <c r="A371" s="12">
        <v>43637.0</v>
      </c>
      <c r="B371" s="2">
        <v>294.0</v>
      </c>
      <c r="C371" s="3" t="s">
        <v>221</v>
      </c>
      <c r="D371" s="4" t="str">
        <f t="array" ref="D371">XLOOKUP(Hoja5!A371,Agregado!B1512:B1879,Agregado!G371:G1879)</f>
        <v>#N/A</v>
      </c>
    </row>
    <row r="372" ht="15.75" customHeight="1">
      <c r="A372" s="12">
        <v>43640.0</v>
      </c>
      <c r="B372" s="2">
        <v>293.64</v>
      </c>
      <c r="C372" s="3" t="s">
        <v>222</v>
      </c>
      <c r="D372" s="4" t="str">
        <f t="array" ref="D372">XLOOKUP(Hoja5!A372,Agregado!B1512:B1880,Agregado!G372:G1880)</f>
        <v>#N/A</v>
      </c>
    </row>
    <row r="373" ht="15.75" customHeight="1">
      <c r="A373" s="12">
        <v>43641.0</v>
      </c>
      <c r="B373" s="2">
        <v>290.76</v>
      </c>
      <c r="C373" s="3" t="s">
        <v>223</v>
      </c>
      <c r="D373" s="4" t="str">
        <f t="array" ref="D373">XLOOKUP(Hoja5!A373,Agregado!B1512:B1881,Agregado!G373:G1881)</f>
        <v>#N/A</v>
      </c>
    </row>
    <row r="374" ht="15.75" customHeight="1">
      <c r="A374" s="12">
        <v>43642.0</v>
      </c>
      <c r="B374" s="2">
        <v>290.47</v>
      </c>
      <c r="C374" s="3" t="s">
        <v>224</v>
      </c>
      <c r="D374" s="4" t="str">
        <f t="array" ref="D374">XLOOKUP(Hoja5!A374,Agregado!B1512:B1882,Agregado!G374:G1882)</f>
        <v>#N/A</v>
      </c>
    </row>
    <row r="375" ht="15.75" customHeight="1">
      <c r="A375" s="12">
        <v>43643.0</v>
      </c>
      <c r="B375" s="2">
        <v>291.5</v>
      </c>
      <c r="C375" s="3" t="s">
        <v>225</v>
      </c>
      <c r="D375" s="4" t="str">
        <f t="array" ref="D375">XLOOKUP(Hoja5!A375,Agregado!B1512:B1883,Agregado!G375:G1883)</f>
        <v>#N/A</v>
      </c>
    </row>
    <row r="376" ht="15.75" customHeight="1">
      <c r="A376" s="12">
        <v>43644.0</v>
      </c>
      <c r="B376" s="2">
        <v>293.0</v>
      </c>
      <c r="C376" s="3" t="s">
        <v>226</v>
      </c>
      <c r="D376" s="4" t="str">
        <f t="array" ref="D376">XLOOKUP(Hoja5!A376,Agregado!B1512:B1884,Agregado!G376:G1884)</f>
        <v>#N/A</v>
      </c>
    </row>
    <row r="377" ht="15.75" customHeight="1">
      <c r="A377" s="12">
        <v>43647.0</v>
      </c>
      <c r="B377" s="2">
        <v>295.66</v>
      </c>
      <c r="C377" s="3">
        <v>43472.0</v>
      </c>
      <c r="D377" s="4" t="str">
        <f t="array" ref="D377">XLOOKUP(Hoja5!A377,Agregado!B1512:B1885,Agregado!G377:G1885)</f>
        <v>#N/A</v>
      </c>
    </row>
    <row r="378" ht="15.75" customHeight="1">
      <c r="A378" s="12">
        <v>43648.0</v>
      </c>
      <c r="B378" s="2">
        <v>296.43</v>
      </c>
      <c r="C378" s="3">
        <v>43503.0</v>
      </c>
      <c r="D378" s="4" t="str">
        <f t="array" ref="D378">XLOOKUP(Hoja5!A378,Agregado!B1512:B1886,Agregado!G378:G1886)</f>
        <v>#N/A</v>
      </c>
    </row>
    <row r="379" ht="15.75" customHeight="1">
      <c r="A379" s="12">
        <v>43649.0</v>
      </c>
      <c r="B379" s="2">
        <v>298.8</v>
      </c>
      <c r="C379" s="3">
        <v>43531.0</v>
      </c>
      <c r="D379" s="4" t="str">
        <f t="array" ref="D379">XLOOKUP(Hoja5!A379,Agregado!B1512:B1887,Agregado!G379:G1887)</f>
        <v>#N/A</v>
      </c>
    </row>
    <row r="380" ht="15.75" customHeight="1">
      <c r="A380" s="12">
        <v>43651.0</v>
      </c>
      <c r="B380" s="2">
        <v>298.46</v>
      </c>
      <c r="C380" s="3">
        <v>43592.0</v>
      </c>
      <c r="D380" s="4" t="str">
        <f t="array" ref="D380">XLOOKUP(Hoja5!A380,Agregado!B1512:B1888,Agregado!G380:G1888)</f>
        <v>#N/A</v>
      </c>
    </row>
    <row r="381" ht="15.75" customHeight="1">
      <c r="A381" s="12">
        <v>43654.0</v>
      </c>
      <c r="B381" s="2">
        <v>296.82</v>
      </c>
      <c r="C381" s="3">
        <v>43684.0</v>
      </c>
      <c r="D381" s="4" t="str">
        <f t="array" ref="D381">XLOOKUP(Hoja5!A381,Agregado!B1512:B1889,Agregado!G381:G1889)</f>
        <v>#N/A</v>
      </c>
    </row>
    <row r="382" ht="15.75" customHeight="1">
      <c r="A382" s="12">
        <v>43655.0</v>
      </c>
      <c r="B382" s="2">
        <v>297.19</v>
      </c>
      <c r="C382" s="3">
        <v>43715.0</v>
      </c>
      <c r="D382" s="4" t="str">
        <f t="array" ref="D382">XLOOKUP(Hoja5!A382,Agregado!B1512:B1890,Agregado!G382:G1890)</f>
        <v>#N/A</v>
      </c>
    </row>
    <row r="383" ht="15.75" customHeight="1">
      <c r="A383" s="12">
        <v>43656.0</v>
      </c>
      <c r="B383" s="2">
        <v>298.61</v>
      </c>
      <c r="C383" s="3">
        <v>43745.0</v>
      </c>
      <c r="D383" s="4" t="str">
        <f t="array" ref="D383">XLOOKUP(Hoja5!A383,Agregado!B1512:B1891,Agregado!G383:G1891)</f>
        <v>#N/A</v>
      </c>
    </row>
    <row r="384" ht="15.75" customHeight="1">
      <c r="A384" s="12">
        <v>43657.0</v>
      </c>
      <c r="B384" s="2">
        <v>299.31</v>
      </c>
      <c r="C384" s="3">
        <v>43776.0</v>
      </c>
      <c r="D384" s="4" t="str">
        <f t="array" ref="D384">XLOOKUP(Hoja5!A384,Agregado!B1512:B1892,Agregado!G384:G1892)</f>
        <v>#N/A</v>
      </c>
    </row>
    <row r="385" ht="15.75" customHeight="1">
      <c r="A385" s="12">
        <v>43658.0</v>
      </c>
      <c r="B385" s="2">
        <v>300.65</v>
      </c>
      <c r="C385" s="3">
        <v>43806.0</v>
      </c>
      <c r="D385" s="4" t="str">
        <f t="array" ref="D385">XLOOKUP(Hoja5!A385,Agregado!B1512:B1893,Agregado!G385:G1893)</f>
        <v>#N/A</v>
      </c>
    </row>
    <row r="386" ht="15.75" customHeight="1">
      <c r="A386" s="12">
        <v>43661.0</v>
      </c>
      <c r="B386" s="2">
        <v>300.75</v>
      </c>
      <c r="C386" s="3" t="s">
        <v>227</v>
      </c>
      <c r="D386" s="4" t="str">
        <f t="array" ref="D386">XLOOKUP(Hoja5!A386,Agregado!B1512:B1894,Agregado!G386:G1894)</f>
        <v>#N/A</v>
      </c>
    </row>
    <row r="387" ht="15.75" customHeight="1">
      <c r="A387" s="12">
        <v>43662.0</v>
      </c>
      <c r="B387" s="2">
        <v>299.71</v>
      </c>
      <c r="C387" s="3" t="s">
        <v>228</v>
      </c>
      <c r="D387" s="4" t="str">
        <f t="array" ref="D387">XLOOKUP(Hoja5!A387,Agregado!B1512:B1895,Agregado!G387:G1895)</f>
        <v>#N/A</v>
      </c>
    </row>
    <row r="388" ht="15.75" customHeight="1">
      <c r="A388" s="12">
        <v>43663.0</v>
      </c>
      <c r="B388" s="2">
        <v>297.74</v>
      </c>
      <c r="C388" s="3" t="s">
        <v>229</v>
      </c>
      <c r="D388" s="4" t="str">
        <f t="array" ref="D388">XLOOKUP(Hoja5!A388,Agregado!B1512:B1896,Agregado!G388:G1896)</f>
        <v>#N/A</v>
      </c>
    </row>
    <row r="389" ht="15.75" customHeight="1">
      <c r="A389" s="12">
        <v>43664.0</v>
      </c>
      <c r="B389" s="2">
        <v>298.83</v>
      </c>
      <c r="C389" s="3" t="s">
        <v>230</v>
      </c>
      <c r="D389" s="4" t="str">
        <f t="array" ref="D389">XLOOKUP(Hoja5!A389,Agregado!B1512:B1897,Agregado!G389:G1897)</f>
        <v>#N/A</v>
      </c>
    </row>
    <row r="390" ht="15.75" customHeight="1">
      <c r="A390" s="12">
        <v>43665.0</v>
      </c>
      <c r="B390" s="2">
        <v>297.17</v>
      </c>
      <c r="C390" s="3" t="s">
        <v>231</v>
      </c>
      <c r="D390" s="4" t="str">
        <f t="array" ref="D390">XLOOKUP(Hoja5!A390,Agregado!B1512:B1898,Agregado!G390:G1898)</f>
        <v>#N/A</v>
      </c>
    </row>
    <row r="391" ht="15.75" customHeight="1">
      <c r="A391" s="12">
        <v>43668.0</v>
      </c>
      <c r="B391" s="2">
        <v>297.9</v>
      </c>
      <c r="C391" s="3" t="s">
        <v>232</v>
      </c>
      <c r="D391" s="4" t="str">
        <f t="array" ref="D391">XLOOKUP(Hoja5!A391,Agregado!B1512:B1899,Agregado!G391:G1899)</f>
        <v>#N/A</v>
      </c>
    </row>
    <row r="392" ht="15.75" customHeight="1">
      <c r="A392" s="12">
        <v>43669.0</v>
      </c>
      <c r="B392" s="2">
        <v>300.03</v>
      </c>
      <c r="C392" s="3" t="s">
        <v>233</v>
      </c>
      <c r="D392" s="4" t="str">
        <f t="array" ref="D392">XLOOKUP(Hoja5!A392,Agregado!B1512:B1900,Agregado!G392:G1900)</f>
        <v>#N/A</v>
      </c>
    </row>
    <row r="393" ht="15.75" customHeight="1">
      <c r="A393" s="12">
        <v>43670.0</v>
      </c>
      <c r="B393" s="2">
        <v>301.44</v>
      </c>
      <c r="C393" s="3" t="s">
        <v>234</v>
      </c>
      <c r="D393" s="4" t="str">
        <f t="array" ref="D393">XLOOKUP(Hoja5!A393,Agregado!B1512:B1901,Agregado!G393:G1901)</f>
        <v>#N/A</v>
      </c>
    </row>
    <row r="394" ht="15.75" customHeight="1">
      <c r="A394" s="12">
        <v>43671.0</v>
      </c>
      <c r="B394" s="2">
        <v>300.0</v>
      </c>
      <c r="C394" s="3" t="s">
        <v>235</v>
      </c>
      <c r="D394" s="4" t="str">
        <f t="array" ref="D394">XLOOKUP(Hoja5!A394,Agregado!B1512:B1902,Agregado!G394:G1902)</f>
        <v>#N/A</v>
      </c>
    </row>
    <row r="395" ht="15.75" customHeight="1">
      <c r="A395" s="12">
        <v>43672.0</v>
      </c>
      <c r="B395" s="2">
        <v>302.01</v>
      </c>
      <c r="C395" s="3" t="s">
        <v>236</v>
      </c>
      <c r="D395" s="4" t="str">
        <f t="array" ref="D395">XLOOKUP(Hoja5!A395,Agregado!B1512:B1903,Agregado!G395:G1903)</f>
        <v>#N/A</v>
      </c>
    </row>
    <row r="396" ht="15.75" customHeight="1">
      <c r="A396" s="12">
        <v>43675.0</v>
      </c>
      <c r="B396" s="2">
        <v>301.46</v>
      </c>
      <c r="C396" s="3" t="s">
        <v>237</v>
      </c>
      <c r="D396" s="4" t="str">
        <f t="array" ref="D396">XLOOKUP(Hoja5!A396,Agregado!B1512:B1904,Agregado!G396:G1904)</f>
        <v>#N/A</v>
      </c>
    </row>
    <row r="397" ht="15.75" customHeight="1">
      <c r="A397" s="12">
        <v>43676.0</v>
      </c>
      <c r="B397" s="2">
        <v>300.72</v>
      </c>
      <c r="C397" s="3" t="s">
        <v>238</v>
      </c>
      <c r="D397" s="4" t="str">
        <f t="array" ref="D397">XLOOKUP(Hoja5!A397,Agregado!B1512:B1905,Agregado!G397:G1905)</f>
        <v>#N/A</v>
      </c>
    </row>
    <row r="398" ht="15.75" customHeight="1">
      <c r="A398" s="12">
        <v>43677.0</v>
      </c>
      <c r="B398" s="2">
        <v>297.43</v>
      </c>
      <c r="C398" s="3" t="s">
        <v>239</v>
      </c>
      <c r="D398" s="4" t="str">
        <f t="array" ref="D398">XLOOKUP(Hoja5!A398,Agregado!B1512:B1906,Agregado!G398:G1906)</f>
        <v>#N/A</v>
      </c>
    </row>
    <row r="399" ht="15.75" customHeight="1">
      <c r="A399" s="12">
        <v>43678.0</v>
      </c>
      <c r="B399" s="2">
        <v>294.84</v>
      </c>
      <c r="C399" s="3">
        <v>43473.0</v>
      </c>
      <c r="D399" s="4" t="str">
        <f t="array" ref="D399">XLOOKUP(Hoja5!A399,Agregado!B1512:B1907,Agregado!G399:G1907)</f>
        <v>#N/A</v>
      </c>
    </row>
    <row r="400" ht="15.75" customHeight="1">
      <c r="A400" s="12">
        <v>43679.0</v>
      </c>
      <c r="B400" s="2">
        <v>292.62</v>
      </c>
      <c r="C400" s="3">
        <v>43504.0</v>
      </c>
      <c r="D400" s="4" t="str">
        <f t="array" ref="D400">XLOOKUP(Hoja5!A400,Agregado!B1512:B1908,Agregado!G400:G1908)</f>
        <v>#N/A</v>
      </c>
    </row>
    <row r="401" ht="15.75" customHeight="1">
      <c r="A401" s="12">
        <v>43682.0</v>
      </c>
      <c r="B401" s="2">
        <v>283.82</v>
      </c>
      <c r="C401" s="3">
        <v>43593.0</v>
      </c>
      <c r="D401" s="4" t="str">
        <f t="array" ref="D401">XLOOKUP(Hoja5!A401,Agregado!B1512:B1909,Agregado!G401:G1909)</f>
        <v>#N/A</v>
      </c>
    </row>
    <row r="402" ht="15.75" customHeight="1">
      <c r="A402" s="12">
        <v>43683.0</v>
      </c>
      <c r="B402" s="2">
        <v>287.8</v>
      </c>
      <c r="C402" s="3">
        <v>43624.0</v>
      </c>
      <c r="D402" s="4" t="str">
        <f t="array" ref="D402">XLOOKUP(Hoja5!A402,Agregado!B1512:B1910,Agregado!G402:G1910)</f>
        <v>#N/A</v>
      </c>
    </row>
    <row r="403" ht="15.75" customHeight="1">
      <c r="A403" s="12">
        <v>43684.0</v>
      </c>
      <c r="B403" s="2">
        <v>287.97</v>
      </c>
      <c r="C403" s="3">
        <v>43654.0</v>
      </c>
      <c r="D403" s="4" t="str">
        <f t="array" ref="D403">XLOOKUP(Hoja5!A403,Agregado!B1512:B1911,Agregado!G403:G1911)</f>
        <v>#N/A</v>
      </c>
    </row>
    <row r="404" ht="15.75" customHeight="1">
      <c r="A404" s="12">
        <v>43685.0</v>
      </c>
      <c r="B404" s="2">
        <v>293.62</v>
      </c>
      <c r="C404" s="3">
        <v>43685.0</v>
      </c>
      <c r="D404" s="4" t="str">
        <f t="array" ref="D404">XLOOKUP(Hoja5!A404,Agregado!B1512:B1912,Agregado!G404:G1912)</f>
        <v>#N/A</v>
      </c>
    </row>
    <row r="405" ht="15.75" customHeight="1">
      <c r="A405" s="12">
        <v>43686.0</v>
      </c>
      <c r="B405" s="2">
        <v>291.62</v>
      </c>
      <c r="C405" s="3">
        <v>43716.0</v>
      </c>
      <c r="D405" s="4" t="str">
        <f t="array" ref="D405">XLOOKUP(Hoja5!A405,Agregado!B1512:B1913,Agregado!G405:G1913)</f>
        <v>#N/A</v>
      </c>
    </row>
    <row r="406" ht="15.75" customHeight="1">
      <c r="A406" s="12">
        <v>43689.0</v>
      </c>
      <c r="B406" s="2">
        <v>288.07</v>
      </c>
      <c r="C406" s="3">
        <v>43807.0</v>
      </c>
      <c r="D406" s="4" t="str">
        <f t="array" ref="D406">XLOOKUP(Hoja5!A406,Agregado!B1512:B1914,Agregado!G406:G1914)</f>
        <v>#N/A</v>
      </c>
    </row>
    <row r="407" ht="15.75" customHeight="1">
      <c r="A407" s="12">
        <v>43690.0</v>
      </c>
      <c r="B407" s="2">
        <v>292.55</v>
      </c>
      <c r="C407" s="3" t="s">
        <v>240</v>
      </c>
      <c r="D407" s="4" t="str">
        <f t="array" ref="D407">XLOOKUP(Hoja5!A407,Agregado!B1512:B1915,Agregado!G407:G1915)</f>
        <v>#N/A</v>
      </c>
    </row>
    <row r="408" ht="15.75" customHeight="1">
      <c r="A408" s="12">
        <v>43691.0</v>
      </c>
      <c r="B408" s="2">
        <v>283.9</v>
      </c>
      <c r="C408" s="3" t="s">
        <v>241</v>
      </c>
      <c r="D408" s="4" t="str">
        <f t="array" ref="D408">XLOOKUP(Hoja5!A408,Agregado!B1512:B1916,Agregado!G408:G1916)</f>
        <v>#N/A</v>
      </c>
    </row>
    <row r="409" ht="15.75" customHeight="1">
      <c r="A409" s="12">
        <v>43692.0</v>
      </c>
      <c r="B409" s="2">
        <v>284.65</v>
      </c>
      <c r="C409" s="3" t="s">
        <v>242</v>
      </c>
      <c r="D409" s="4" t="str">
        <f t="array" ref="D409">XLOOKUP(Hoja5!A409,Agregado!B1512:B1917,Agregado!G409:G1917)</f>
        <v>#N/A</v>
      </c>
    </row>
    <row r="410" ht="15.75" customHeight="1">
      <c r="A410" s="12">
        <v>43693.0</v>
      </c>
      <c r="B410" s="2">
        <v>288.85</v>
      </c>
      <c r="C410" s="3" t="s">
        <v>243</v>
      </c>
      <c r="D410" s="4" t="str">
        <f t="array" ref="D410">XLOOKUP(Hoja5!A410,Agregado!B1512:B1918,Agregado!G410:G1918)</f>
        <v>#N/A</v>
      </c>
    </row>
    <row r="411" ht="15.75" customHeight="1">
      <c r="A411" s="12">
        <v>43696.0</v>
      </c>
      <c r="B411" s="2">
        <v>292.33</v>
      </c>
      <c r="C411" s="3" t="s">
        <v>244</v>
      </c>
      <c r="D411" s="4" t="str">
        <f t="array" ref="D411">XLOOKUP(Hoja5!A411,Agregado!B1512:B1919,Agregado!G411:G1919)</f>
        <v>#N/A</v>
      </c>
    </row>
    <row r="412" ht="15.75" customHeight="1">
      <c r="A412" s="12">
        <v>43697.0</v>
      </c>
      <c r="B412" s="2">
        <v>290.09</v>
      </c>
      <c r="C412" s="3" t="s">
        <v>245</v>
      </c>
      <c r="D412" s="4" t="str">
        <f t="array" ref="D412">XLOOKUP(Hoja5!A412,Agregado!B1512:B1920,Agregado!G412:G1920)</f>
        <v>#N/A</v>
      </c>
    </row>
    <row r="413" ht="15.75" customHeight="1">
      <c r="A413" s="12">
        <v>43698.0</v>
      </c>
      <c r="B413" s="2">
        <v>292.45</v>
      </c>
      <c r="C413" s="3" t="s">
        <v>246</v>
      </c>
      <c r="D413" s="4" t="str">
        <f t="array" ref="D413">XLOOKUP(Hoja5!A413,Agregado!B1512:B1921,Agregado!G413:G1921)</f>
        <v>#N/A</v>
      </c>
    </row>
    <row r="414" ht="15.75" customHeight="1">
      <c r="A414" s="12">
        <v>43699.0</v>
      </c>
      <c r="B414" s="2">
        <v>292.36</v>
      </c>
      <c r="C414" s="3" t="s">
        <v>247</v>
      </c>
      <c r="D414" s="4" t="str">
        <f t="array" ref="D414">XLOOKUP(Hoja5!A414,Agregado!B1512:B1922,Agregado!G414:G1922)</f>
        <v>#N/A</v>
      </c>
    </row>
    <row r="415" ht="15.75" customHeight="1">
      <c r="A415" s="12">
        <v>43700.0</v>
      </c>
      <c r="B415" s="2">
        <v>284.85</v>
      </c>
      <c r="C415" s="3" t="s">
        <v>248</v>
      </c>
      <c r="D415" s="4" t="str">
        <f t="array" ref="D415">XLOOKUP(Hoja5!A415,Agregado!B1512:B1923,Agregado!G415:G1923)</f>
        <v>#N/A</v>
      </c>
    </row>
    <row r="416" ht="15.75" customHeight="1">
      <c r="A416" s="12">
        <v>43703.0</v>
      </c>
      <c r="B416" s="2">
        <v>288.0</v>
      </c>
      <c r="C416" s="3" t="s">
        <v>249</v>
      </c>
      <c r="D416" s="4" t="str">
        <f t="array" ref="D416">XLOOKUP(Hoja5!A416,Agregado!B1512:B1924,Agregado!G416:G1924)</f>
        <v>#N/A</v>
      </c>
    </row>
    <row r="417" ht="15.75" customHeight="1">
      <c r="A417" s="12">
        <v>43704.0</v>
      </c>
      <c r="B417" s="2">
        <v>286.87</v>
      </c>
      <c r="C417" s="3" t="s">
        <v>250</v>
      </c>
      <c r="D417" s="4" t="str">
        <f t="array" ref="D417">XLOOKUP(Hoja5!A417,Agregado!B1512:B1925,Agregado!G417:G1925)</f>
        <v>#N/A</v>
      </c>
    </row>
    <row r="418" ht="15.75" customHeight="1">
      <c r="A418" s="12">
        <v>43705.0</v>
      </c>
      <c r="B418" s="2">
        <v>288.89</v>
      </c>
      <c r="C418" s="3" t="s">
        <v>251</v>
      </c>
      <c r="D418" s="4" t="str">
        <f t="array" ref="D418">XLOOKUP(Hoja5!A418,Agregado!B1512:B1926,Agregado!G418:G1926)</f>
        <v>#N/A</v>
      </c>
    </row>
    <row r="419" ht="15.75" customHeight="1">
      <c r="A419" s="12">
        <v>43706.0</v>
      </c>
      <c r="B419" s="2">
        <v>292.58</v>
      </c>
      <c r="C419" s="3" t="s">
        <v>252</v>
      </c>
      <c r="D419" s="4" t="str">
        <f t="array" ref="D419">XLOOKUP(Hoja5!A419,Agregado!B1512:B1927,Agregado!G419:G1927)</f>
        <v>#N/A</v>
      </c>
    </row>
    <row r="420" ht="15.75" customHeight="1">
      <c r="A420" s="12">
        <v>43707.0</v>
      </c>
      <c r="B420" s="2">
        <v>292.45</v>
      </c>
      <c r="C420" s="3" t="s">
        <v>253</v>
      </c>
      <c r="D420" s="4" t="str">
        <f t="array" ref="D420">XLOOKUP(Hoja5!A420,Agregado!B1512:B1928,Agregado!G420:G1928)</f>
        <v>#N/A</v>
      </c>
    </row>
    <row r="421" ht="15.75" customHeight="1">
      <c r="A421" s="12">
        <v>43711.0</v>
      </c>
      <c r="B421" s="2">
        <v>290.74</v>
      </c>
      <c r="C421" s="3">
        <v>43533.0</v>
      </c>
      <c r="D421" s="4" t="str">
        <f t="array" ref="D421">XLOOKUP(Hoja5!A421,Agregado!B1512:B1929,Agregado!G421:G1929)</f>
        <v>#N/A</v>
      </c>
    </row>
    <row r="422" ht="15.75" customHeight="1">
      <c r="A422" s="12">
        <v>43712.0</v>
      </c>
      <c r="B422" s="2">
        <v>294.04</v>
      </c>
      <c r="C422" s="3">
        <v>43564.0</v>
      </c>
      <c r="D422" s="4" t="str">
        <f t="array" ref="D422">XLOOKUP(Hoja5!A422,Agregado!B1512:B1930,Agregado!G422:G1930)</f>
        <v>#N/A</v>
      </c>
    </row>
    <row r="423" ht="15.75" customHeight="1">
      <c r="A423" s="12">
        <v>43713.0</v>
      </c>
      <c r="B423" s="2">
        <v>297.82</v>
      </c>
      <c r="C423" s="3">
        <v>43594.0</v>
      </c>
      <c r="D423" s="4" t="str">
        <f t="array" ref="D423">XLOOKUP(Hoja5!A423,Agregado!B1512:B1931,Agregado!G423:G1931)</f>
        <v>#N/A</v>
      </c>
    </row>
    <row r="424" ht="15.75" customHeight="1">
      <c r="A424" s="12">
        <v>43714.0</v>
      </c>
      <c r="B424" s="2">
        <v>298.05</v>
      </c>
      <c r="C424" s="3">
        <v>43625.0</v>
      </c>
      <c r="D424" s="4" t="str">
        <f t="array" ref="D424">XLOOKUP(Hoja5!A424,Agregado!B1512:B1932,Agregado!G424:G1932)</f>
        <v>#N/A</v>
      </c>
    </row>
    <row r="425" ht="15.75" customHeight="1">
      <c r="A425" s="12">
        <v>43717.0</v>
      </c>
      <c r="B425" s="2">
        <v>298.2</v>
      </c>
      <c r="C425" s="3">
        <v>43717.0</v>
      </c>
      <c r="D425" s="4" t="str">
        <f t="array" ref="D425">XLOOKUP(Hoja5!A425,Agregado!B1512:B1933,Agregado!G425:G1933)</f>
        <v>#N/A</v>
      </c>
    </row>
    <row r="426" ht="15.75" customHeight="1">
      <c r="A426" s="12">
        <v>43718.0</v>
      </c>
      <c r="B426" s="2">
        <v>298.13</v>
      </c>
      <c r="C426" s="3">
        <v>43747.0</v>
      </c>
      <c r="D426" s="4" t="str">
        <f t="array" ref="D426">XLOOKUP(Hoja5!A426,Agregado!B1512:B1934,Agregado!G426:G1934)</f>
        <v>#N/A</v>
      </c>
    </row>
    <row r="427" ht="15.75" customHeight="1">
      <c r="A427" s="12">
        <v>43719.0</v>
      </c>
      <c r="B427" s="2">
        <v>300.25</v>
      </c>
      <c r="C427" s="3">
        <v>43778.0</v>
      </c>
      <c r="D427" s="4" t="str">
        <f t="array" ref="D427">XLOOKUP(Hoja5!A427,Agregado!B1512:B1935,Agregado!G427:G1935)</f>
        <v>#N/A</v>
      </c>
    </row>
    <row r="428" ht="15.75" customHeight="1">
      <c r="A428" s="12">
        <v>43720.0</v>
      </c>
      <c r="B428" s="2">
        <v>301.29</v>
      </c>
      <c r="C428" s="3">
        <v>43808.0</v>
      </c>
      <c r="D428" s="4" t="str">
        <f t="array" ref="D428">XLOOKUP(Hoja5!A428,Agregado!B1512:B1936,Agregado!G428:G1936)</f>
        <v>#N/A</v>
      </c>
    </row>
    <row r="429" ht="15.75" customHeight="1">
      <c r="A429" s="12">
        <v>43721.0</v>
      </c>
      <c r="B429" s="2">
        <v>301.09</v>
      </c>
      <c r="C429" s="3" t="s">
        <v>254</v>
      </c>
      <c r="D429" s="4" t="str">
        <f t="array" ref="D429">XLOOKUP(Hoja5!A429,Agregado!B1512:B1937,Agregado!G429:G1937)</f>
        <v>#N/A</v>
      </c>
    </row>
    <row r="430" ht="15.75" customHeight="1">
      <c r="A430" s="12">
        <v>43724.0</v>
      </c>
      <c r="B430" s="2">
        <v>300.16</v>
      </c>
      <c r="C430" s="3" t="s">
        <v>255</v>
      </c>
      <c r="D430" s="4" t="str">
        <f t="array" ref="D430">XLOOKUP(Hoja5!A430,Agregado!B1512:B1938,Agregado!G430:G1938)</f>
        <v>#N/A</v>
      </c>
    </row>
    <row r="431" ht="15.75" customHeight="1">
      <c r="A431" s="12">
        <v>43725.0</v>
      </c>
      <c r="B431" s="2">
        <v>300.92</v>
      </c>
      <c r="C431" s="3" t="s">
        <v>256</v>
      </c>
      <c r="D431" s="4" t="str">
        <f t="array" ref="D431">XLOOKUP(Hoja5!A431,Agregado!B1512:B1939,Agregado!G431:G1939)</f>
        <v>#N/A</v>
      </c>
    </row>
    <row r="432" ht="15.75" customHeight="1">
      <c r="A432" s="12">
        <v>43726.0</v>
      </c>
      <c r="B432" s="2">
        <v>301.1</v>
      </c>
      <c r="C432" s="3" t="s">
        <v>257</v>
      </c>
      <c r="D432" s="4" t="str">
        <f t="array" ref="D432">XLOOKUP(Hoja5!A432,Agregado!B1512:B1940,Agregado!G432:G1940)</f>
        <v>#N/A</v>
      </c>
    </row>
    <row r="433" ht="15.75" customHeight="1">
      <c r="A433" s="12">
        <v>43727.0</v>
      </c>
      <c r="B433" s="2">
        <v>301.08</v>
      </c>
      <c r="C433" s="3" t="s">
        <v>258</v>
      </c>
      <c r="D433" s="4" t="str">
        <f t="array" ref="D433">XLOOKUP(Hoja5!A433,Agregado!B1512:B1941,Agregado!G433:G1941)</f>
        <v>#N/A</v>
      </c>
    </row>
    <row r="434" ht="15.75" customHeight="1">
      <c r="A434" s="12">
        <v>43728.0</v>
      </c>
      <c r="B434" s="2">
        <v>298.28</v>
      </c>
      <c r="C434" s="3" t="s">
        <v>259</v>
      </c>
      <c r="D434" s="4" t="str">
        <f t="array" ref="D434">XLOOKUP(Hoja5!A434,Agregado!B1512:B1942,Agregado!G434:G1942)</f>
        <v>#N/A</v>
      </c>
    </row>
    <row r="435" ht="15.75" customHeight="1">
      <c r="A435" s="12">
        <v>43731.0</v>
      </c>
      <c r="B435" s="2">
        <v>298.21</v>
      </c>
      <c r="C435" s="3" t="s">
        <v>260</v>
      </c>
      <c r="D435" s="4" t="str">
        <f t="array" ref="D435">XLOOKUP(Hoja5!A435,Agregado!B1512:B1943,Agregado!G435:G1943)</f>
        <v>#N/A</v>
      </c>
    </row>
    <row r="436" ht="15.75" customHeight="1">
      <c r="A436" s="12">
        <v>43732.0</v>
      </c>
      <c r="B436" s="2">
        <v>295.87</v>
      </c>
      <c r="C436" s="3" t="s">
        <v>261</v>
      </c>
      <c r="D436" s="4" t="str">
        <f t="array" ref="D436">XLOOKUP(Hoja5!A436,Agregado!B1512:B1944,Agregado!G436:G1944)</f>
        <v>#N/A</v>
      </c>
    </row>
    <row r="437" ht="15.75" customHeight="1">
      <c r="A437" s="12">
        <v>43733.0</v>
      </c>
      <c r="B437" s="2">
        <v>297.62</v>
      </c>
      <c r="C437" s="3" t="s">
        <v>262</v>
      </c>
      <c r="D437" s="4" t="str">
        <f t="array" ref="D437">XLOOKUP(Hoja5!A437,Agregado!B1512:B1945,Agregado!G437:G1945)</f>
        <v>#N/A</v>
      </c>
    </row>
    <row r="438" ht="15.75" customHeight="1">
      <c r="A438" s="12">
        <v>43734.0</v>
      </c>
      <c r="B438" s="2">
        <v>297.0</v>
      </c>
      <c r="C438" s="3" t="s">
        <v>263</v>
      </c>
      <c r="D438" s="4" t="str">
        <f t="array" ref="D438">XLOOKUP(Hoja5!A438,Agregado!B1512:B1946,Agregado!G438:G1946)</f>
        <v>#N/A</v>
      </c>
    </row>
    <row r="439" ht="15.75" customHeight="1">
      <c r="A439" s="12">
        <v>43735.0</v>
      </c>
      <c r="B439" s="2">
        <v>295.4</v>
      </c>
      <c r="C439" s="3" t="s">
        <v>264</v>
      </c>
      <c r="D439" s="4" t="str">
        <f t="array" ref="D439">XLOOKUP(Hoja5!A439,Agregado!B1512:B1947,Agregado!G439:G1947)</f>
        <v>#N/A</v>
      </c>
    </row>
    <row r="440" ht="15.75" customHeight="1">
      <c r="A440" s="12">
        <v>43738.0</v>
      </c>
      <c r="B440" s="2">
        <v>296.77</v>
      </c>
      <c r="C440" s="3" t="s">
        <v>265</v>
      </c>
      <c r="D440" s="4" t="str">
        <f t="array" ref="D440">XLOOKUP(Hoja5!A440,Agregado!B1512:B1948,Agregado!G440:G1948)</f>
        <v>#N/A</v>
      </c>
    </row>
    <row r="441" ht="15.75" customHeight="1">
      <c r="A441" s="12">
        <v>43739.0</v>
      </c>
      <c r="B441" s="2">
        <v>293.24</v>
      </c>
      <c r="C441" s="3">
        <v>43475.0</v>
      </c>
      <c r="D441" s="4" t="str">
        <f t="array" ref="D441">XLOOKUP(Hoja5!A441,Agregado!B1512:B1949,Agregado!G441:G1949)</f>
        <v>#N/A</v>
      </c>
    </row>
    <row r="442" ht="15.75" customHeight="1">
      <c r="A442" s="12">
        <v>43740.0</v>
      </c>
      <c r="B442" s="2">
        <v>288.06</v>
      </c>
      <c r="C442" s="3">
        <v>43506.0</v>
      </c>
      <c r="D442" s="4" t="str">
        <f t="array" ref="D442">XLOOKUP(Hoja5!A442,Agregado!B1512:B1950,Agregado!G442:G1950)</f>
        <v>#N/A</v>
      </c>
    </row>
    <row r="443" ht="15.75" customHeight="1">
      <c r="A443" s="12">
        <v>43741.0</v>
      </c>
      <c r="B443" s="2">
        <v>290.42</v>
      </c>
      <c r="C443" s="3">
        <v>43534.0</v>
      </c>
      <c r="D443" s="4" t="str">
        <f t="array" ref="D443">XLOOKUP(Hoja5!A443,Agregado!B1512:B1951,Agregado!G443:G1951)</f>
        <v>#N/A</v>
      </c>
    </row>
    <row r="444" ht="15.75" customHeight="1">
      <c r="A444" s="12">
        <v>43742.0</v>
      </c>
      <c r="B444" s="2">
        <v>294.35</v>
      </c>
      <c r="C444" s="3">
        <v>43565.0</v>
      </c>
      <c r="D444" s="4" t="str">
        <f t="array" ref="D444">XLOOKUP(Hoja5!A444,Agregado!B1512:B1952,Agregado!G444:G1952)</f>
        <v>#N/A</v>
      </c>
    </row>
    <row r="445" ht="15.75" customHeight="1">
      <c r="A445" s="12">
        <v>43745.0</v>
      </c>
      <c r="B445" s="2">
        <v>293.08</v>
      </c>
      <c r="C445" s="3">
        <v>43656.0</v>
      </c>
      <c r="D445" s="4" t="str">
        <f t="array" ref="D445">XLOOKUP(Hoja5!A445,Agregado!B1512:B1953,Agregado!G445:G1953)</f>
        <v>#N/A</v>
      </c>
    </row>
    <row r="446" ht="15.75" customHeight="1">
      <c r="A446" s="12">
        <v>43746.0</v>
      </c>
      <c r="B446" s="2">
        <v>288.53</v>
      </c>
      <c r="C446" s="3">
        <v>43687.0</v>
      </c>
      <c r="D446" s="4" t="str">
        <f t="array" ref="D446">XLOOKUP(Hoja5!A446,Agregado!B1512:B1954,Agregado!G446:G1954)</f>
        <v>#N/A</v>
      </c>
    </row>
    <row r="447" ht="15.75" customHeight="1">
      <c r="A447" s="12">
        <v>43747.0</v>
      </c>
      <c r="B447" s="2">
        <v>291.27</v>
      </c>
      <c r="C447" s="3">
        <v>43718.0</v>
      </c>
      <c r="D447" s="4" t="str">
        <f t="array" ref="D447">XLOOKUP(Hoja5!A447,Agregado!B1512:B1955,Agregado!G447:G1955)</f>
        <v>#N/A</v>
      </c>
    </row>
    <row r="448" ht="15.75" customHeight="1">
      <c r="A448" s="12">
        <v>43748.0</v>
      </c>
      <c r="B448" s="2">
        <v>293.24</v>
      </c>
      <c r="C448" s="3">
        <v>43748.0</v>
      </c>
      <c r="D448" s="4" t="str">
        <f t="array" ref="D448">XLOOKUP(Hoja5!A448,Agregado!B1512:B1956,Agregado!G448:G1956)</f>
        <v>#N/A</v>
      </c>
    </row>
    <row r="449" ht="15.75" customHeight="1">
      <c r="A449" s="12">
        <v>43749.0</v>
      </c>
      <c r="B449" s="2">
        <v>296.28</v>
      </c>
      <c r="C449" s="3">
        <v>43779.0</v>
      </c>
      <c r="D449" s="4" t="str">
        <f t="array" ref="D449">XLOOKUP(Hoja5!A449,Agregado!B1512:B1957,Agregado!G449:G1957)</f>
        <v>#N/A</v>
      </c>
    </row>
    <row r="450" ht="15.75" customHeight="1">
      <c r="A450" s="12">
        <v>43752.0</v>
      </c>
      <c r="B450" s="2">
        <v>295.95</v>
      </c>
      <c r="C450" s="3" t="s">
        <v>266</v>
      </c>
      <c r="D450" s="4" t="str">
        <f t="array" ref="D450">XLOOKUP(Hoja5!A450,Agregado!B1512:B1958,Agregado!G450:G1958)</f>
        <v>#N/A</v>
      </c>
    </row>
    <row r="451" ht="15.75" customHeight="1">
      <c r="A451" s="12">
        <v>43753.0</v>
      </c>
      <c r="B451" s="2">
        <v>298.88</v>
      </c>
      <c r="C451" s="3" t="s">
        <v>267</v>
      </c>
      <c r="D451" s="4" t="str">
        <f t="array" ref="D451">XLOOKUP(Hoja5!A451,Agregado!B1512:B1959,Agregado!G451:G1959)</f>
        <v>#N/A</v>
      </c>
    </row>
    <row r="452" ht="15.75" customHeight="1">
      <c r="A452" s="12">
        <v>43754.0</v>
      </c>
      <c r="B452" s="2">
        <v>298.4</v>
      </c>
      <c r="C452" s="3" t="s">
        <v>268</v>
      </c>
      <c r="D452" s="4" t="str">
        <f t="array" ref="D452">XLOOKUP(Hoja5!A452,Agregado!B1512:B1960,Agregado!G452:G1960)</f>
        <v>#N/A</v>
      </c>
    </row>
    <row r="453" ht="15.75" customHeight="1">
      <c r="A453" s="12">
        <v>43755.0</v>
      </c>
      <c r="B453" s="2">
        <v>299.28</v>
      </c>
      <c r="C453" s="3" t="s">
        <v>269</v>
      </c>
      <c r="D453" s="4" t="str">
        <f t="array" ref="D453">XLOOKUP(Hoja5!A453,Agregado!B1512:B1961,Agregado!G453:G1961)</f>
        <v>#N/A</v>
      </c>
    </row>
    <row r="454" ht="15.75" customHeight="1">
      <c r="A454" s="12">
        <v>43756.0</v>
      </c>
      <c r="B454" s="2">
        <v>297.97</v>
      </c>
      <c r="C454" s="3" t="s">
        <v>270</v>
      </c>
      <c r="D454" s="4" t="str">
        <f t="array" ref="D454">XLOOKUP(Hoja5!A454,Agregado!B1512:B1962,Agregado!G454:G1962)</f>
        <v>#N/A</v>
      </c>
    </row>
    <row r="455" ht="15.75" customHeight="1">
      <c r="A455" s="12">
        <v>43759.0</v>
      </c>
      <c r="B455" s="2">
        <v>299.99</v>
      </c>
      <c r="C455" s="3" t="s">
        <v>271</v>
      </c>
      <c r="D455" s="4" t="str">
        <f t="array" ref="D455">XLOOKUP(Hoja5!A455,Agregado!B1512:B1963,Agregado!G455:G1963)</f>
        <v>#N/A</v>
      </c>
    </row>
    <row r="456" ht="15.75" customHeight="1">
      <c r="A456" s="12">
        <v>43760.0</v>
      </c>
      <c r="B456" s="2">
        <v>299.01</v>
      </c>
      <c r="C456" s="3" t="s">
        <v>272</v>
      </c>
      <c r="D456" s="4" t="str">
        <f t="array" ref="D456">XLOOKUP(Hoja5!A456,Agregado!B1512:B1964,Agregado!G456:G1964)</f>
        <v>#N/A</v>
      </c>
    </row>
    <row r="457" ht="15.75" customHeight="1">
      <c r="A457" s="12">
        <v>43761.0</v>
      </c>
      <c r="B457" s="2">
        <v>299.88</v>
      </c>
      <c r="C457" s="3" t="s">
        <v>273</v>
      </c>
      <c r="D457" s="4" t="str">
        <f t="array" ref="D457">XLOOKUP(Hoja5!A457,Agregado!B1512:B1965,Agregado!G457:G1965)</f>
        <v>#N/A</v>
      </c>
    </row>
    <row r="458" ht="15.75" customHeight="1">
      <c r="A458" s="12">
        <v>43762.0</v>
      </c>
      <c r="B458" s="2">
        <v>300.37</v>
      </c>
      <c r="C458" s="3" t="s">
        <v>274</v>
      </c>
      <c r="D458" s="4" t="str">
        <f t="array" ref="D458">XLOOKUP(Hoja5!A458,Agregado!B1512:B1966,Agregado!G458:G1966)</f>
        <v>#N/A</v>
      </c>
    </row>
    <row r="459" ht="15.75" customHeight="1">
      <c r="A459" s="12">
        <v>43763.0</v>
      </c>
      <c r="B459" s="2">
        <v>301.6</v>
      </c>
      <c r="C459" s="3" t="s">
        <v>275</v>
      </c>
      <c r="D459" s="4" t="str">
        <f t="array" ref="D459">XLOOKUP(Hoja5!A459,Agregado!B1512:B1967,Agregado!G459:G1967)</f>
        <v>#N/A</v>
      </c>
    </row>
    <row r="460" ht="15.75" customHeight="1">
      <c r="A460" s="12">
        <v>43766.0</v>
      </c>
      <c r="B460" s="2">
        <v>303.3</v>
      </c>
      <c r="C460" s="3" t="s">
        <v>276</v>
      </c>
      <c r="D460" s="4" t="str">
        <f t="array" ref="D460">XLOOKUP(Hoja5!A460,Agregado!B1512:B1968,Agregado!G460:G1968)</f>
        <v>#N/A</v>
      </c>
    </row>
    <row r="461" ht="15.75" customHeight="1">
      <c r="A461" s="12">
        <v>43767.0</v>
      </c>
      <c r="B461" s="2">
        <v>303.21</v>
      </c>
      <c r="C461" s="3" t="s">
        <v>277</v>
      </c>
      <c r="D461" s="4" t="str">
        <f t="array" ref="D461">XLOOKUP(Hoja5!A461,Agregado!B1512:B1969,Agregado!G461:G1969)</f>
        <v>#N/A</v>
      </c>
    </row>
    <row r="462" ht="15.75" customHeight="1">
      <c r="A462" s="12">
        <v>43768.0</v>
      </c>
      <c r="B462" s="2">
        <v>304.14</v>
      </c>
      <c r="C462" s="3" t="s">
        <v>278</v>
      </c>
      <c r="D462" s="4" t="str">
        <f t="array" ref="D462">XLOOKUP(Hoja5!A462,Agregado!B1512:B1970,Agregado!G462:G1970)</f>
        <v>#N/A</v>
      </c>
    </row>
    <row r="463" ht="15.75" customHeight="1">
      <c r="A463" s="12">
        <v>43769.0</v>
      </c>
      <c r="B463" s="2">
        <v>303.33</v>
      </c>
      <c r="C463" s="3" t="s">
        <v>279</v>
      </c>
      <c r="D463" s="4" t="str">
        <f t="array" ref="D463">XLOOKUP(Hoja5!A463,Agregado!B1512:B1971,Agregado!G463:G1971)</f>
        <v>#N/A</v>
      </c>
    </row>
    <row r="464" ht="15.75" customHeight="1">
      <c r="A464" s="12">
        <v>43770.0</v>
      </c>
      <c r="B464" s="2">
        <v>306.14</v>
      </c>
      <c r="C464" s="3">
        <v>43476.0</v>
      </c>
      <c r="D464" s="4" t="str">
        <f t="array" ref="D464">XLOOKUP(Hoja5!A464,Agregado!B1512:B1972,Agregado!G464:G1972)</f>
        <v>#N/A</v>
      </c>
    </row>
    <row r="465" ht="15.75" customHeight="1">
      <c r="A465" s="12">
        <v>43773.0</v>
      </c>
      <c r="B465" s="2">
        <v>307.37</v>
      </c>
      <c r="C465" s="3">
        <v>43566.0</v>
      </c>
      <c r="D465" s="4" t="str">
        <f t="array" ref="D465">XLOOKUP(Hoja5!A465,Agregado!B1512:B1973,Agregado!G465:G1973)</f>
        <v>#N/A</v>
      </c>
    </row>
    <row r="466" ht="15.75" customHeight="1">
      <c r="A466" s="12">
        <v>43774.0</v>
      </c>
      <c r="B466" s="2">
        <v>307.03</v>
      </c>
      <c r="C466" s="3">
        <v>43596.0</v>
      </c>
      <c r="D466" s="4" t="str">
        <f t="array" ref="D466">XLOOKUP(Hoja5!A466,Agregado!B1512:B1974,Agregado!G466:G1974)</f>
        <v>#N/A</v>
      </c>
    </row>
    <row r="467" ht="15.75" customHeight="1">
      <c r="A467" s="12">
        <v>43775.0</v>
      </c>
      <c r="B467" s="2">
        <v>307.1</v>
      </c>
      <c r="C467" s="3">
        <v>43627.0</v>
      </c>
      <c r="D467" s="4" t="str">
        <f t="array" ref="D467">XLOOKUP(Hoja5!A467,Agregado!B1512:B1975,Agregado!G467:G1975)</f>
        <v>#N/A</v>
      </c>
    </row>
    <row r="468" ht="15.75" customHeight="1">
      <c r="A468" s="12">
        <v>43776.0</v>
      </c>
      <c r="B468" s="2">
        <v>308.18</v>
      </c>
      <c r="C468" s="3">
        <v>43657.0</v>
      </c>
      <c r="D468" s="4" t="str">
        <f t="array" ref="D468">XLOOKUP(Hoja5!A468,Agregado!B1512:B1976,Agregado!G468:G1976)</f>
        <v>#N/A</v>
      </c>
    </row>
    <row r="469" ht="15.75" customHeight="1">
      <c r="A469" s="12">
        <v>43777.0</v>
      </c>
      <c r="B469" s="2">
        <v>308.94</v>
      </c>
      <c r="C469" s="3">
        <v>43688.0</v>
      </c>
      <c r="D469" s="4" t="str">
        <f t="array" ref="D469">XLOOKUP(Hoja5!A469,Agregado!B1512:B1977,Agregado!G469:G1977)</f>
        <v>#N/A</v>
      </c>
    </row>
    <row r="470" ht="15.75" customHeight="1">
      <c r="A470" s="12">
        <v>43780.0</v>
      </c>
      <c r="B470" s="2">
        <v>308.35</v>
      </c>
      <c r="C470" s="3">
        <v>43780.0</v>
      </c>
      <c r="D470" s="4" t="str">
        <f t="array" ref="D470">XLOOKUP(Hoja5!A470,Agregado!B1512:B1978,Agregado!G470:G1978)</f>
        <v>#N/A</v>
      </c>
    </row>
    <row r="471" ht="15.75" customHeight="1">
      <c r="A471" s="12">
        <v>43781.0</v>
      </c>
      <c r="B471" s="2">
        <v>309.0</v>
      </c>
      <c r="C471" s="3">
        <v>43810.0</v>
      </c>
      <c r="D471" s="4" t="str">
        <f t="array" ref="D471">XLOOKUP(Hoja5!A471,Agregado!B1512:B1979,Agregado!G471:G1979)</f>
        <v>#N/A</v>
      </c>
    </row>
    <row r="472" ht="15.75" customHeight="1">
      <c r="A472" s="12">
        <v>43782.0</v>
      </c>
      <c r="B472" s="2">
        <v>309.1</v>
      </c>
      <c r="C472" s="3" t="s">
        <v>280</v>
      </c>
      <c r="D472" s="4" t="str">
        <f t="array" ref="D472">XLOOKUP(Hoja5!A472,Agregado!B1512:B1980,Agregado!G472:G1980)</f>
        <v>#N/A</v>
      </c>
    </row>
    <row r="473" ht="15.75" customHeight="1">
      <c r="A473" s="12">
        <v>43783.0</v>
      </c>
      <c r="B473" s="2">
        <v>309.55</v>
      </c>
      <c r="C473" s="3" t="s">
        <v>281</v>
      </c>
      <c r="D473" s="4" t="str">
        <f t="array" ref="D473">XLOOKUP(Hoja5!A473,Agregado!B1512:B1981,Agregado!G473:G1981)</f>
        <v>#N/A</v>
      </c>
    </row>
    <row r="474" ht="15.75" customHeight="1">
      <c r="A474" s="12">
        <v>43784.0</v>
      </c>
      <c r="B474" s="2">
        <v>311.79</v>
      </c>
      <c r="C474" s="3" t="s">
        <v>282</v>
      </c>
      <c r="D474" s="4" t="str">
        <f t="array" ref="D474">XLOOKUP(Hoja5!A474,Agregado!B1512:B1982,Agregado!G474:G1982)</f>
        <v>#N/A</v>
      </c>
    </row>
    <row r="475" ht="15.75" customHeight="1">
      <c r="A475" s="12">
        <v>43787.0</v>
      </c>
      <c r="B475" s="2">
        <v>312.02</v>
      </c>
      <c r="C475" s="3" t="s">
        <v>283</v>
      </c>
      <c r="D475" s="4" t="str">
        <f t="array" ref="D475">XLOOKUP(Hoja5!A475,Agregado!B1512:B1983,Agregado!G475:G1983)</f>
        <v>#N/A</v>
      </c>
    </row>
    <row r="476" ht="15.75" customHeight="1">
      <c r="A476" s="12">
        <v>43788.0</v>
      </c>
      <c r="B476" s="2">
        <v>311.93</v>
      </c>
      <c r="C476" s="3" t="s">
        <v>284</v>
      </c>
      <c r="D476" s="4" t="str">
        <f t="array" ref="D476">XLOOKUP(Hoja5!A476,Agregado!B1512:B1984,Agregado!G476:G1984)</f>
        <v>#N/A</v>
      </c>
    </row>
    <row r="477" ht="15.75" customHeight="1">
      <c r="A477" s="12">
        <v>43789.0</v>
      </c>
      <c r="B477" s="2">
        <v>310.77</v>
      </c>
      <c r="C477" s="3" t="s">
        <v>285</v>
      </c>
      <c r="D477" s="4" t="str">
        <f t="array" ref="D477">XLOOKUP(Hoja5!A477,Agregado!B1512:B1985,Agregado!G477:G1985)</f>
        <v>#N/A</v>
      </c>
    </row>
    <row r="478" ht="15.75" customHeight="1">
      <c r="A478" s="12">
        <v>43790.0</v>
      </c>
      <c r="B478" s="2">
        <v>310.27</v>
      </c>
      <c r="C478" s="3" t="s">
        <v>286</v>
      </c>
      <c r="D478" s="4" t="str">
        <f t="array" ref="D478">XLOOKUP(Hoja5!A478,Agregado!B1512:B1986,Agregado!G478:G1986)</f>
        <v>#N/A</v>
      </c>
    </row>
    <row r="479" ht="15.75" customHeight="1">
      <c r="A479" s="12">
        <v>43791.0</v>
      </c>
      <c r="B479" s="2">
        <v>310.96</v>
      </c>
      <c r="C479" s="3" t="s">
        <v>287</v>
      </c>
      <c r="D479" s="4" t="str">
        <f t="array" ref="D479">XLOOKUP(Hoja5!A479,Agregado!B1512:B1987,Agregado!G479:G1987)</f>
        <v>#N/A</v>
      </c>
    </row>
    <row r="480" ht="15.75" customHeight="1">
      <c r="A480" s="12">
        <v>43794.0</v>
      </c>
      <c r="B480" s="2">
        <v>313.37</v>
      </c>
      <c r="C480" s="3" t="s">
        <v>288</v>
      </c>
      <c r="D480" s="4" t="str">
        <f t="array" ref="D480">XLOOKUP(Hoja5!A480,Agregado!B1512:B1988,Agregado!G480:G1988)</f>
        <v>#N/A</v>
      </c>
    </row>
    <row r="481" ht="15.75" customHeight="1">
      <c r="A481" s="12">
        <v>43795.0</v>
      </c>
      <c r="B481" s="2">
        <v>314.08</v>
      </c>
      <c r="C481" s="3" t="s">
        <v>289</v>
      </c>
      <c r="D481" s="4" t="str">
        <f t="array" ref="D481">XLOOKUP(Hoja5!A481,Agregado!B1512:B1989,Agregado!G481:G1989)</f>
        <v>#N/A</v>
      </c>
    </row>
    <row r="482" ht="15.75" customHeight="1">
      <c r="A482" s="12">
        <v>43796.0</v>
      </c>
      <c r="B482" s="2">
        <v>315.48</v>
      </c>
      <c r="C482" s="3" t="s">
        <v>290</v>
      </c>
      <c r="D482" s="4" t="str">
        <f t="array" ref="D482">XLOOKUP(Hoja5!A482,Agregado!B1512:B1990,Agregado!G482:G1990)</f>
        <v>#N/A</v>
      </c>
    </row>
    <row r="483" ht="15.75" customHeight="1">
      <c r="A483" s="12">
        <v>43798.0</v>
      </c>
      <c r="B483" s="2">
        <v>314.31</v>
      </c>
      <c r="C483" s="3" t="s">
        <v>291</v>
      </c>
      <c r="D483" s="4" t="str">
        <f t="array" ref="D483">XLOOKUP(Hoja5!A483,Agregado!B1512:B1991,Agregado!G483:G1991)</f>
        <v>#N/A</v>
      </c>
    </row>
    <row r="484" ht="15.75" customHeight="1">
      <c r="A484" s="12">
        <v>43801.0</v>
      </c>
      <c r="B484" s="2">
        <v>311.64</v>
      </c>
      <c r="C484" s="3">
        <v>43508.0</v>
      </c>
      <c r="D484" s="4" t="str">
        <f t="array" ref="D484">XLOOKUP(Hoja5!A484,Agregado!B1512:B1992,Agregado!G484:G1992)</f>
        <v>#N/A</v>
      </c>
    </row>
    <row r="485" ht="15.75" customHeight="1">
      <c r="A485" s="12">
        <v>43802.0</v>
      </c>
      <c r="B485" s="2">
        <v>309.55</v>
      </c>
      <c r="C485" s="3">
        <v>43536.0</v>
      </c>
      <c r="D485" s="4" t="str">
        <f t="array" ref="D485">XLOOKUP(Hoja5!A485,Agregado!B1512:B1993,Agregado!G485:G1993)</f>
        <v>#N/A</v>
      </c>
    </row>
    <row r="486" ht="15.75" customHeight="1">
      <c r="A486" s="12">
        <v>43803.0</v>
      </c>
      <c r="B486" s="2">
        <v>311.46</v>
      </c>
      <c r="C486" s="3">
        <v>43567.0</v>
      </c>
      <c r="D486" s="4" t="str">
        <f t="array" ref="D486">XLOOKUP(Hoja5!A486,Agregado!B1512:B1994,Agregado!G486:G1994)</f>
        <v>#N/A</v>
      </c>
    </row>
    <row r="487" ht="15.75" customHeight="1">
      <c r="A487" s="12">
        <v>43804.0</v>
      </c>
      <c r="B487" s="2">
        <v>312.02</v>
      </c>
      <c r="C487" s="3">
        <v>43597.0</v>
      </c>
      <c r="D487" s="4" t="str">
        <f t="array" ref="D487">XLOOKUP(Hoja5!A487,Agregado!B1512:B1995,Agregado!G487:G1995)</f>
        <v>#N/A</v>
      </c>
    </row>
    <row r="488" ht="15.75" customHeight="1">
      <c r="A488" s="12">
        <v>43805.0</v>
      </c>
      <c r="B488" s="2">
        <v>314.87</v>
      </c>
      <c r="C488" s="3">
        <v>43628.0</v>
      </c>
      <c r="D488" s="4" t="str">
        <f t="array" ref="D488">XLOOKUP(Hoja5!A488,Agregado!B1512:B1996,Agregado!G488:G1996)</f>
        <v>#N/A</v>
      </c>
    </row>
    <row r="489" ht="15.75" customHeight="1">
      <c r="A489" s="12">
        <v>43808.0</v>
      </c>
      <c r="B489" s="2">
        <v>313.88</v>
      </c>
      <c r="C489" s="3">
        <v>43720.0</v>
      </c>
      <c r="D489" s="4" t="str">
        <f t="array" ref="D489">XLOOKUP(Hoja5!A489,Agregado!B1512:B1997,Agregado!G489:G1997)</f>
        <v>#N/A</v>
      </c>
    </row>
    <row r="490" ht="15.75" customHeight="1">
      <c r="A490" s="12">
        <v>43809.0</v>
      </c>
      <c r="B490" s="2">
        <v>313.53</v>
      </c>
      <c r="C490" s="3">
        <v>43750.0</v>
      </c>
      <c r="D490" s="4" t="str">
        <f t="array" ref="D490">XLOOKUP(Hoja5!A490,Agregado!B1512:B1998,Agregado!G490:G1998)</f>
        <v>#N/A</v>
      </c>
    </row>
    <row r="491" ht="15.75" customHeight="1">
      <c r="A491" s="12">
        <v>43810.0</v>
      </c>
      <c r="B491" s="2">
        <v>314.42</v>
      </c>
      <c r="C491" s="3">
        <v>43781.0</v>
      </c>
      <c r="D491" s="4" t="str">
        <f t="array" ref="D491">XLOOKUP(Hoja5!A491,Agregado!B1512:B1999,Agregado!G491:G1999)</f>
        <v>#N/A</v>
      </c>
    </row>
    <row r="492" ht="15.75" customHeight="1">
      <c r="A492" s="12">
        <v>43811.0</v>
      </c>
      <c r="B492" s="2">
        <v>317.13</v>
      </c>
      <c r="C492" s="3">
        <v>43811.0</v>
      </c>
      <c r="D492" s="4" t="str">
        <f t="array" ref="D492">XLOOKUP(Hoja5!A492,Agregado!B1512:B2000,Agregado!G492:G2000)</f>
        <v>#N/A</v>
      </c>
    </row>
    <row r="493" ht="15.75" customHeight="1">
      <c r="A493" s="12">
        <v>43812.0</v>
      </c>
      <c r="B493" s="2">
        <v>317.32</v>
      </c>
      <c r="C493" s="3" t="s">
        <v>292</v>
      </c>
      <c r="D493" s="4" t="str">
        <f t="array" ref="D493">XLOOKUP(Hoja5!A493,Agregado!B1512:B2001,Agregado!G493:G2001)</f>
        <v>#N/A</v>
      </c>
    </row>
    <row r="494" ht="15.75" customHeight="1">
      <c r="A494" s="12">
        <v>43815.0</v>
      </c>
      <c r="B494" s="2">
        <v>319.5</v>
      </c>
      <c r="C494" s="3" t="s">
        <v>293</v>
      </c>
      <c r="D494" s="4" t="str">
        <f t="array" ref="D494">XLOOKUP(Hoja5!A494,Agregado!B1512:B2002,Agregado!G494:G2002)</f>
        <v>#N/A</v>
      </c>
    </row>
    <row r="495" ht="15.75" customHeight="1">
      <c r="A495" s="12">
        <v>43816.0</v>
      </c>
      <c r="B495" s="2">
        <v>319.57</v>
      </c>
      <c r="C495" s="3" t="s">
        <v>294</v>
      </c>
      <c r="D495" s="4" t="str">
        <f t="array" ref="D495">XLOOKUP(Hoja5!A495,Agregado!B1512:B2003,Agregado!G495:G2003)</f>
        <v>#N/A</v>
      </c>
    </row>
    <row r="496" ht="15.75" customHeight="1">
      <c r="A496" s="12">
        <v>43817.0</v>
      </c>
      <c r="B496" s="2">
        <v>319.59</v>
      </c>
      <c r="C496" s="3" t="s">
        <v>295</v>
      </c>
      <c r="D496" s="4" t="str">
        <f t="array" ref="D496">XLOOKUP(Hoja5!A496,Agregado!B1512:B2004,Agregado!G496:G2004)</f>
        <v>#N/A</v>
      </c>
    </row>
    <row r="497" ht="15.75" customHeight="1">
      <c r="A497" s="12">
        <v>43818.0</v>
      </c>
      <c r="B497" s="2">
        <v>320.9</v>
      </c>
      <c r="C497" s="3" t="s">
        <v>296</v>
      </c>
      <c r="D497" s="4" t="str">
        <f t="array" ref="D497">XLOOKUP(Hoja5!A497,Agregado!B1512:B2005,Agregado!G497:G2005)</f>
        <v>#N/A</v>
      </c>
    </row>
    <row r="498" ht="15.75" customHeight="1">
      <c r="A498" s="12">
        <v>43819.0</v>
      </c>
      <c r="B498" s="2">
        <v>320.73</v>
      </c>
      <c r="C498" s="3" t="s">
        <v>297</v>
      </c>
      <c r="D498" s="4" t="str">
        <f t="array" ref="D498">XLOOKUP(Hoja5!A498,Agregado!B1512:B2006,Agregado!G498:G2006)</f>
        <v>#N/A</v>
      </c>
    </row>
    <row r="499" ht="15.75" customHeight="1">
      <c r="A499" s="12">
        <v>43822.0</v>
      </c>
      <c r="B499" s="2">
        <v>321.22</v>
      </c>
      <c r="C499" s="3" t="s">
        <v>298</v>
      </c>
      <c r="D499" s="4" t="str">
        <f t="array" ref="D499">XLOOKUP(Hoja5!A499,Agregado!B1512:B2007,Agregado!G499:G2007)</f>
        <v>#N/A</v>
      </c>
    </row>
    <row r="500" ht="15.75" customHeight="1">
      <c r="A500" s="12">
        <v>43823.0</v>
      </c>
      <c r="B500" s="2">
        <v>321.23</v>
      </c>
      <c r="C500" s="3" t="s">
        <v>299</v>
      </c>
      <c r="D500" s="4" t="str">
        <f t="array" ref="D500">XLOOKUP(Hoja5!A500,Agregado!B1512:B2008,Agregado!G500:G2008)</f>
        <v>#N/A</v>
      </c>
    </row>
    <row r="501" ht="15.75" customHeight="1">
      <c r="A501" s="12">
        <v>43825.0</v>
      </c>
      <c r="B501" s="2">
        <v>322.94</v>
      </c>
      <c r="C501" s="3" t="s">
        <v>300</v>
      </c>
      <c r="D501" s="4" t="str">
        <f t="array" ref="D501">XLOOKUP(Hoja5!A501,Agregado!B1512:B2009,Agregado!G501:G2009)</f>
        <v>#N/A</v>
      </c>
    </row>
    <row r="502" ht="15.75" customHeight="1">
      <c r="A502" s="12">
        <v>43826.0</v>
      </c>
      <c r="B502" s="2">
        <v>322.86</v>
      </c>
      <c r="C502" s="3" t="s">
        <v>301</v>
      </c>
      <c r="D502" s="4" t="str">
        <f t="array" ref="D502">XLOOKUP(Hoja5!A502,Agregado!B1512:B2010,Agregado!G502:G2010)</f>
        <v>#N/A</v>
      </c>
    </row>
    <row r="503" ht="15.75" customHeight="1">
      <c r="A503" s="12">
        <v>43829.0</v>
      </c>
      <c r="B503" s="2">
        <v>321.08</v>
      </c>
      <c r="C503" s="3" t="s">
        <v>302</v>
      </c>
      <c r="D503" s="4" t="str">
        <f t="array" ref="D503">XLOOKUP(Hoja5!A503,Agregado!B1512:B2011,Agregado!G503:G2011)</f>
        <v>#N/A</v>
      </c>
    </row>
    <row r="504" ht="15.75" customHeight="1">
      <c r="A504" s="12">
        <v>43830.0</v>
      </c>
      <c r="B504" s="2">
        <v>321.86</v>
      </c>
      <c r="C504" s="3" t="s">
        <v>303</v>
      </c>
      <c r="D504" s="4" t="str">
        <f t="array" ref="D504">XLOOKUP(Hoja5!A504,Agregado!B1512:B2012,Agregado!G504:G2012)</f>
        <v>#N/A</v>
      </c>
    </row>
    <row r="505" ht="15.75" customHeight="1">
      <c r="A505" s="12">
        <v>43832.0</v>
      </c>
      <c r="B505" s="2">
        <v>324.87</v>
      </c>
      <c r="C505" s="3">
        <v>43862.0</v>
      </c>
      <c r="D505" s="4" t="str">
        <f t="array" ref="D505">XLOOKUP(Hoja5!A505,Agregado!B1512:B2013,Agregado!G505:G2013)</f>
        <v>#N/A</v>
      </c>
    </row>
    <row r="506" ht="15.75" customHeight="1">
      <c r="A506" s="12">
        <v>43833.0</v>
      </c>
      <c r="B506" s="2">
        <v>322.41</v>
      </c>
      <c r="C506" s="3">
        <v>43891.0</v>
      </c>
      <c r="D506" s="4" t="str">
        <f t="array" ref="D506">XLOOKUP(Hoja5!A506,Agregado!B1512:B2014,Agregado!G506:G2014)</f>
        <v>#N/A</v>
      </c>
    </row>
    <row r="507" ht="15.75" customHeight="1">
      <c r="A507" s="12">
        <v>43836.0</v>
      </c>
      <c r="B507" s="2">
        <v>323.64</v>
      </c>
      <c r="C507" s="3">
        <v>43983.0</v>
      </c>
      <c r="D507" s="4" t="str">
        <f t="array" ref="D507">XLOOKUP(Hoja5!A507,Agregado!B1512:B2015,Agregado!G507:G2015)</f>
        <v>#N/A</v>
      </c>
    </row>
    <row r="508" ht="15.75" customHeight="1">
      <c r="A508" s="12">
        <v>43837.0</v>
      </c>
      <c r="B508" s="2">
        <v>322.73</v>
      </c>
      <c r="C508" s="3">
        <v>44013.0</v>
      </c>
      <c r="D508" s="4" t="str">
        <f t="array" ref="D508">XLOOKUP(Hoja5!A508,Agregado!B1512:B2016,Agregado!G508:G2016)</f>
        <v>#N/A</v>
      </c>
    </row>
    <row r="509" ht="15.75" customHeight="1">
      <c r="A509" s="12">
        <v>43838.0</v>
      </c>
      <c r="B509" s="2">
        <v>324.45</v>
      </c>
      <c r="C509" s="3">
        <v>44044.0</v>
      </c>
      <c r="D509" s="4" t="str">
        <f t="array" ref="D509">XLOOKUP(Hoja5!A509,Agregado!B1512:B2017,Agregado!G509:G2017)</f>
        <v>#N/A</v>
      </c>
    </row>
    <row r="510" ht="15.75" customHeight="1">
      <c r="A510" s="12">
        <v>43839.0</v>
      </c>
      <c r="B510" s="2">
        <v>326.65</v>
      </c>
      <c r="C510" s="3">
        <v>44075.0</v>
      </c>
      <c r="D510" s="4" t="str">
        <f t="array" ref="D510">XLOOKUP(Hoja5!A510,Agregado!B1512:B2018,Agregado!G510:G2018)</f>
        <v>#N/A</v>
      </c>
    </row>
    <row r="511" ht="15.75" customHeight="1">
      <c r="A511" s="12">
        <v>43840.0</v>
      </c>
      <c r="B511" s="2">
        <v>325.71</v>
      </c>
      <c r="C511" s="3">
        <v>44105.0</v>
      </c>
      <c r="D511" s="4" t="str">
        <f t="array" ref="D511">XLOOKUP(Hoja5!A511,Agregado!B1512:B2019,Agregado!G511:G2019)</f>
        <v>#N/A</v>
      </c>
    </row>
    <row r="512" ht="15.75" customHeight="1">
      <c r="A512" s="12">
        <v>43843.0</v>
      </c>
      <c r="B512" s="2">
        <v>327.95</v>
      </c>
      <c r="C512" s="3" t="s">
        <v>304</v>
      </c>
      <c r="D512" s="4" t="str">
        <f t="array" ref="D512">XLOOKUP(Hoja5!A512,Agregado!B1512:B2020,Agregado!G512:G2020)</f>
        <v>#N/A</v>
      </c>
    </row>
    <row r="513" ht="15.75" customHeight="1">
      <c r="A513" s="12">
        <v>43844.0</v>
      </c>
      <c r="B513" s="2">
        <v>327.45</v>
      </c>
      <c r="C513" s="3" t="s">
        <v>305</v>
      </c>
      <c r="D513" s="4" t="str">
        <f t="array" ref="D513">XLOOKUP(Hoja5!A513,Agregado!B1512:B2021,Agregado!G513:G2021)</f>
        <v>#N/A</v>
      </c>
    </row>
    <row r="514" ht="15.75" customHeight="1">
      <c r="A514" s="12">
        <v>43845.0</v>
      </c>
      <c r="B514" s="2">
        <v>328.19</v>
      </c>
      <c r="C514" s="3" t="s">
        <v>306</v>
      </c>
      <c r="D514" s="4" t="str">
        <f t="array" ref="D514">XLOOKUP(Hoja5!A514,Agregado!B1512:B2022,Agregado!G514:G2022)</f>
        <v>#N/A</v>
      </c>
    </row>
    <row r="515" ht="15.75" customHeight="1">
      <c r="A515" s="12">
        <v>43846.0</v>
      </c>
      <c r="B515" s="2">
        <v>330.92</v>
      </c>
      <c r="C515" s="3" t="s">
        <v>307</v>
      </c>
      <c r="D515" s="4" t="str">
        <f t="array" ref="D515">XLOOKUP(Hoja5!A515,Agregado!B1512:B2023,Agregado!G515:G2023)</f>
        <v>#N/A</v>
      </c>
    </row>
    <row r="516" ht="15.75" customHeight="1">
      <c r="A516" s="12">
        <v>43847.0</v>
      </c>
      <c r="B516" s="2">
        <v>331.95</v>
      </c>
      <c r="C516" s="3" t="s">
        <v>308</v>
      </c>
      <c r="D516" s="4" t="str">
        <f t="array" ref="D516">XLOOKUP(Hoja5!A516,Agregado!B1512:B2024,Agregado!G516:G2024)</f>
        <v>#N/A</v>
      </c>
    </row>
    <row r="517" ht="15.75" customHeight="1">
      <c r="A517" s="12">
        <v>43851.0</v>
      </c>
      <c r="B517" s="2">
        <v>331.3</v>
      </c>
      <c r="C517" s="3" t="s">
        <v>309</v>
      </c>
      <c r="D517" s="4" t="str">
        <f t="array" ref="D517">XLOOKUP(Hoja5!A517,Agregado!B1512:B2025,Agregado!G517:G2025)</f>
        <v>#N/A</v>
      </c>
    </row>
    <row r="518" ht="15.75" customHeight="1">
      <c r="A518" s="12">
        <v>43852.0</v>
      </c>
      <c r="B518" s="2">
        <v>331.34</v>
      </c>
      <c r="C518" s="3" t="s">
        <v>310</v>
      </c>
      <c r="D518" s="4" t="str">
        <f t="array" ref="D518">XLOOKUP(Hoja5!A518,Agregado!B1512:B2026,Agregado!G518:G2026)</f>
        <v>#N/A</v>
      </c>
    </row>
    <row r="519" ht="15.75" customHeight="1">
      <c r="A519" s="12">
        <v>43853.0</v>
      </c>
      <c r="B519" s="2">
        <v>331.72</v>
      </c>
      <c r="C519" s="3" t="s">
        <v>311</v>
      </c>
      <c r="D519" s="4" t="str">
        <f t="array" ref="D519">XLOOKUP(Hoja5!A519,Agregado!B1512:B2027,Agregado!G519:G2027)</f>
        <v>#N/A</v>
      </c>
    </row>
    <row r="520" ht="15.75" customHeight="1">
      <c r="A520" s="12">
        <v>43854.0</v>
      </c>
      <c r="B520" s="2">
        <v>328.77</v>
      </c>
      <c r="C520" s="3" t="s">
        <v>312</v>
      </c>
      <c r="D520" s="4" t="str">
        <f t="array" ref="D520">XLOOKUP(Hoja5!A520,Agregado!B1512:B2028,Agregado!G520:G2028)</f>
        <v>#N/A</v>
      </c>
    </row>
    <row r="521" ht="15.75" customHeight="1">
      <c r="A521" s="12">
        <v>43857.0</v>
      </c>
      <c r="B521" s="2">
        <v>323.5</v>
      </c>
      <c r="C521" s="3" t="s">
        <v>313</v>
      </c>
      <c r="D521" s="4" t="str">
        <f t="array" ref="D521">XLOOKUP(Hoja5!A521,Agregado!B1512:B2029,Agregado!G521:G2029)</f>
        <v>#N/A</v>
      </c>
    </row>
    <row r="522" ht="15.75" customHeight="1">
      <c r="A522" s="12">
        <v>43858.0</v>
      </c>
      <c r="B522" s="2">
        <v>326.89</v>
      </c>
      <c r="C522" s="3" t="s">
        <v>314</v>
      </c>
      <c r="D522" s="4" t="str">
        <f t="array" ref="D522">XLOOKUP(Hoja5!A522,Agregado!B1512:B2030,Agregado!G522:G2030)</f>
        <v>#N/A</v>
      </c>
    </row>
    <row r="523" ht="15.75" customHeight="1">
      <c r="A523" s="12">
        <v>43859.0</v>
      </c>
      <c r="B523" s="2">
        <v>326.62</v>
      </c>
      <c r="C523" s="3" t="s">
        <v>315</v>
      </c>
      <c r="D523" s="4" t="str">
        <f t="array" ref="D523">XLOOKUP(Hoja5!A523,Agregado!B1512:B2031,Agregado!G523:G2031)</f>
        <v>#N/A</v>
      </c>
    </row>
    <row r="524" ht="15.75" customHeight="1">
      <c r="A524" s="12">
        <v>43860.0</v>
      </c>
      <c r="B524" s="2">
        <v>327.68</v>
      </c>
      <c r="C524" s="3" t="s">
        <v>316</v>
      </c>
      <c r="D524" s="4" t="str">
        <f t="array" ref="D524">XLOOKUP(Hoja5!A524,Agregado!B1512:B2032,Agregado!G524:G2032)</f>
        <v>#N/A</v>
      </c>
    </row>
    <row r="525" ht="15.75" customHeight="1">
      <c r="A525" s="12">
        <v>43861.0</v>
      </c>
      <c r="B525" s="2">
        <v>321.73</v>
      </c>
      <c r="C525" s="3" t="s">
        <v>317</v>
      </c>
      <c r="D525" s="4" t="str">
        <f t="array" ref="D525">XLOOKUP(Hoja5!A525,Agregado!B1512:B2033,Agregado!G525:G2033)</f>
        <v>#N/A</v>
      </c>
    </row>
    <row r="526" ht="15.75" customHeight="1">
      <c r="A526" s="12">
        <v>43864.0</v>
      </c>
      <c r="B526" s="2">
        <v>324.12</v>
      </c>
      <c r="C526" s="3">
        <v>43892.0</v>
      </c>
      <c r="D526" s="4" t="str">
        <f t="array" ref="D526">XLOOKUP(Hoja5!A526,Agregado!B1512:B2034,Agregado!G526:G2034)</f>
        <v>#N/A</v>
      </c>
    </row>
    <row r="527" ht="15.75" customHeight="1">
      <c r="A527" s="12">
        <v>43865.0</v>
      </c>
      <c r="B527" s="2">
        <v>329.06</v>
      </c>
      <c r="C527" s="3">
        <v>43923.0</v>
      </c>
      <c r="D527" s="4" t="str">
        <f t="array" ref="D527">XLOOKUP(Hoja5!A527,Agregado!B1512:B2035,Agregado!G527:G2035)</f>
        <v>#N/A</v>
      </c>
    </row>
    <row r="528" ht="15.75" customHeight="1">
      <c r="A528" s="12">
        <v>43866.0</v>
      </c>
      <c r="B528" s="2">
        <v>332.86</v>
      </c>
      <c r="C528" s="3">
        <v>43953.0</v>
      </c>
      <c r="D528" s="4" t="str">
        <f t="array" ref="D528">XLOOKUP(Hoja5!A528,Agregado!B1512:B2036,Agregado!G528:G2036)</f>
        <v>#N/A</v>
      </c>
    </row>
    <row r="529" ht="15.75" customHeight="1">
      <c r="A529" s="12">
        <v>43867.0</v>
      </c>
      <c r="B529" s="2">
        <v>333.98</v>
      </c>
      <c r="C529" s="3">
        <v>43984.0</v>
      </c>
      <c r="D529" s="4" t="str">
        <f t="array" ref="D529">XLOOKUP(Hoja5!A529,Agregado!B1512:B2037,Agregado!G529:G2037)</f>
        <v>#N/A</v>
      </c>
    </row>
    <row r="530" ht="15.75" customHeight="1">
      <c r="A530" s="12">
        <v>43868.0</v>
      </c>
      <c r="B530" s="2">
        <v>332.2</v>
      </c>
      <c r="C530" s="3">
        <v>44014.0</v>
      </c>
      <c r="D530" s="4" t="str">
        <f t="array" ref="D530">XLOOKUP(Hoja5!A530,Agregado!B1512:B2038,Agregado!G530:G2038)</f>
        <v>#N/A</v>
      </c>
    </row>
    <row r="531" ht="15.75" customHeight="1">
      <c r="A531" s="12">
        <v>43871.0</v>
      </c>
      <c r="B531" s="2">
        <v>334.68</v>
      </c>
      <c r="C531" s="3">
        <v>44106.0</v>
      </c>
      <c r="D531" s="4" t="str">
        <f t="array" ref="D531">XLOOKUP(Hoja5!A531,Agregado!B1512:B2039,Agregado!G531:G2039)</f>
        <v>#N/A</v>
      </c>
    </row>
    <row r="532" ht="15.75" customHeight="1">
      <c r="A532" s="12">
        <v>43872.0</v>
      </c>
      <c r="B532" s="2">
        <v>335.26</v>
      </c>
      <c r="C532" s="3">
        <v>44137.0</v>
      </c>
      <c r="D532" s="4" t="str">
        <f t="array" ref="D532">XLOOKUP(Hoja5!A532,Agregado!B1512:B2040,Agregado!G532:G2040)</f>
        <v>#N/A</v>
      </c>
    </row>
    <row r="533" ht="15.75" customHeight="1">
      <c r="A533" s="12">
        <v>43873.0</v>
      </c>
      <c r="B533" s="2">
        <v>337.42</v>
      </c>
      <c r="C533" s="3">
        <v>44167.0</v>
      </c>
      <c r="D533" s="4" t="str">
        <f t="array" ref="D533">XLOOKUP(Hoja5!A533,Agregado!B1512:B2041,Agregado!G533:G2041)</f>
        <v>#N/A</v>
      </c>
    </row>
    <row r="534" ht="15.75" customHeight="1">
      <c r="A534" s="12">
        <v>43874.0</v>
      </c>
      <c r="B534" s="2">
        <v>337.06</v>
      </c>
      <c r="C534" s="3" t="s">
        <v>318</v>
      </c>
      <c r="D534" s="4" t="str">
        <f t="array" ref="D534">XLOOKUP(Hoja5!A534,Agregado!B1512:B2042,Agregado!G534:G2042)</f>
        <v>#N/A</v>
      </c>
    </row>
    <row r="535" ht="15.75" customHeight="1">
      <c r="A535" s="12">
        <v>43875.0</v>
      </c>
      <c r="B535" s="2">
        <v>337.6</v>
      </c>
      <c r="C535" s="3" t="s">
        <v>319</v>
      </c>
      <c r="D535" s="4" t="str">
        <f t="array" ref="D535">XLOOKUP(Hoja5!A535,Agregado!B1512:B2043,Agregado!G535:G2043)</f>
        <v>#N/A</v>
      </c>
    </row>
    <row r="536" ht="15.75" customHeight="1">
      <c r="A536" s="12">
        <v>43879.0</v>
      </c>
      <c r="B536" s="2">
        <v>336.73</v>
      </c>
      <c r="C536" s="3" t="s">
        <v>320</v>
      </c>
      <c r="D536" s="4" t="str">
        <f t="array" ref="D536">XLOOKUP(Hoja5!A536,Agregado!B1512:B2044,Agregado!G536:G2044)</f>
        <v>#N/A</v>
      </c>
    </row>
    <row r="537" ht="15.75" customHeight="1">
      <c r="A537" s="12">
        <v>43880.0</v>
      </c>
      <c r="B537" s="2">
        <v>338.34</v>
      </c>
      <c r="C537" s="3" t="s">
        <v>321</v>
      </c>
      <c r="D537" s="4" t="str">
        <f t="array" ref="D537">XLOOKUP(Hoja5!A537,Agregado!B1512:B2045,Agregado!G537:G2045)</f>
        <v>#N/A</v>
      </c>
    </row>
    <row r="538" ht="15.75" customHeight="1">
      <c r="A538" s="12">
        <v>43881.0</v>
      </c>
      <c r="B538" s="2">
        <v>336.95</v>
      </c>
      <c r="C538" s="3" t="s">
        <v>322</v>
      </c>
      <c r="D538" s="4" t="str">
        <f t="array" ref="D538">XLOOKUP(Hoja5!A538,Agregado!B1512:B2046,Agregado!G538:G2046)</f>
        <v>#N/A</v>
      </c>
    </row>
    <row r="539" ht="15.75" customHeight="1">
      <c r="A539" s="12">
        <v>43882.0</v>
      </c>
      <c r="B539" s="2">
        <v>333.48</v>
      </c>
      <c r="C539" s="3" t="s">
        <v>323</v>
      </c>
      <c r="D539" s="4" t="str">
        <f t="array" ref="D539">XLOOKUP(Hoja5!A539,Agregado!B1512:B2047,Agregado!G539:G2047)</f>
        <v>#N/A</v>
      </c>
    </row>
    <row r="540" ht="15.75" customHeight="1">
      <c r="A540" s="12">
        <v>43885.0</v>
      </c>
      <c r="B540" s="2">
        <v>322.42</v>
      </c>
      <c r="C540" s="3" t="s">
        <v>324</v>
      </c>
      <c r="D540" s="4" t="str">
        <f t="array" ref="D540">XLOOKUP(Hoja5!A540,Agregado!B1512:B2048,Agregado!G540:G2048)</f>
        <v>#N/A</v>
      </c>
    </row>
    <row r="541" ht="15.75" customHeight="1">
      <c r="A541" s="12">
        <v>43886.0</v>
      </c>
      <c r="B541" s="2">
        <v>312.65</v>
      </c>
      <c r="C541" s="3" t="s">
        <v>325</v>
      </c>
      <c r="D541" s="4" t="str">
        <f t="array" ref="D541">XLOOKUP(Hoja5!A541,Agregado!B1512:B2049,Agregado!G541:G2049)</f>
        <v>#N/A</v>
      </c>
    </row>
    <row r="542" ht="15.75" customHeight="1">
      <c r="A542" s="12">
        <v>43887.0</v>
      </c>
      <c r="B542" s="2">
        <v>311.5</v>
      </c>
      <c r="C542" s="3" t="s">
        <v>326</v>
      </c>
      <c r="D542" s="4" t="str">
        <f t="array" ref="D542">XLOOKUP(Hoja5!A542,Agregado!B1512:B2050,Agregado!G542:G2050)</f>
        <v>#N/A</v>
      </c>
    </row>
    <row r="543" ht="15.75" customHeight="1">
      <c r="A543" s="12">
        <v>43888.0</v>
      </c>
      <c r="B543" s="2">
        <v>297.51</v>
      </c>
      <c r="C543" s="3" t="s">
        <v>327</v>
      </c>
      <c r="D543" s="4" t="str">
        <f t="array" ref="D543">XLOOKUP(Hoja5!A543,Agregado!B1512:B2051,Agregado!G543:G2051)</f>
        <v>#N/A</v>
      </c>
    </row>
    <row r="544" ht="15.75" customHeight="1">
      <c r="A544" s="12">
        <v>43889.0</v>
      </c>
      <c r="B544" s="2">
        <v>296.26</v>
      </c>
      <c r="C544" s="3" t="s">
        <v>328</v>
      </c>
      <c r="D544" s="4" t="str">
        <f t="array" ref="D544">XLOOKUP(Hoja5!A544,Agregado!B1512:B2052,Agregado!G544:G2052)</f>
        <v>#N/A</v>
      </c>
    </row>
    <row r="545" ht="15.75" customHeight="1">
      <c r="A545" s="12">
        <v>43892.0</v>
      </c>
      <c r="B545" s="2">
        <v>309.09</v>
      </c>
      <c r="C545" s="3">
        <v>43864.0</v>
      </c>
      <c r="D545" s="4" t="str">
        <f t="array" ref="D545">XLOOKUP(Hoja5!A545,Agregado!B1512:B2053,Agregado!G545:G2053)</f>
        <v>#N/A</v>
      </c>
    </row>
    <row r="546" ht="15.75" customHeight="1">
      <c r="A546" s="12">
        <v>43893.0</v>
      </c>
      <c r="B546" s="2">
        <v>300.24</v>
      </c>
      <c r="C546" s="3">
        <v>43893.0</v>
      </c>
      <c r="D546" s="4" t="str">
        <f t="array" ref="D546">XLOOKUP(Hoja5!A546,Agregado!B1512:B2054,Agregado!G546:G2054)</f>
        <v>#N/A</v>
      </c>
    </row>
    <row r="547" ht="15.75" customHeight="1">
      <c r="A547" s="12">
        <v>43894.0</v>
      </c>
      <c r="B547" s="2">
        <v>312.86</v>
      </c>
      <c r="C547" s="3">
        <v>43924.0</v>
      </c>
      <c r="D547" s="4" t="str">
        <f t="array" ref="D547">XLOOKUP(Hoja5!A547,Agregado!B1512:B2055,Agregado!G547:G2055)</f>
        <v>#N/A</v>
      </c>
    </row>
    <row r="548" ht="15.75" customHeight="1">
      <c r="A548" s="12">
        <v>43895.0</v>
      </c>
      <c r="B548" s="2">
        <v>302.46</v>
      </c>
      <c r="C548" s="3">
        <v>43954.0</v>
      </c>
      <c r="D548" s="4" t="str">
        <f t="array" ref="D548">XLOOKUP(Hoja5!A548,Agregado!B1512:B2056,Agregado!G548:G2056)</f>
        <v>#N/A</v>
      </c>
    </row>
    <row r="549" ht="15.75" customHeight="1">
      <c r="A549" s="12">
        <v>43896.0</v>
      </c>
      <c r="B549" s="2">
        <v>297.46</v>
      </c>
      <c r="C549" s="3">
        <v>43985.0</v>
      </c>
      <c r="D549" s="4" t="str">
        <f t="array" ref="D549">XLOOKUP(Hoja5!A549,Agregado!B1512:B2057,Agregado!G549:G2057)</f>
        <v>#N/A</v>
      </c>
    </row>
    <row r="550" ht="15.75" customHeight="1">
      <c r="A550" s="12">
        <v>43899.0</v>
      </c>
      <c r="B550" s="2">
        <v>274.23</v>
      </c>
      <c r="C550" s="3">
        <v>44077.0</v>
      </c>
      <c r="D550" s="4" t="str">
        <f t="array" ref="D550">XLOOKUP(Hoja5!A550,Agregado!B1512:B2058,Agregado!G550:G2058)</f>
        <v>#N/A</v>
      </c>
    </row>
    <row r="551" ht="15.75" customHeight="1">
      <c r="A551" s="12">
        <v>43900.0</v>
      </c>
      <c r="B551" s="2">
        <v>288.42</v>
      </c>
      <c r="C551" s="3">
        <v>44107.0</v>
      </c>
      <c r="D551" s="4" t="str">
        <f t="array" ref="D551">XLOOKUP(Hoja5!A551,Agregado!B1512:B2059,Agregado!G551:G2059)</f>
        <v>#N/A</v>
      </c>
    </row>
    <row r="552" ht="15.75" customHeight="1">
      <c r="A552" s="12">
        <v>43901.0</v>
      </c>
      <c r="B552" s="2">
        <v>274.36</v>
      </c>
      <c r="C552" s="3">
        <v>44138.0</v>
      </c>
      <c r="D552" s="4" t="str">
        <f t="array" ref="D552">XLOOKUP(Hoja5!A552,Agregado!B1512:B2060,Agregado!G552:G2060)</f>
        <v>#N/A</v>
      </c>
    </row>
    <row r="553" ht="15.75" customHeight="1">
      <c r="A553" s="12">
        <v>43902.0</v>
      </c>
      <c r="B553" s="2">
        <v>248.11</v>
      </c>
      <c r="C553" s="3">
        <v>44168.0</v>
      </c>
      <c r="D553" s="4" t="str">
        <f t="array" ref="D553">XLOOKUP(Hoja5!A553,Agregado!B1512:B2061,Agregado!G553:G2061)</f>
        <v>#N/A</v>
      </c>
    </row>
    <row r="554" ht="15.75" customHeight="1">
      <c r="A554" s="12">
        <v>43903.0</v>
      </c>
      <c r="B554" s="2">
        <v>269.32</v>
      </c>
      <c r="C554" s="3" t="s">
        <v>329</v>
      </c>
      <c r="D554" s="4" t="str">
        <f t="array" ref="D554">XLOOKUP(Hoja5!A554,Agregado!B1512:B2062,Agregado!G554:G2062)</f>
        <v>#N/A</v>
      </c>
    </row>
    <row r="555" ht="15.75" customHeight="1">
      <c r="A555" s="12">
        <v>43906.0</v>
      </c>
      <c r="B555" s="2">
        <v>239.85</v>
      </c>
      <c r="C555" s="3" t="s">
        <v>330</v>
      </c>
      <c r="D555" s="4" t="str">
        <f t="array" ref="D555">XLOOKUP(Hoja5!A555,Agregado!B1512:B2063,Agregado!G555:G2063)</f>
        <v>#N/A</v>
      </c>
    </row>
    <row r="556" ht="15.75" customHeight="1">
      <c r="A556" s="12">
        <v>43907.0</v>
      </c>
      <c r="B556" s="2">
        <v>252.8</v>
      </c>
      <c r="C556" s="3" t="s">
        <v>331</v>
      </c>
      <c r="D556" s="4" t="str">
        <f t="array" ref="D556">XLOOKUP(Hoja5!A556,Agregado!B1512:B2064,Agregado!G556:G2064)</f>
        <v>#N/A</v>
      </c>
    </row>
    <row r="557" ht="15.75" customHeight="1">
      <c r="A557" s="12">
        <v>43908.0</v>
      </c>
      <c r="B557" s="2">
        <v>240.0</v>
      </c>
      <c r="C557" s="3" t="s">
        <v>332</v>
      </c>
      <c r="D557" s="4" t="str">
        <f t="array" ref="D557">XLOOKUP(Hoja5!A557,Agregado!B1512:B2065,Agregado!G557:G2065)</f>
        <v>#N/A</v>
      </c>
    </row>
    <row r="558" ht="15.75" customHeight="1">
      <c r="A558" s="12">
        <v>43909.0</v>
      </c>
      <c r="B558" s="2">
        <v>240.51</v>
      </c>
      <c r="C558" s="3" t="s">
        <v>333</v>
      </c>
      <c r="D558" s="4" t="str">
        <f t="array" ref="D558">XLOOKUP(Hoja5!A558,Agregado!B1512:B2066,Agregado!G558:G2066)</f>
        <v>#N/A</v>
      </c>
    </row>
    <row r="559" ht="15.75" customHeight="1">
      <c r="A559" s="12">
        <v>43910.0</v>
      </c>
      <c r="B559" s="2">
        <v>228.8</v>
      </c>
      <c r="C559" s="3" t="s">
        <v>334</v>
      </c>
      <c r="D559" s="4" t="str">
        <f t="array" ref="D559">XLOOKUP(Hoja5!A559,Agregado!B1512:B2067,Agregado!G559:G2067)</f>
        <v>#N/A</v>
      </c>
    </row>
    <row r="560" ht="15.75" customHeight="1">
      <c r="A560" s="12">
        <v>43913.0</v>
      </c>
      <c r="B560" s="2">
        <v>222.95</v>
      </c>
      <c r="C560" s="3" t="s">
        <v>335</v>
      </c>
      <c r="D560" s="4" t="str">
        <f t="array" ref="D560">XLOOKUP(Hoja5!A560,Agregado!B1512:B2068,Agregado!G560:G2068)</f>
        <v>#N/A</v>
      </c>
    </row>
    <row r="561" ht="15.75" customHeight="1">
      <c r="A561" s="12">
        <v>43914.0</v>
      </c>
      <c r="B561" s="2">
        <v>243.15</v>
      </c>
      <c r="C561" s="3" t="s">
        <v>336</v>
      </c>
      <c r="D561" s="4" t="str">
        <f t="array" ref="D561">XLOOKUP(Hoja5!A561,Agregado!B1512:B2069,Agregado!G561:G2069)</f>
        <v>#N/A</v>
      </c>
    </row>
    <row r="562" ht="15.75" customHeight="1">
      <c r="A562" s="12">
        <v>43915.0</v>
      </c>
      <c r="B562" s="2">
        <v>246.79</v>
      </c>
      <c r="C562" s="3" t="s">
        <v>337</v>
      </c>
      <c r="D562" s="4" t="str">
        <f t="array" ref="D562">XLOOKUP(Hoja5!A562,Agregado!B1512:B2070,Agregado!G562:G2070)</f>
        <v>#N/A</v>
      </c>
    </row>
    <row r="563" ht="15.75" customHeight="1">
      <c r="A563" s="12">
        <v>43916.0</v>
      </c>
      <c r="B563" s="2">
        <v>261.2</v>
      </c>
      <c r="C563" s="3" t="s">
        <v>338</v>
      </c>
      <c r="D563" s="4" t="str">
        <f t="array" ref="D563">XLOOKUP(Hoja5!A563,Agregado!B1512:B2071,Agregado!G563:G2071)</f>
        <v>#N/A</v>
      </c>
    </row>
    <row r="564" ht="15.75" customHeight="1">
      <c r="A564" s="12">
        <v>43917.0</v>
      </c>
      <c r="B564" s="2">
        <v>253.42</v>
      </c>
      <c r="C564" s="3" t="s">
        <v>339</v>
      </c>
      <c r="D564" s="4" t="str">
        <f t="array" ref="D564">XLOOKUP(Hoja5!A564,Agregado!B1512:B2072,Agregado!G564:G2072)</f>
        <v>#N/A</v>
      </c>
    </row>
    <row r="565" ht="15.75" customHeight="1">
      <c r="A565" s="12">
        <v>43920.0</v>
      </c>
      <c r="B565" s="2">
        <v>261.65</v>
      </c>
      <c r="C565" s="3" t="s">
        <v>340</v>
      </c>
      <c r="D565" s="4" t="str">
        <f t="array" ref="D565">XLOOKUP(Hoja5!A565,Agregado!B1512:B2073,Agregado!G565:G2073)</f>
        <v>#N/A</v>
      </c>
    </row>
    <row r="566" ht="15.75" customHeight="1">
      <c r="A566" s="12">
        <v>43921.0</v>
      </c>
      <c r="B566" s="2">
        <v>257.75</v>
      </c>
      <c r="C566" s="3" t="s">
        <v>341</v>
      </c>
      <c r="D566" s="4" t="str">
        <f t="array" ref="D566">XLOOKUP(Hoja5!A566,Agregado!B1512:B2074,Agregado!G566:G2074)</f>
        <v>#N/A</v>
      </c>
    </row>
    <row r="567" ht="15.75" customHeight="1">
      <c r="A567" s="12">
        <v>43922.0</v>
      </c>
      <c r="B567" s="2">
        <v>246.15</v>
      </c>
      <c r="C567" s="3">
        <v>43834.0</v>
      </c>
      <c r="D567" s="4" t="str">
        <f t="array" ref="D567">XLOOKUP(Hoja5!A567,Agregado!B1512:B2075,Agregado!G567:G2075)</f>
        <v>#N/A</v>
      </c>
    </row>
    <row r="568" ht="15.75" customHeight="1">
      <c r="A568" s="12">
        <v>43923.0</v>
      </c>
      <c r="B568" s="2">
        <v>251.83</v>
      </c>
      <c r="C568" s="3">
        <v>43865.0</v>
      </c>
      <c r="D568" s="4" t="str">
        <f t="array" ref="D568">XLOOKUP(Hoja5!A568,Agregado!B1512:B2076,Agregado!G568:G2076)</f>
        <v>#N/A</v>
      </c>
    </row>
    <row r="569" ht="15.75" customHeight="1">
      <c r="A569" s="12">
        <v>43924.0</v>
      </c>
      <c r="B569" s="2">
        <v>248.19</v>
      </c>
      <c r="C569" s="3">
        <v>43894.0</v>
      </c>
      <c r="D569" s="4" t="str">
        <f t="array" ref="D569">XLOOKUP(Hoja5!A569,Agregado!B1512:B2077,Agregado!G569:G2077)</f>
        <v>#N/A</v>
      </c>
    </row>
    <row r="570" ht="15.75" customHeight="1">
      <c r="A570" s="12">
        <v>43927.0</v>
      </c>
      <c r="B570" s="2">
        <v>264.86</v>
      </c>
      <c r="C570" s="3">
        <v>43986.0</v>
      </c>
      <c r="D570" s="4" t="str">
        <f t="array" ref="D570">XLOOKUP(Hoja5!A570,Agregado!B1512:B2078,Agregado!G570:G2078)</f>
        <v>#N/A</v>
      </c>
    </row>
    <row r="571" ht="15.75" customHeight="1">
      <c r="A571" s="12">
        <v>43928.0</v>
      </c>
      <c r="B571" s="2">
        <v>265.13</v>
      </c>
      <c r="C571" s="3">
        <v>44016.0</v>
      </c>
      <c r="D571" s="4" t="str">
        <f t="array" ref="D571">XLOOKUP(Hoja5!A571,Agregado!B1512:B2079,Agregado!G571:G2079)</f>
        <v>#N/A</v>
      </c>
    </row>
    <row r="572" ht="15.75" customHeight="1">
      <c r="A572" s="12">
        <v>43929.0</v>
      </c>
      <c r="B572" s="2">
        <v>274.03</v>
      </c>
      <c r="C572" s="3">
        <v>44047.0</v>
      </c>
      <c r="D572" s="4" t="str">
        <f t="array" ref="D572">XLOOKUP(Hoja5!A572,Agregado!B1512:B2080,Agregado!G572:G2080)</f>
        <v>#N/A</v>
      </c>
    </row>
    <row r="573" ht="15.75" customHeight="1">
      <c r="A573" s="12">
        <v>43930.0</v>
      </c>
      <c r="B573" s="2">
        <v>278.2</v>
      </c>
      <c r="C573" s="3">
        <v>44078.0</v>
      </c>
      <c r="D573" s="4" t="str">
        <f t="array" ref="D573">XLOOKUP(Hoja5!A573,Agregado!B1512:B2081,Agregado!G573:G2081)</f>
        <v>#N/A</v>
      </c>
    </row>
    <row r="574" ht="15.75" customHeight="1">
      <c r="A574" s="12">
        <v>43934.0</v>
      </c>
      <c r="B574" s="2">
        <v>275.66</v>
      </c>
      <c r="C574" s="3" t="s">
        <v>342</v>
      </c>
      <c r="D574" s="4" t="str">
        <f t="array" ref="D574">XLOOKUP(Hoja5!A574,Agregado!B1512:B2082,Agregado!G574:G2082)</f>
        <v>#N/A</v>
      </c>
    </row>
    <row r="575" ht="15.75" customHeight="1">
      <c r="A575" s="12">
        <v>43935.0</v>
      </c>
      <c r="B575" s="2">
        <v>283.79</v>
      </c>
      <c r="C575" s="3" t="s">
        <v>343</v>
      </c>
      <c r="D575" s="4" t="str">
        <f t="array" ref="D575">XLOOKUP(Hoja5!A575,Agregado!B1512:B2083,Agregado!G575:G2083)</f>
        <v>#N/A</v>
      </c>
    </row>
    <row r="576" ht="15.75" customHeight="1">
      <c r="A576" s="12">
        <v>43936.0</v>
      </c>
      <c r="B576" s="2">
        <v>277.76</v>
      </c>
      <c r="C576" s="3" t="s">
        <v>344</v>
      </c>
      <c r="D576" s="4" t="str">
        <f t="array" ref="D576">XLOOKUP(Hoja5!A576,Agregado!B1512:B2084,Agregado!G576:G2084)</f>
        <v>#N/A</v>
      </c>
    </row>
    <row r="577" ht="15.75" customHeight="1">
      <c r="A577" s="12">
        <v>43937.0</v>
      </c>
      <c r="B577" s="2">
        <v>279.1</v>
      </c>
      <c r="C577" s="3" t="s">
        <v>345</v>
      </c>
      <c r="D577" s="4" t="str">
        <f t="array" ref="D577">XLOOKUP(Hoja5!A577,Agregado!B1512:B2085,Agregado!G577:G2085)</f>
        <v>#N/A</v>
      </c>
    </row>
    <row r="578" ht="15.75" customHeight="1">
      <c r="A578" s="12">
        <v>43938.0</v>
      </c>
      <c r="B578" s="2">
        <v>286.64</v>
      </c>
      <c r="C578" s="3" t="s">
        <v>346</v>
      </c>
      <c r="D578" s="4" t="str">
        <f t="array" ref="D578">XLOOKUP(Hoja5!A578,Agregado!B1512:B2086,Agregado!G578:G2086)</f>
        <v>#N/A</v>
      </c>
    </row>
    <row r="579" ht="15.75" customHeight="1">
      <c r="A579" s="12">
        <v>43941.0</v>
      </c>
      <c r="B579" s="2">
        <v>281.59</v>
      </c>
      <c r="C579" s="3" t="s">
        <v>347</v>
      </c>
      <c r="D579" s="4" t="str">
        <f t="array" ref="D579">XLOOKUP(Hoja5!A579,Agregado!B1512:B2087,Agregado!G579:G2087)</f>
        <v>#N/A</v>
      </c>
    </row>
    <row r="580" ht="15.75" customHeight="1">
      <c r="A580" s="12">
        <v>43942.0</v>
      </c>
      <c r="B580" s="2">
        <v>273.04</v>
      </c>
      <c r="C580" s="3" t="s">
        <v>348</v>
      </c>
      <c r="D580" s="4" t="str">
        <f t="array" ref="D580">XLOOKUP(Hoja5!A580,Agregado!B1512:B2088,Agregado!G580:G2088)</f>
        <v>#N/A</v>
      </c>
    </row>
    <row r="581" ht="15.75" customHeight="1">
      <c r="A581" s="12">
        <v>43943.0</v>
      </c>
      <c r="B581" s="2">
        <v>279.1</v>
      </c>
      <c r="C581" s="3" t="s">
        <v>349</v>
      </c>
      <c r="D581" s="4" t="str">
        <f t="array" ref="D581">XLOOKUP(Hoja5!A581,Agregado!B1512:B2089,Agregado!G581:G2089)</f>
        <v>#N/A</v>
      </c>
    </row>
    <row r="582" ht="15.75" customHeight="1">
      <c r="A582" s="12">
        <v>43944.0</v>
      </c>
      <c r="B582" s="2">
        <v>279.08</v>
      </c>
      <c r="C582" s="3" t="s">
        <v>350</v>
      </c>
      <c r="D582" s="4" t="str">
        <f t="array" ref="D582">XLOOKUP(Hoja5!A582,Agregado!B1512:B2090,Agregado!G582:G2090)</f>
        <v>#N/A</v>
      </c>
    </row>
    <row r="583" ht="15.75" customHeight="1">
      <c r="A583" s="12">
        <v>43945.0</v>
      </c>
      <c r="B583" s="2">
        <v>282.97</v>
      </c>
      <c r="C583" s="3" t="s">
        <v>351</v>
      </c>
      <c r="D583" s="4" t="str">
        <f t="array" ref="D583">XLOOKUP(Hoja5!A583,Agregado!B1512:B2091,Agregado!G583:G2091)</f>
        <v>#N/A</v>
      </c>
    </row>
    <row r="584" ht="15.75" customHeight="1">
      <c r="A584" s="12">
        <v>43948.0</v>
      </c>
      <c r="B584" s="2">
        <v>287.05</v>
      </c>
      <c r="C584" s="3" t="s">
        <v>352</v>
      </c>
      <c r="D584" s="4" t="str">
        <f t="array" ref="D584">XLOOKUP(Hoja5!A584,Agregado!B1512:B2092,Agregado!G584:G2092)</f>
        <v>#N/A</v>
      </c>
    </row>
    <row r="585" ht="15.75" customHeight="1">
      <c r="A585" s="12">
        <v>43949.0</v>
      </c>
      <c r="B585" s="2">
        <v>285.73</v>
      </c>
      <c r="C585" s="3" t="s">
        <v>353</v>
      </c>
      <c r="D585" s="4" t="str">
        <f t="array" ref="D585">XLOOKUP(Hoja5!A585,Agregado!B1512:B2093,Agregado!G585:G2093)</f>
        <v>#N/A</v>
      </c>
    </row>
    <row r="586" ht="15.75" customHeight="1">
      <c r="A586" s="12">
        <v>43950.0</v>
      </c>
      <c r="B586" s="2">
        <v>293.21</v>
      </c>
      <c r="C586" s="3" t="s">
        <v>354</v>
      </c>
      <c r="D586" s="4" t="str">
        <f t="array" ref="D586">XLOOKUP(Hoja5!A586,Agregado!B1512:B2094,Agregado!G586:G2094)</f>
        <v>#N/A</v>
      </c>
    </row>
    <row r="587" ht="15.75" customHeight="1">
      <c r="A587" s="12">
        <v>43951.0</v>
      </c>
      <c r="B587" s="2">
        <v>290.48</v>
      </c>
      <c r="C587" s="3" t="s">
        <v>355</v>
      </c>
      <c r="D587" s="4" t="str">
        <f t="array" ref="D587">XLOOKUP(Hoja5!A587,Agregado!B1512:B2095,Agregado!G587:G2095)</f>
        <v>#N/A</v>
      </c>
    </row>
    <row r="588" ht="15.75" customHeight="1">
      <c r="A588" s="12">
        <v>43952.0</v>
      </c>
      <c r="B588" s="2">
        <v>282.79</v>
      </c>
      <c r="C588" s="3">
        <v>43835.0</v>
      </c>
      <c r="D588" s="4" t="str">
        <f t="array" ref="D588">XLOOKUP(Hoja5!A588,Agregado!B1512:B2096,Agregado!G588:G2096)</f>
        <v>#N/A</v>
      </c>
    </row>
    <row r="589" ht="15.75" customHeight="1">
      <c r="A589" s="12">
        <v>43955.0</v>
      </c>
      <c r="B589" s="2">
        <v>283.57</v>
      </c>
      <c r="C589" s="3">
        <v>43926.0</v>
      </c>
      <c r="D589" s="4" t="str">
        <f t="array" ref="D589">XLOOKUP(Hoja5!A589,Agregado!B1512:B2097,Agregado!G589:G2097)</f>
        <v>#N/A</v>
      </c>
    </row>
    <row r="590" ht="15.75" customHeight="1">
      <c r="A590" s="12">
        <v>43956.0</v>
      </c>
      <c r="B590" s="2">
        <v>286.19</v>
      </c>
      <c r="C590" s="3">
        <v>43956.0</v>
      </c>
      <c r="D590" s="4" t="str">
        <f t="array" ref="D590">XLOOKUP(Hoja5!A590,Agregado!B1512:B2098,Agregado!G590:G2098)</f>
        <v>#N/A</v>
      </c>
    </row>
    <row r="591" ht="15.75" customHeight="1">
      <c r="A591" s="12">
        <v>43957.0</v>
      </c>
      <c r="B591" s="2">
        <v>284.25</v>
      </c>
      <c r="C591" s="3">
        <v>43987.0</v>
      </c>
      <c r="D591" s="4" t="str">
        <f t="array" ref="D591">XLOOKUP(Hoja5!A591,Agregado!B1512:B2099,Agregado!G591:G2099)</f>
        <v>#N/A</v>
      </c>
    </row>
    <row r="592" ht="15.75" customHeight="1">
      <c r="A592" s="12">
        <v>43958.0</v>
      </c>
      <c r="B592" s="2">
        <v>287.68</v>
      </c>
      <c r="C592" s="3">
        <v>44017.0</v>
      </c>
      <c r="D592" s="4" t="str">
        <f t="array" ref="D592">XLOOKUP(Hoja5!A592,Agregado!B1512:B2100,Agregado!G592:G2100)</f>
        <v>#N/A</v>
      </c>
    </row>
    <row r="593" ht="15.75" customHeight="1">
      <c r="A593" s="12">
        <v>43959.0</v>
      </c>
      <c r="B593" s="2">
        <v>292.44</v>
      </c>
      <c r="C593" s="3">
        <v>44048.0</v>
      </c>
      <c r="D593" s="4" t="str">
        <f t="array" ref="D593">XLOOKUP(Hoja5!A593,Agregado!B1512:B2101,Agregado!G593:G2101)</f>
        <v>#N/A</v>
      </c>
    </row>
    <row r="594" ht="15.75" customHeight="1">
      <c r="A594" s="12">
        <v>43962.0</v>
      </c>
      <c r="B594" s="2">
        <v>292.5</v>
      </c>
      <c r="C594" s="3">
        <v>44140.0</v>
      </c>
      <c r="D594" s="4" t="str">
        <f t="array" ref="D594">XLOOKUP(Hoja5!A594,Agregado!B1512:B2102,Agregado!G594:G2102)</f>
        <v>#N/A</v>
      </c>
    </row>
    <row r="595" ht="15.75" customHeight="1">
      <c r="A595" s="12">
        <v>43963.0</v>
      </c>
      <c r="B595" s="2">
        <v>286.67</v>
      </c>
      <c r="C595" s="3">
        <v>44170.0</v>
      </c>
      <c r="D595" s="4" t="str">
        <f t="array" ref="D595">XLOOKUP(Hoja5!A595,Agregado!B1512:B2103,Agregado!G595:G2103)</f>
        <v>#N/A</v>
      </c>
    </row>
    <row r="596" ht="15.75" customHeight="1">
      <c r="A596" s="12">
        <v>43964.0</v>
      </c>
      <c r="B596" s="2">
        <v>281.6</v>
      </c>
      <c r="C596" s="3" t="s">
        <v>356</v>
      </c>
      <c r="D596" s="4" t="str">
        <f t="array" ref="D596">XLOOKUP(Hoja5!A596,Agregado!B1512:B2104,Agregado!G596:G2104)</f>
        <v>#N/A</v>
      </c>
    </row>
    <row r="597" ht="15.75" customHeight="1">
      <c r="A597" s="12">
        <v>43965.0</v>
      </c>
      <c r="B597" s="2">
        <v>284.97</v>
      </c>
      <c r="C597" s="3" t="s">
        <v>357</v>
      </c>
      <c r="D597" s="4" t="str">
        <f t="array" ref="D597">XLOOKUP(Hoja5!A597,Agregado!B1512:B2105,Agregado!G597:G2105)</f>
        <v>#N/A</v>
      </c>
    </row>
    <row r="598" ht="15.75" customHeight="1">
      <c r="A598" s="12">
        <v>43966.0</v>
      </c>
      <c r="B598" s="2">
        <v>286.28</v>
      </c>
      <c r="C598" s="3" t="s">
        <v>358</v>
      </c>
      <c r="D598" s="4" t="str">
        <f t="array" ref="D598">XLOOKUP(Hoja5!A598,Agregado!B1512:B2106,Agregado!G598:G2106)</f>
        <v>#N/A</v>
      </c>
    </row>
    <row r="599" ht="15.75" customHeight="1">
      <c r="A599" s="12">
        <v>43969.0</v>
      </c>
      <c r="B599" s="2">
        <v>295.0</v>
      </c>
      <c r="C599" s="3" t="s">
        <v>359</v>
      </c>
      <c r="D599" s="4" t="str">
        <f t="array" ref="D599">XLOOKUP(Hoja5!A599,Agregado!B1512:B2107,Agregado!G599:G2107)</f>
        <v>#N/A</v>
      </c>
    </row>
    <row r="600" ht="15.75" customHeight="1">
      <c r="A600" s="12">
        <v>43970.0</v>
      </c>
      <c r="B600" s="2">
        <v>291.97</v>
      </c>
      <c r="C600" s="3" t="s">
        <v>360</v>
      </c>
      <c r="D600" s="4" t="str">
        <f t="array" ref="D600">XLOOKUP(Hoja5!A600,Agregado!B1512:B2108,Agregado!G600:G2108)</f>
        <v>#N/A</v>
      </c>
    </row>
    <row r="601" ht="15.75" customHeight="1">
      <c r="A601" s="12">
        <v>43971.0</v>
      </c>
      <c r="B601" s="2">
        <v>296.93</v>
      </c>
      <c r="C601" s="3" t="s">
        <v>361</v>
      </c>
      <c r="D601" s="4" t="str">
        <f t="array" ref="D601">XLOOKUP(Hoja5!A601,Agregado!B1512:B2109,Agregado!G601:G2109)</f>
        <v>#N/A</v>
      </c>
    </row>
    <row r="602" ht="15.75" customHeight="1">
      <c r="A602" s="12">
        <v>43972.0</v>
      </c>
      <c r="B602" s="2">
        <v>294.88</v>
      </c>
      <c r="C602" s="3" t="s">
        <v>362</v>
      </c>
      <c r="D602" s="4" t="str">
        <f t="array" ref="D602">XLOOKUP(Hoja5!A602,Agregado!B1512:B2110,Agregado!G602:G2110)</f>
        <v>#N/A</v>
      </c>
    </row>
    <row r="603" ht="15.75" customHeight="1">
      <c r="A603" s="12">
        <v>43973.0</v>
      </c>
      <c r="B603" s="2">
        <v>295.44</v>
      </c>
      <c r="C603" s="3" t="s">
        <v>363</v>
      </c>
      <c r="D603" s="4" t="str">
        <f t="array" ref="D603">XLOOKUP(Hoja5!A603,Agregado!B1512:B2111,Agregado!G603:G2111)</f>
        <v>#N/A</v>
      </c>
    </row>
    <row r="604" ht="15.75" customHeight="1">
      <c r="A604" s="12">
        <v>43977.0</v>
      </c>
      <c r="B604" s="2">
        <v>299.08</v>
      </c>
      <c r="C604" s="3" t="s">
        <v>364</v>
      </c>
      <c r="D604" s="4" t="str">
        <f t="array" ref="D604">XLOOKUP(Hoja5!A604,Agregado!B1512:B2112,Agregado!G604:G2112)</f>
        <v>#N/A</v>
      </c>
    </row>
    <row r="605" ht="15.75" customHeight="1">
      <c r="A605" s="12">
        <v>43978.0</v>
      </c>
      <c r="B605" s="2">
        <v>303.53</v>
      </c>
      <c r="C605" s="3" t="s">
        <v>365</v>
      </c>
      <c r="D605" s="4" t="str">
        <f t="array" ref="D605">XLOOKUP(Hoja5!A605,Agregado!B1512:B2113,Agregado!G605:G2113)</f>
        <v>#N/A</v>
      </c>
    </row>
    <row r="606" ht="15.75" customHeight="1">
      <c r="A606" s="12">
        <v>43979.0</v>
      </c>
      <c r="B606" s="2">
        <v>302.97</v>
      </c>
      <c r="C606" s="3" t="s">
        <v>366</v>
      </c>
      <c r="D606" s="4" t="str">
        <f t="array" ref="D606">XLOOKUP(Hoja5!A606,Agregado!B1512:B2114,Agregado!G606:G2114)</f>
        <v>#N/A</v>
      </c>
    </row>
    <row r="607" ht="15.75" customHeight="1">
      <c r="A607" s="12">
        <v>43980.0</v>
      </c>
      <c r="B607" s="2">
        <v>304.32</v>
      </c>
      <c r="C607" s="3" t="s">
        <v>367</v>
      </c>
      <c r="D607" s="4" t="str">
        <f t="array" ref="D607">XLOOKUP(Hoja5!A607,Agregado!B1512:B2115,Agregado!G607:G2115)</f>
        <v>#N/A</v>
      </c>
    </row>
    <row r="608" ht="15.75" customHeight="1">
      <c r="A608" s="12">
        <v>43983.0</v>
      </c>
      <c r="B608" s="2">
        <v>305.55</v>
      </c>
      <c r="C608" s="3">
        <v>43836.0</v>
      </c>
      <c r="D608" s="4" t="str">
        <f t="array" ref="D608">XLOOKUP(Hoja5!A608,Agregado!B1512:B2116,Agregado!G608:G2116)</f>
        <v>#N/A</v>
      </c>
    </row>
    <row r="609" ht="15.75" customHeight="1">
      <c r="A609" s="12">
        <v>43984.0</v>
      </c>
      <c r="B609" s="2">
        <v>308.08</v>
      </c>
      <c r="C609" s="3">
        <v>43867.0</v>
      </c>
      <c r="D609" s="4" t="str">
        <f t="array" ref="D609">XLOOKUP(Hoja5!A609,Agregado!B1512:B2117,Agregado!G609:G2117)</f>
        <v>#N/A</v>
      </c>
    </row>
    <row r="610" ht="15.75" customHeight="1">
      <c r="A610" s="12">
        <v>43985.0</v>
      </c>
      <c r="B610" s="2">
        <v>312.18</v>
      </c>
      <c r="C610" s="3">
        <v>43896.0</v>
      </c>
      <c r="D610" s="4" t="str">
        <f t="array" ref="D610">XLOOKUP(Hoja5!A610,Agregado!B1512:B2118,Agregado!G610:G2118)</f>
        <v>#N/A</v>
      </c>
    </row>
    <row r="611" ht="15.75" customHeight="1">
      <c r="A611" s="12">
        <v>43986.0</v>
      </c>
      <c r="B611" s="2">
        <v>311.36</v>
      </c>
      <c r="C611" s="3">
        <v>43927.0</v>
      </c>
      <c r="D611" s="4" t="str">
        <f t="array" ref="D611">XLOOKUP(Hoja5!A611,Agregado!B1512:B2119,Agregado!G611:G2119)</f>
        <v>#N/A</v>
      </c>
    </row>
    <row r="612" ht="15.75" customHeight="1">
      <c r="A612" s="12">
        <v>43987.0</v>
      </c>
      <c r="B612" s="2">
        <v>319.34</v>
      </c>
      <c r="C612" s="3">
        <v>43957.0</v>
      </c>
      <c r="D612" s="4" t="str">
        <f t="array" ref="D612">XLOOKUP(Hoja5!A612,Agregado!B1512:B2120,Agregado!G612:G2120)</f>
        <v>#N/A</v>
      </c>
    </row>
    <row r="613" ht="15.75" customHeight="1">
      <c r="A613" s="12">
        <v>43990.0</v>
      </c>
      <c r="B613" s="2">
        <v>323.2</v>
      </c>
      <c r="C613" s="3">
        <v>44049.0</v>
      </c>
      <c r="D613" s="4" t="str">
        <f t="array" ref="D613">XLOOKUP(Hoja5!A613,Agregado!B1512:B2121,Agregado!G613:G2121)</f>
        <v>#N/A</v>
      </c>
    </row>
    <row r="614" ht="15.75" customHeight="1">
      <c r="A614" s="12">
        <v>43991.0</v>
      </c>
      <c r="B614" s="2">
        <v>320.79</v>
      </c>
      <c r="C614" s="3">
        <v>44080.0</v>
      </c>
      <c r="D614" s="4" t="str">
        <f t="array" ref="D614">XLOOKUP(Hoja5!A614,Agregado!B1512:B2122,Agregado!G614:G2122)</f>
        <v>#N/A</v>
      </c>
    </row>
    <row r="615" ht="15.75" customHeight="1">
      <c r="A615" s="12">
        <v>43992.0</v>
      </c>
      <c r="B615" s="2">
        <v>319.0</v>
      </c>
      <c r="C615" s="3">
        <v>44110.0</v>
      </c>
      <c r="D615" s="4" t="str">
        <f t="array" ref="D615">XLOOKUP(Hoja5!A615,Agregado!B1512:B2123,Agregado!G615:G2123)</f>
        <v>#N/A</v>
      </c>
    </row>
    <row r="616" ht="15.75" customHeight="1">
      <c r="A616" s="12">
        <v>43993.0</v>
      </c>
      <c r="B616" s="2">
        <v>300.61</v>
      </c>
      <c r="C616" s="3">
        <v>44141.0</v>
      </c>
      <c r="D616" s="4" t="str">
        <f t="array" ref="D616">XLOOKUP(Hoja5!A616,Agregado!B1512:B2124,Agregado!G616:G2124)</f>
        <v>#N/A</v>
      </c>
    </row>
    <row r="617" ht="15.75" customHeight="1">
      <c r="A617" s="12">
        <v>43994.0</v>
      </c>
      <c r="B617" s="2">
        <v>304.21</v>
      </c>
      <c r="C617" s="3">
        <v>44171.0</v>
      </c>
      <c r="D617" s="4" t="str">
        <f t="array" ref="D617">XLOOKUP(Hoja5!A617,Agregado!B1512:B2125,Agregado!G617:G2125)</f>
        <v>#N/A</v>
      </c>
    </row>
    <row r="618" ht="15.75" customHeight="1">
      <c r="A618" s="12">
        <v>43997.0</v>
      </c>
      <c r="B618" s="2">
        <v>307.05</v>
      </c>
      <c r="C618" s="3" t="s">
        <v>368</v>
      </c>
      <c r="D618" s="4" t="str">
        <f t="array" ref="D618">XLOOKUP(Hoja5!A618,Agregado!B1512:B2126,Agregado!G618:G2126)</f>
        <v>#N/A</v>
      </c>
    </row>
    <row r="619" ht="15.75" customHeight="1">
      <c r="A619" s="12">
        <v>43998.0</v>
      </c>
      <c r="B619" s="2">
        <v>312.96</v>
      </c>
      <c r="C619" s="3" t="s">
        <v>369</v>
      </c>
      <c r="D619" s="4" t="str">
        <f t="array" ref="D619">XLOOKUP(Hoja5!A619,Agregado!B1512:B2127,Agregado!G619:G2127)</f>
        <v>#N/A</v>
      </c>
    </row>
    <row r="620" ht="15.75" customHeight="1">
      <c r="A620" s="12">
        <v>43999.0</v>
      </c>
      <c r="B620" s="2">
        <v>311.66</v>
      </c>
      <c r="C620" s="3" t="s">
        <v>370</v>
      </c>
      <c r="D620" s="4" t="str">
        <f t="array" ref="D620">XLOOKUP(Hoja5!A620,Agregado!B1512:B2128,Agregado!G620:G2128)</f>
        <v>#N/A</v>
      </c>
    </row>
    <row r="621" ht="15.75" customHeight="1">
      <c r="A621" s="12">
        <v>44000.0</v>
      </c>
      <c r="B621" s="2">
        <v>311.78</v>
      </c>
      <c r="C621" s="3" t="s">
        <v>371</v>
      </c>
      <c r="D621" s="4" t="str">
        <f t="array" ref="D621">XLOOKUP(Hoja5!A621,Agregado!B1512:B2129,Agregado!G621:G2129)</f>
        <v>#N/A</v>
      </c>
    </row>
    <row r="622" ht="15.75" customHeight="1">
      <c r="A622" s="12">
        <v>44001.0</v>
      </c>
      <c r="B622" s="2">
        <v>308.64</v>
      </c>
      <c r="C622" s="3" t="s">
        <v>372</v>
      </c>
      <c r="D622" s="4" t="str">
        <f t="array" ref="D622">XLOOKUP(Hoja5!A622,Agregado!B1512:B2130,Agregado!G622:G2130)</f>
        <v>#N/A</v>
      </c>
    </row>
    <row r="623" ht="15.75" customHeight="1">
      <c r="A623" s="12">
        <v>44004.0</v>
      </c>
      <c r="B623" s="2">
        <v>310.62</v>
      </c>
      <c r="C623" s="3" t="s">
        <v>373</v>
      </c>
      <c r="D623" s="4" t="str">
        <f t="array" ref="D623">XLOOKUP(Hoja5!A623,Agregado!B1512:B2131,Agregado!G623:G2131)</f>
        <v>#N/A</v>
      </c>
    </row>
    <row r="624" ht="15.75" customHeight="1">
      <c r="A624" s="12">
        <v>44005.0</v>
      </c>
      <c r="B624" s="2">
        <v>312.05</v>
      </c>
      <c r="C624" s="3" t="s">
        <v>374</v>
      </c>
      <c r="D624" s="4" t="str">
        <f t="array" ref="D624">XLOOKUP(Hoja5!A624,Agregado!B1512:B2132,Agregado!G624:G2132)</f>
        <v>#N/A</v>
      </c>
    </row>
    <row r="625" ht="15.75" customHeight="1">
      <c r="A625" s="12">
        <v>44006.0</v>
      </c>
      <c r="B625" s="2">
        <v>304.09</v>
      </c>
      <c r="C625" s="3" t="s">
        <v>375</v>
      </c>
      <c r="D625" s="4" t="str">
        <f t="array" ref="D625">XLOOKUP(Hoja5!A625,Agregado!B1512:B2133,Agregado!G625:G2133)</f>
        <v>#N/A</v>
      </c>
    </row>
    <row r="626" ht="15.75" customHeight="1">
      <c r="A626" s="12">
        <v>44007.0</v>
      </c>
      <c r="B626" s="2">
        <v>307.35</v>
      </c>
      <c r="C626" s="3" t="s">
        <v>376</v>
      </c>
      <c r="D626" s="4" t="str">
        <f t="array" ref="D626">XLOOKUP(Hoja5!A626,Agregado!B1512:B2134,Agregado!G626:G2134)</f>
        <v>#N/A</v>
      </c>
    </row>
    <row r="627" ht="15.75" customHeight="1">
      <c r="A627" s="12">
        <v>44008.0</v>
      </c>
      <c r="B627" s="2">
        <v>300.05</v>
      </c>
      <c r="C627" s="3" t="s">
        <v>377</v>
      </c>
      <c r="D627" s="4" t="str">
        <f t="array" ref="D627">XLOOKUP(Hoja5!A627,Agregado!B1512:B2135,Agregado!G627:G2135)</f>
        <v>#N/A</v>
      </c>
    </row>
    <row r="628" ht="15.75" customHeight="1">
      <c r="A628" s="12">
        <v>44011.0</v>
      </c>
      <c r="B628" s="2">
        <v>304.46</v>
      </c>
      <c r="C628" s="3" t="s">
        <v>378</v>
      </c>
      <c r="D628" s="4" t="str">
        <f t="array" ref="D628">XLOOKUP(Hoja5!A628,Agregado!B1512:B2136,Agregado!G628:G2136)</f>
        <v>#N/A</v>
      </c>
    </row>
    <row r="629" ht="15.75" customHeight="1">
      <c r="A629" s="12">
        <v>44012.0</v>
      </c>
      <c r="B629" s="2">
        <v>308.36</v>
      </c>
      <c r="C629" s="3" t="s">
        <v>379</v>
      </c>
      <c r="D629" s="4" t="str">
        <f t="array" ref="D629">XLOOKUP(Hoja5!A629,Agregado!B1512:B2137,Agregado!G629:G2137)</f>
        <v>#N/A</v>
      </c>
    </row>
    <row r="630" ht="15.75" customHeight="1">
      <c r="A630" s="12">
        <v>44013.0</v>
      </c>
      <c r="B630" s="2">
        <v>310.52</v>
      </c>
      <c r="C630" s="3">
        <v>43837.0</v>
      </c>
      <c r="D630" s="4" t="str">
        <f t="array" ref="D630">XLOOKUP(Hoja5!A630,Agregado!B1512:B2138,Agregado!G630:G2138)</f>
        <v>#N/A</v>
      </c>
    </row>
    <row r="631" ht="15.75" customHeight="1">
      <c r="A631" s="12">
        <v>44014.0</v>
      </c>
      <c r="B631" s="2">
        <v>312.23</v>
      </c>
      <c r="C631" s="3">
        <v>43868.0</v>
      </c>
      <c r="D631" s="4" t="str">
        <f t="array" ref="D631">XLOOKUP(Hoja5!A631,Agregado!B1512:B2139,Agregado!G631:G2139)</f>
        <v>#N/A</v>
      </c>
    </row>
    <row r="632" ht="15.75" customHeight="1">
      <c r="A632" s="12">
        <v>44018.0</v>
      </c>
      <c r="B632" s="2">
        <v>317.05</v>
      </c>
      <c r="C632" s="3">
        <v>43989.0</v>
      </c>
      <c r="D632" s="4" t="str">
        <f t="array" ref="D632">XLOOKUP(Hoja5!A632,Agregado!B1512:B2140,Agregado!G632:G2140)</f>
        <v>#N/A</v>
      </c>
    </row>
    <row r="633" ht="15.75" customHeight="1">
      <c r="A633" s="12">
        <v>44019.0</v>
      </c>
      <c r="B633" s="2">
        <v>313.78</v>
      </c>
      <c r="C633" s="3">
        <v>44019.0</v>
      </c>
      <c r="D633" s="4" t="str">
        <f t="array" ref="D633">XLOOKUP(Hoja5!A633,Agregado!B1512:B2141,Agregado!G633:G2141)</f>
        <v>#N/A</v>
      </c>
    </row>
    <row r="634" ht="15.75" customHeight="1">
      <c r="A634" s="12">
        <v>44020.0</v>
      </c>
      <c r="B634" s="2">
        <v>316.18</v>
      </c>
      <c r="C634" s="3">
        <v>44050.0</v>
      </c>
      <c r="D634" s="4" t="str">
        <f t="array" ref="D634">XLOOKUP(Hoja5!A634,Agregado!B1512:B2142,Agregado!G634:G2142)</f>
        <v>#N/A</v>
      </c>
    </row>
    <row r="635" ht="15.75" customHeight="1">
      <c r="A635" s="12">
        <v>44021.0</v>
      </c>
      <c r="B635" s="2">
        <v>314.38</v>
      </c>
      <c r="C635" s="3">
        <v>44081.0</v>
      </c>
      <c r="D635" s="4" t="str">
        <f t="array" ref="D635">XLOOKUP(Hoja5!A635,Agregado!B1512:B2143,Agregado!G635:G2143)</f>
        <v>#N/A</v>
      </c>
    </row>
    <row r="636" ht="15.75" customHeight="1">
      <c r="A636" s="12">
        <v>44022.0</v>
      </c>
      <c r="B636" s="2">
        <v>317.59</v>
      </c>
      <c r="C636" s="3">
        <v>44111.0</v>
      </c>
      <c r="D636" s="4" t="str">
        <f t="array" ref="D636">XLOOKUP(Hoja5!A636,Agregado!B1512:B2144,Agregado!G636:G2144)</f>
        <v>#N/A</v>
      </c>
    </row>
    <row r="637" ht="15.75" customHeight="1">
      <c r="A637" s="12">
        <v>44025.0</v>
      </c>
      <c r="B637" s="2">
        <v>314.84</v>
      </c>
      <c r="C637" s="3" t="s">
        <v>380</v>
      </c>
      <c r="D637" s="4" t="str">
        <f t="array" ref="D637">XLOOKUP(Hoja5!A637,Agregado!B1512:B2145,Agregado!G637:G2145)</f>
        <v>#N/A</v>
      </c>
    </row>
    <row r="638" ht="15.75" customHeight="1">
      <c r="A638" s="12">
        <v>44026.0</v>
      </c>
      <c r="B638" s="2">
        <v>318.92</v>
      </c>
      <c r="C638" s="3" t="s">
        <v>381</v>
      </c>
      <c r="D638" s="4" t="str">
        <f t="array" ref="D638">XLOOKUP(Hoja5!A638,Agregado!B1512:B2146,Agregado!G638:G2146)</f>
        <v>#N/A</v>
      </c>
    </row>
    <row r="639" ht="15.75" customHeight="1">
      <c r="A639" s="12">
        <v>44027.0</v>
      </c>
      <c r="B639" s="2">
        <v>321.85</v>
      </c>
      <c r="C639" s="3" t="s">
        <v>382</v>
      </c>
      <c r="D639" s="4" t="str">
        <f t="array" ref="D639">XLOOKUP(Hoja5!A639,Agregado!B1512:B2147,Agregado!G639:G2147)</f>
        <v>#N/A</v>
      </c>
    </row>
    <row r="640" ht="15.75" customHeight="1">
      <c r="A640" s="12">
        <v>44028.0</v>
      </c>
      <c r="B640" s="2">
        <v>320.79</v>
      </c>
      <c r="C640" s="3" t="s">
        <v>383</v>
      </c>
      <c r="D640" s="4" t="str">
        <f t="array" ref="D640">XLOOKUP(Hoja5!A640,Agregado!B1512:B2148,Agregado!G640:G2148)</f>
        <v>#N/A</v>
      </c>
    </row>
    <row r="641" ht="15.75" customHeight="1">
      <c r="A641" s="12">
        <v>44029.0</v>
      </c>
      <c r="B641" s="2">
        <v>321.72</v>
      </c>
      <c r="C641" s="3" t="s">
        <v>384</v>
      </c>
      <c r="D641" s="4" t="str">
        <f t="array" ref="D641">XLOOKUP(Hoja5!A641,Agregado!B1512:B2149,Agregado!G641:G2149)</f>
        <v>#N/A</v>
      </c>
    </row>
    <row r="642" ht="15.75" customHeight="1">
      <c r="A642" s="12">
        <v>44032.0</v>
      </c>
      <c r="B642" s="2">
        <v>324.32</v>
      </c>
      <c r="C642" s="3" t="s">
        <v>385</v>
      </c>
      <c r="D642" s="4" t="str">
        <f t="array" ref="D642">XLOOKUP(Hoja5!A642,Agregado!B1512:B2150,Agregado!G642:G2150)</f>
        <v>#N/A</v>
      </c>
    </row>
    <row r="643" ht="15.75" customHeight="1">
      <c r="A643" s="12">
        <v>44033.0</v>
      </c>
      <c r="B643" s="2">
        <v>325.01</v>
      </c>
      <c r="C643" s="3" t="s">
        <v>386</v>
      </c>
      <c r="D643" s="4" t="str">
        <f t="array" ref="D643">XLOOKUP(Hoja5!A643,Agregado!B1512:B2151,Agregado!G643:G2151)</f>
        <v>#N/A</v>
      </c>
    </row>
    <row r="644" ht="15.75" customHeight="1">
      <c r="A644" s="12">
        <v>44034.0</v>
      </c>
      <c r="B644" s="2">
        <v>326.86</v>
      </c>
      <c r="C644" s="3" t="s">
        <v>387</v>
      </c>
      <c r="D644" s="4" t="str">
        <f t="array" ref="D644">XLOOKUP(Hoja5!A644,Agregado!B1512:B2152,Agregado!G644:G2152)</f>
        <v>#N/A</v>
      </c>
    </row>
    <row r="645" ht="15.75" customHeight="1">
      <c r="A645" s="12">
        <v>44035.0</v>
      </c>
      <c r="B645" s="2">
        <v>322.96</v>
      </c>
      <c r="C645" s="3" t="s">
        <v>388</v>
      </c>
      <c r="D645" s="4" t="str">
        <f t="array" ref="D645">XLOOKUP(Hoja5!A645,Agregado!B1512:B2153,Agregado!G645:G2153)</f>
        <v>#N/A</v>
      </c>
    </row>
    <row r="646" ht="15.75" customHeight="1">
      <c r="A646" s="12">
        <v>44036.0</v>
      </c>
      <c r="B646" s="2">
        <v>320.88</v>
      </c>
      <c r="C646" s="3" t="s">
        <v>389</v>
      </c>
      <c r="D646" s="4" t="str">
        <f t="array" ref="D646">XLOOKUP(Hoja5!A646,Agregado!B1512:B2154,Agregado!G646:G2154)</f>
        <v>#N/A</v>
      </c>
    </row>
    <row r="647" ht="15.75" customHeight="1">
      <c r="A647" s="12">
        <v>44039.0</v>
      </c>
      <c r="B647" s="2">
        <v>323.22</v>
      </c>
      <c r="C647" s="3" t="s">
        <v>390</v>
      </c>
      <c r="D647" s="4" t="str">
        <f t="array" ref="D647">XLOOKUP(Hoja5!A647,Agregado!B1512:B2155,Agregado!G647:G2155)</f>
        <v>#N/A</v>
      </c>
    </row>
    <row r="648" ht="15.75" customHeight="1">
      <c r="A648" s="12">
        <v>44040.0</v>
      </c>
      <c r="B648" s="2">
        <v>321.17</v>
      </c>
      <c r="C648" s="3" t="s">
        <v>391</v>
      </c>
      <c r="D648" s="4" t="str">
        <f t="array" ref="D648">XLOOKUP(Hoja5!A648,Agregado!B1512:B2156,Agregado!G648:G2156)</f>
        <v>#N/A</v>
      </c>
    </row>
    <row r="649" ht="15.75" customHeight="1">
      <c r="A649" s="12">
        <v>44041.0</v>
      </c>
      <c r="B649" s="2">
        <v>325.12</v>
      </c>
      <c r="C649" s="3" t="s">
        <v>392</v>
      </c>
      <c r="D649" s="4" t="str">
        <f t="array" ref="D649">XLOOKUP(Hoja5!A649,Agregado!B1512:B2157,Agregado!G649:G2157)</f>
        <v>#N/A</v>
      </c>
    </row>
    <row r="650" ht="15.75" customHeight="1">
      <c r="A650" s="12">
        <v>44042.0</v>
      </c>
      <c r="B650" s="2">
        <v>323.96</v>
      </c>
      <c r="C650" s="3" t="s">
        <v>393</v>
      </c>
      <c r="D650" s="4" t="str">
        <f t="array" ref="D650">XLOOKUP(Hoja5!A650,Agregado!B1512:B2158,Agregado!G650:G2158)</f>
        <v>#N/A</v>
      </c>
    </row>
    <row r="651" ht="15.75" customHeight="1">
      <c r="A651" s="12">
        <v>44043.0</v>
      </c>
      <c r="B651" s="2">
        <v>326.52</v>
      </c>
      <c r="C651" s="3" t="s">
        <v>394</v>
      </c>
      <c r="D651" s="4" t="str">
        <f t="array" ref="D651">XLOOKUP(Hoja5!A651,Agregado!B1512:B2159,Agregado!G651:G2159)</f>
        <v>#N/A</v>
      </c>
    </row>
    <row r="652" ht="15.75" customHeight="1">
      <c r="A652" s="12">
        <v>44046.0</v>
      </c>
      <c r="B652" s="2">
        <v>328.79</v>
      </c>
      <c r="C652" s="3">
        <v>43898.0</v>
      </c>
      <c r="D652" s="4" t="str">
        <f t="array" ref="D652">XLOOKUP(Hoja5!A652,Agregado!B1512:B2160,Agregado!G652:G2160)</f>
        <v>#N/A</v>
      </c>
    </row>
    <row r="653" ht="15.75" customHeight="1">
      <c r="A653" s="12">
        <v>44047.0</v>
      </c>
      <c r="B653" s="2">
        <v>330.06</v>
      </c>
      <c r="C653" s="3">
        <v>43929.0</v>
      </c>
      <c r="D653" s="4" t="str">
        <f t="array" ref="D653">XLOOKUP(Hoja5!A653,Agregado!B1512:B2161,Agregado!G653:G2161)</f>
        <v>#N/A</v>
      </c>
    </row>
    <row r="654" ht="15.75" customHeight="1">
      <c r="A654" s="12">
        <v>44048.0</v>
      </c>
      <c r="B654" s="2">
        <v>332.11</v>
      </c>
      <c r="C654" s="3">
        <v>43959.0</v>
      </c>
      <c r="D654" s="4" t="str">
        <f t="array" ref="D654">XLOOKUP(Hoja5!A654,Agregado!B1512:B2162,Agregado!G654:G2162)</f>
        <v>#N/A</v>
      </c>
    </row>
    <row r="655" ht="15.75" customHeight="1">
      <c r="A655" s="12">
        <v>44049.0</v>
      </c>
      <c r="B655" s="2">
        <v>334.33</v>
      </c>
      <c r="C655" s="3">
        <v>43990.0</v>
      </c>
      <c r="D655" s="4" t="str">
        <f t="array" ref="D655">XLOOKUP(Hoja5!A655,Agregado!B1512:B2163,Agregado!G655:G2163)</f>
        <v>#N/A</v>
      </c>
    </row>
    <row r="656" ht="15.75" customHeight="1">
      <c r="A656" s="12">
        <v>44050.0</v>
      </c>
      <c r="B656" s="2">
        <v>334.57</v>
      </c>
      <c r="C656" s="3">
        <v>44020.0</v>
      </c>
      <c r="D656" s="4" t="str">
        <f t="array" ref="D656">XLOOKUP(Hoja5!A656,Agregado!B1512:B2164,Agregado!G656:G2164)</f>
        <v>#N/A</v>
      </c>
    </row>
    <row r="657" ht="15.75" customHeight="1">
      <c r="A657" s="12">
        <v>44053.0</v>
      </c>
      <c r="B657" s="2">
        <v>335.57</v>
      </c>
      <c r="C657" s="3">
        <v>44112.0</v>
      </c>
      <c r="D657" s="4" t="str">
        <f t="array" ref="D657">XLOOKUP(Hoja5!A657,Agregado!B1512:B2165,Agregado!G657:G2165)</f>
        <v>#N/A</v>
      </c>
    </row>
    <row r="658" ht="15.75" customHeight="1">
      <c r="A658" s="12">
        <v>44054.0</v>
      </c>
      <c r="B658" s="2">
        <v>332.8</v>
      </c>
      <c r="C658" s="3">
        <v>44143.0</v>
      </c>
      <c r="D658" s="4" t="str">
        <f t="array" ref="D658">XLOOKUP(Hoja5!A658,Agregado!B1512:B2166,Agregado!G658:G2166)</f>
        <v>#N/A</v>
      </c>
    </row>
    <row r="659" ht="15.75" customHeight="1">
      <c r="A659" s="12">
        <v>44055.0</v>
      </c>
      <c r="B659" s="2">
        <v>337.44</v>
      </c>
      <c r="C659" s="3">
        <v>44173.0</v>
      </c>
      <c r="D659" s="4" t="str">
        <f t="array" ref="D659">XLOOKUP(Hoja5!A659,Agregado!B1512:B2167,Agregado!G659:G2167)</f>
        <v>#N/A</v>
      </c>
    </row>
    <row r="660" ht="15.75" customHeight="1">
      <c r="A660" s="12">
        <v>44056.0</v>
      </c>
      <c r="B660" s="2">
        <v>336.83</v>
      </c>
      <c r="C660" s="3" t="s">
        <v>395</v>
      </c>
      <c r="D660" s="4" t="str">
        <f t="array" ref="D660">XLOOKUP(Hoja5!A660,Agregado!B1512:B2168,Agregado!G660:G2168)</f>
        <v>#N/A</v>
      </c>
    </row>
    <row r="661" ht="15.75" customHeight="1">
      <c r="A661" s="12">
        <v>44057.0</v>
      </c>
      <c r="B661" s="2">
        <v>336.84</v>
      </c>
      <c r="C661" s="3" t="s">
        <v>396</v>
      </c>
      <c r="D661" s="4" t="str">
        <f t="array" ref="D661">XLOOKUP(Hoja5!A661,Agregado!B1512:B2169,Agregado!G661:G2169)</f>
        <v>#N/A</v>
      </c>
    </row>
    <row r="662" ht="15.75" customHeight="1">
      <c r="A662" s="12">
        <v>44060.0</v>
      </c>
      <c r="B662" s="2">
        <v>337.91</v>
      </c>
      <c r="C662" s="3" t="s">
        <v>397</v>
      </c>
      <c r="D662" s="4" t="str">
        <f t="array" ref="D662">XLOOKUP(Hoja5!A662,Agregado!B1512:B2170,Agregado!G662:G2170)</f>
        <v>#N/A</v>
      </c>
    </row>
    <row r="663" ht="15.75" customHeight="1">
      <c r="A663" s="12">
        <v>44061.0</v>
      </c>
      <c r="B663" s="2">
        <v>338.64</v>
      </c>
      <c r="C663" s="3" t="s">
        <v>398</v>
      </c>
      <c r="D663" s="4" t="str">
        <f t="array" ref="D663">XLOOKUP(Hoja5!A663,Agregado!B1512:B2171,Agregado!G663:G2171)</f>
        <v>#N/A</v>
      </c>
    </row>
    <row r="664" ht="15.75" customHeight="1">
      <c r="A664" s="12">
        <v>44062.0</v>
      </c>
      <c r="B664" s="2">
        <v>337.23</v>
      </c>
      <c r="C664" s="3" t="s">
        <v>399</v>
      </c>
      <c r="D664" s="4" t="str">
        <f t="array" ref="D664">XLOOKUP(Hoja5!A664,Agregado!B1512:B2172,Agregado!G664:G2172)</f>
        <v>#N/A</v>
      </c>
    </row>
    <row r="665" ht="15.75" customHeight="1">
      <c r="A665" s="12">
        <v>44063.0</v>
      </c>
      <c r="B665" s="2">
        <v>338.28</v>
      </c>
      <c r="C665" s="3" t="s">
        <v>400</v>
      </c>
      <c r="D665" s="4" t="str">
        <f t="array" ref="D665">XLOOKUP(Hoja5!A665,Agregado!B1512:B2173,Agregado!G665:G2173)</f>
        <v>#N/A</v>
      </c>
    </row>
    <row r="666" ht="15.75" customHeight="1">
      <c r="A666" s="12">
        <v>44064.0</v>
      </c>
      <c r="B666" s="2">
        <v>339.48</v>
      </c>
      <c r="C666" s="3" t="s">
        <v>401</v>
      </c>
      <c r="D666" s="4" t="str">
        <f t="array" ref="D666">XLOOKUP(Hoja5!A666,Agregado!B1512:B2174,Agregado!G666:G2174)</f>
        <v>#N/A</v>
      </c>
    </row>
    <row r="667" ht="15.75" customHeight="1">
      <c r="A667" s="12">
        <v>44067.0</v>
      </c>
      <c r="B667" s="2">
        <v>342.92</v>
      </c>
      <c r="C667" s="3" t="s">
        <v>402</v>
      </c>
      <c r="D667" s="4" t="str">
        <f t="array" ref="D667">XLOOKUP(Hoja5!A667,Agregado!B1512:B2175,Agregado!G667:G2175)</f>
        <v>#N/A</v>
      </c>
    </row>
    <row r="668" ht="15.75" customHeight="1">
      <c r="A668" s="12">
        <v>44068.0</v>
      </c>
      <c r="B668" s="2">
        <v>344.12</v>
      </c>
      <c r="C668" s="3" t="s">
        <v>403</v>
      </c>
      <c r="D668" s="4" t="str">
        <f t="array" ref="D668">XLOOKUP(Hoja5!A668,Agregado!B1512:B2176,Agregado!G668:G2176)</f>
        <v>#N/A</v>
      </c>
    </row>
    <row r="669" ht="15.75" customHeight="1">
      <c r="A669" s="12">
        <v>44069.0</v>
      </c>
      <c r="B669" s="2">
        <v>347.57</v>
      </c>
      <c r="C669" s="3" t="s">
        <v>404</v>
      </c>
      <c r="D669" s="4" t="str">
        <f t="array" ref="D669">XLOOKUP(Hoja5!A669,Agregado!B1512:B2177,Agregado!G669:G2177)</f>
        <v>#N/A</v>
      </c>
    </row>
    <row r="670" ht="15.75" customHeight="1">
      <c r="A670" s="12">
        <v>44070.0</v>
      </c>
      <c r="B670" s="2">
        <v>348.33</v>
      </c>
      <c r="C670" s="3" t="s">
        <v>405</v>
      </c>
      <c r="D670" s="4" t="str">
        <f t="array" ref="D670">XLOOKUP(Hoja5!A670,Agregado!B1512:B2178,Agregado!G670:G2178)</f>
        <v>#N/A</v>
      </c>
    </row>
    <row r="671" ht="15.75" customHeight="1">
      <c r="A671" s="12">
        <v>44071.0</v>
      </c>
      <c r="B671" s="2">
        <v>350.58</v>
      </c>
      <c r="C671" s="3" t="s">
        <v>406</v>
      </c>
      <c r="D671" s="4" t="str">
        <f t="array" ref="D671">XLOOKUP(Hoja5!A671,Agregado!B1512:B2179,Agregado!G671:G2179)</f>
        <v>#N/A</v>
      </c>
    </row>
    <row r="672" ht="15.75" customHeight="1">
      <c r="A672" s="12">
        <v>44074.0</v>
      </c>
      <c r="B672" s="2">
        <v>349.31</v>
      </c>
      <c r="C672" s="3" t="s">
        <v>407</v>
      </c>
      <c r="D672" s="4" t="str">
        <f t="array" ref="D672">XLOOKUP(Hoja5!A672,Agregado!B1512:B2180,Agregado!G672:G2180)</f>
        <v>#N/A</v>
      </c>
    </row>
    <row r="673" ht="15.75" customHeight="1">
      <c r="A673" s="12">
        <v>44075.0</v>
      </c>
      <c r="B673" s="2">
        <v>352.6</v>
      </c>
      <c r="C673" s="3">
        <v>43839.0</v>
      </c>
      <c r="D673" s="4" t="str">
        <f t="array" ref="D673">XLOOKUP(Hoja5!A673,Agregado!B1512:B2181,Agregado!G673:G2181)</f>
        <v>#N/A</v>
      </c>
    </row>
    <row r="674" ht="15.75" customHeight="1">
      <c r="A674" s="12">
        <v>44076.0</v>
      </c>
      <c r="B674" s="2">
        <v>357.7</v>
      </c>
      <c r="C674" s="3">
        <v>43870.0</v>
      </c>
      <c r="D674" s="4" t="str">
        <f t="array" ref="D674">XLOOKUP(Hoja5!A674,Agregado!B1512:B2182,Agregado!G674:G2182)</f>
        <v>#N/A</v>
      </c>
    </row>
    <row r="675" ht="15.75" customHeight="1">
      <c r="A675" s="12">
        <v>44077.0</v>
      </c>
      <c r="B675" s="2">
        <v>345.39</v>
      </c>
      <c r="C675" s="3">
        <v>43899.0</v>
      </c>
      <c r="D675" s="4" t="str">
        <f t="array" ref="D675">XLOOKUP(Hoja5!A675,Agregado!B1512:B2183,Agregado!G675:G2183)</f>
        <v>#N/A</v>
      </c>
    </row>
    <row r="676" ht="15.75" customHeight="1">
      <c r="A676" s="12">
        <v>44078.0</v>
      </c>
      <c r="B676" s="2">
        <v>342.57</v>
      </c>
      <c r="C676" s="3">
        <v>43930.0</v>
      </c>
      <c r="D676" s="4" t="str">
        <f t="array" ref="D676">XLOOKUP(Hoja5!A676,Agregado!B1512:B2184,Agregado!G676:G2184)</f>
        <v>#N/A</v>
      </c>
    </row>
    <row r="677" ht="15.75" customHeight="1">
      <c r="A677" s="12">
        <v>44082.0</v>
      </c>
      <c r="B677" s="2">
        <v>333.21</v>
      </c>
      <c r="C677" s="3">
        <v>44052.0</v>
      </c>
      <c r="D677" s="4" t="str">
        <f t="array" ref="D677">XLOOKUP(Hoja5!A677,Agregado!B1512:B2185,Agregado!G677:G2185)</f>
        <v>#N/A</v>
      </c>
    </row>
    <row r="678" ht="15.75" customHeight="1">
      <c r="A678" s="12">
        <v>44083.0</v>
      </c>
      <c r="B678" s="2">
        <v>339.79</v>
      </c>
      <c r="C678" s="3">
        <v>44083.0</v>
      </c>
      <c r="D678" s="4" t="str">
        <f t="array" ref="D678">XLOOKUP(Hoja5!A678,Agregado!B1512:B2186,Agregado!G678:G2186)</f>
        <v>#N/A</v>
      </c>
    </row>
    <row r="679" ht="15.75" customHeight="1">
      <c r="A679" s="12">
        <v>44084.0</v>
      </c>
      <c r="B679" s="2">
        <v>333.89</v>
      </c>
      <c r="C679" s="3">
        <v>44113.0</v>
      </c>
      <c r="D679" s="4" t="str">
        <f t="array" ref="D679">XLOOKUP(Hoja5!A679,Agregado!B1512:B2187,Agregado!G679:G2187)</f>
        <v>#N/A</v>
      </c>
    </row>
    <row r="680" ht="15.75" customHeight="1">
      <c r="A680" s="12">
        <v>44085.0</v>
      </c>
      <c r="B680" s="2">
        <v>334.06</v>
      </c>
      <c r="C680" s="3">
        <v>44144.0</v>
      </c>
      <c r="D680" s="4" t="str">
        <f t="array" ref="D680">XLOOKUP(Hoja5!A680,Agregado!B1512:B2188,Agregado!G680:G2188)</f>
        <v>#N/A</v>
      </c>
    </row>
    <row r="681" ht="15.75" customHeight="1">
      <c r="A681" s="12">
        <v>44088.0</v>
      </c>
      <c r="B681" s="2">
        <v>338.46</v>
      </c>
      <c r="C681" s="3" t="s">
        <v>408</v>
      </c>
      <c r="D681" s="4" t="str">
        <f t="array" ref="D681">XLOOKUP(Hoja5!A681,Agregado!B1512:B2189,Agregado!G681:G2189)</f>
        <v>#N/A</v>
      </c>
    </row>
    <row r="682" ht="15.75" customHeight="1">
      <c r="A682" s="12">
        <v>44089.0</v>
      </c>
      <c r="B682" s="2">
        <v>340.17</v>
      </c>
      <c r="C682" s="3" t="s">
        <v>409</v>
      </c>
      <c r="D682" s="4" t="str">
        <f t="array" ref="D682">XLOOKUP(Hoja5!A682,Agregado!B1512:B2190,Agregado!G682:G2190)</f>
        <v>#N/A</v>
      </c>
    </row>
    <row r="683" ht="15.75" customHeight="1">
      <c r="A683" s="12">
        <v>44090.0</v>
      </c>
      <c r="B683" s="2">
        <v>338.82</v>
      </c>
      <c r="C683" s="3" t="s">
        <v>410</v>
      </c>
      <c r="D683" s="4" t="str">
        <f t="array" ref="D683">XLOOKUP(Hoja5!A683,Agregado!B1512:B2191,Agregado!G683:G2191)</f>
        <v>#N/A</v>
      </c>
    </row>
    <row r="684" ht="15.75" customHeight="1">
      <c r="A684" s="12">
        <v>44091.0</v>
      </c>
      <c r="B684" s="2">
        <v>335.84</v>
      </c>
      <c r="C684" s="3" t="s">
        <v>411</v>
      </c>
      <c r="D684" s="4" t="str">
        <f t="array" ref="D684">XLOOKUP(Hoja5!A684,Agregado!B1512:B2192,Agregado!G684:G2192)</f>
        <v>#N/A</v>
      </c>
    </row>
    <row r="685" ht="15.75" customHeight="1">
      <c r="A685" s="12">
        <v>44092.0</v>
      </c>
      <c r="B685" s="2">
        <v>330.65</v>
      </c>
      <c r="C685" s="3" t="s">
        <v>412</v>
      </c>
      <c r="D685" s="4" t="str">
        <f t="array" ref="D685">XLOOKUP(Hoja5!A685,Agregado!B1512:B2193,Agregado!G685:G2193)</f>
        <v>#N/A</v>
      </c>
    </row>
    <row r="686" ht="15.75" customHeight="1">
      <c r="A686" s="12">
        <v>44095.0</v>
      </c>
      <c r="B686" s="2">
        <v>326.97</v>
      </c>
      <c r="C686" s="3" t="s">
        <v>413</v>
      </c>
      <c r="D686" s="4" t="str">
        <f t="array" ref="D686">XLOOKUP(Hoja5!A686,Agregado!B1512:B2194,Agregado!G686:G2194)</f>
        <v>#N/A</v>
      </c>
    </row>
    <row r="687" ht="15.75" customHeight="1">
      <c r="A687" s="12">
        <v>44096.0</v>
      </c>
      <c r="B687" s="2">
        <v>330.3</v>
      </c>
      <c r="C687" s="3" t="s">
        <v>414</v>
      </c>
      <c r="D687" s="4" t="str">
        <f t="array" ref="D687">XLOOKUP(Hoja5!A687,Agregado!B1512:B2195,Agregado!G687:G2195)</f>
        <v>#N/A</v>
      </c>
    </row>
    <row r="688" ht="15.75" customHeight="1">
      <c r="A688" s="12">
        <v>44097.0</v>
      </c>
      <c r="B688" s="2">
        <v>322.64</v>
      </c>
      <c r="C688" s="3" t="s">
        <v>415</v>
      </c>
      <c r="D688" s="4" t="str">
        <f t="array" ref="D688">XLOOKUP(Hoja5!A688,Agregado!B1512:B2196,Agregado!G688:G2196)</f>
        <v>#N/A</v>
      </c>
    </row>
    <row r="689" ht="15.75" customHeight="1">
      <c r="A689" s="12">
        <v>44098.0</v>
      </c>
      <c r="B689" s="2">
        <v>323.5</v>
      </c>
      <c r="C689" s="3" t="s">
        <v>416</v>
      </c>
      <c r="D689" s="4" t="str">
        <f t="array" ref="D689">XLOOKUP(Hoja5!A689,Agregado!B1512:B2197,Agregado!G689:G2197)</f>
        <v>#N/A</v>
      </c>
    </row>
    <row r="690" ht="15.75" customHeight="1">
      <c r="A690" s="12">
        <v>44099.0</v>
      </c>
      <c r="B690" s="2">
        <v>328.73</v>
      </c>
      <c r="C690" s="3" t="s">
        <v>417</v>
      </c>
      <c r="D690" s="4" t="str">
        <f t="array" ref="D690">XLOOKUP(Hoja5!A690,Agregado!B1512:B2198,Agregado!G690:G2198)</f>
        <v>#N/A</v>
      </c>
    </row>
    <row r="691" ht="15.75" customHeight="1">
      <c r="A691" s="12">
        <v>44102.0</v>
      </c>
      <c r="B691" s="2">
        <v>334.19</v>
      </c>
      <c r="C691" s="3" t="s">
        <v>418</v>
      </c>
      <c r="D691" s="4" t="str">
        <f t="array" ref="D691">XLOOKUP(Hoja5!A691,Agregado!B1512:B2199,Agregado!G691:G2199)</f>
        <v>#N/A</v>
      </c>
    </row>
    <row r="692" ht="15.75" customHeight="1">
      <c r="A692" s="12">
        <v>44103.0</v>
      </c>
      <c r="B692" s="2">
        <v>332.37</v>
      </c>
      <c r="C692" s="3" t="s">
        <v>419</v>
      </c>
      <c r="D692" s="4" t="str">
        <f t="array" ref="D692">XLOOKUP(Hoja5!A692,Agregado!B1512:B2200,Agregado!G692:G2200)</f>
        <v>#N/A</v>
      </c>
    </row>
    <row r="693" ht="15.75" customHeight="1">
      <c r="A693" s="12">
        <v>44104.0</v>
      </c>
      <c r="B693" s="2">
        <v>334.89</v>
      </c>
      <c r="C693" s="3" t="s">
        <v>420</v>
      </c>
      <c r="D693" s="4" t="str">
        <f t="array" ref="D693">XLOOKUP(Hoja5!A693,Agregado!B1512:B2201,Agregado!G693:G2201)</f>
        <v>#N/A</v>
      </c>
    </row>
    <row r="694" ht="15.75" customHeight="1">
      <c r="A694" s="12">
        <v>44105.0</v>
      </c>
      <c r="B694" s="2">
        <v>337.04</v>
      </c>
      <c r="C694" s="3">
        <v>43840.0</v>
      </c>
      <c r="D694" s="4" t="str">
        <f t="array" ref="D694">XLOOKUP(Hoja5!A694,Agregado!B1512:B2202,Agregado!G694:G2202)</f>
        <v>#N/A</v>
      </c>
    </row>
    <row r="695" ht="15.75" customHeight="1">
      <c r="A695" s="12">
        <v>44106.0</v>
      </c>
      <c r="B695" s="2">
        <v>333.84</v>
      </c>
      <c r="C695" s="3">
        <v>43871.0</v>
      </c>
      <c r="D695" s="4" t="str">
        <f t="array" ref="D695">XLOOKUP(Hoja5!A695,Agregado!B1512:B2203,Agregado!G695:G2203)</f>
        <v>#N/A</v>
      </c>
    </row>
    <row r="696" ht="15.75" customHeight="1">
      <c r="A696" s="12">
        <v>44109.0</v>
      </c>
      <c r="B696" s="2">
        <v>339.76</v>
      </c>
      <c r="C696" s="3">
        <v>43961.0</v>
      </c>
      <c r="D696" s="4" t="str">
        <f t="array" ref="D696">XLOOKUP(Hoja5!A696,Agregado!B1512:B2204,Agregado!G696:G2204)</f>
        <v>#N/A</v>
      </c>
    </row>
    <row r="697" ht="15.75" customHeight="1">
      <c r="A697" s="12">
        <v>44110.0</v>
      </c>
      <c r="B697" s="2">
        <v>334.93</v>
      </c>
      <c r="C697" s="3">
        <v>43992.0</v>
      </c>
      <c r="D697" s="4" t="str">
        <f t="array" ref="D697">XLOOKUP(Hoja5!A697,Agregado!B1512:B2205,Agregado!G697:G2205)</f>
        <v>#N/A</v>
      </c>
    </row>
    <row r="698" ht="15.75" customHeight="1">
      <c r="A698" s="12">
        <v>44111.0</v>
      </c>
      <c r="B698" s="2">
        <v>340.76</v>
      </c>
      <c r="C698" s="3">
        <v>44022.0</v>
      </c>
      <c r="D698" s="4" t="str">
        <f t="array" ref="D698">XLOOKUP(Hoja5!A698,Agregado!B1512:B2206,Agregado!G698:G2206)</f>
        <v>#N/A</v>
      </c>
    </row>
    <row r="699" ht="15.75" customHeight="1">
      <c r="A699" s="12">
        <v>44112.0</v>
      </c>
      <c r="B699" s="2">
        <v>343.78</v>
      </c>
      <c r="C699" s="3">
        <v>44053.0</v>
      </c>
      <c r="D699" s="4" t="str">
        <f t="array" ref="D699">XLOOKUP(Hoja5!A699,Agregado!B1512:B2207,Agregado!G699:G2207)</f>
        <v>#N/A</v>
      </c>
    </row>
    <row r="700" ht="15.75" customHeight="1">
      <c r="A700" s="12">
        <v>44113.0</v>
      </c>
      <c r="B700" s="2">
        <v>346.85</v>
      </c>
      <c r="C700" s="3">
        <v>44084.0</v>
      </c>
      <c r="D700" s="4" t="str">
        <f t="array" ref="D700">XLOOKUP(Hoja5!A700,Agregado!B1512:B2208,Agregado!G700:G2208)</f>
        <v>#N/A</v>
      </c>
    </row>
    <row r="701" ht="15.75" customHeight="1">
      <c r="A701" s="12">
        <v>44116.0</v>
      </c>
      <c r="B701" s="2">
        <v>352.43</v>
      </c>
      <c r="C701" s="3">
        <v>44175.0</v>
      </c>
      <c r="D701" s="4" t="str">
        <f t="array" ref="D701">XLOOKUP(Hoja5!A701,Agregado!B1512:B2209,Agregado!G701:G2209)</f>
        <v>#N/A</v>
      </c>
    </row>
    <row r="702" ht="15.75" customHeight="1">
      <c r="A702" s="12">
        <v>44117.0</v>
      </c>
      <c r="B702" s="2">
        <v>350.13</v>
      </c>
      <c r="C702" s="3" t="s">
        <v>421</v>
      </c>
      <c r="D702" s="4" t="str">
        <f t="array" ref="D702">XLOOKUP(Hoja5!A702,Agregado!B1512:B2210,Agregado!G702:G2210)</f>
        <v>#N/A</v>
      </c>
    </row>
    <row r="703" ht="15.75" customHeight="1">
      <c r="A703" s="12">
        <v>44118.0</v>
      </c>
      <c r="B703" s="2">
        <v>347.93</v>
      </c>
      <c r="C703" s="3" t="s">
        <v>422</v>
      </c>
      <c r="D703" s="4" t="str">
        <f t="array" ref="D703">XLOOKUP(Hoja5!A703,Agregado!B1512:B2211,Agregado!G703:G2211)</f>
        <v>#N/A</v>
      </c>
    </row>
    <row r="704" ht="15.75" customHeight="1">
      <c r="A704" s="12">
        <v>44119.0</v>
      </c>
      <c r="B704" s="2">
        <v>347.5</v>
      </c>
      <c r="C704" s="3" t="s">
        <v>423</v>
      </c>
      <c r="D704" s="4" t="str">
        <f t="array" ref="D704">XLOOKUP(Hoja5!A704,Agregado!B1512:B2212,Agregado!G704:G2212)</f>
        <v>#N/A</v>
      </c>
    </row>
    <row r="705" ht="15.75" customHeight="1">
      <c r="A705" s="12">
        <v>44120.0</v>
      </c>
      <c r="B705" s="2">
        <v>347.29</v>
      </c>
      <c r="C705" s="3" t="s">
        <v>424</v>
      </c>
      <c r="D705" s="4" t="str">
        <f t="array" ref="D705">XLOOKUP(Hoja5!A705,Agregado!B1512:B2213,Agregado!G705:G2213)</f>
        <v>#N/A</v>
      </c>
    </row>
    <row r="706" ht="15.75" customHeight="1">
      <c r="A706" s="12">
        <v>44123.0</v>
      </c>
      <c r="B706" s="2">
        <v>342.01</v>
      </c>
      <c r="C706" s="3" t="s">
        <v>425</v>
      </c>
      <c r="D706" s="4" t="str">
        <f t="array" ref="D706">XLOOKUP(Hoja5!A706,Agregado!B1512:B2214,Agregado!G706:G2214)</f>
        <v>#N/A</v>
      </c>
    </row>
    <row r="707" ht="15.75" customHeight="1">
      <c r="A707" s="12">
        <v>44124.0</v>
      </c>
      <c r="B707" s="2">
        <v>343.38</v>
      </c>
      <c r="C707" s="3" t="s">
        <v>426</v>
      </c>
      <c r="D707" s="4" t="str">
        <f t="array" ref="D707">XLOOKUP(Hoja5!A707,Agregado!B1512:B2215,Agregado!G707:G2215)</f>
        <v>#N/A</v>
      </c>
    </row>
    <row r="708" ht="15.75" customHeight="1">
      <c r="A708" s="12">
        <v>44125.0</v>
      </c>
      <c r="B708" s="2">
        <v>342.73</v>
      </c>
      <c r="C708" s="3" t="s">
        <v>427</v>
      </c>
      <c r="D708" s="4" t="str">
        <f t="array" ref="D708">XLOOKUP(Hoja5!A708,Agregado!B1512:B2216,Agregado!G708:G2216)</f>
        <v>#N/A</v>
      </c>
    </row>
    <row r="709" ht="15.75" customHeight="1">
      <c r="A709" s="12">
        <v>44126.0</v>
      </c>
      <c r="B709" s="2">
        <v>344.61</v>
      </c>
      <c r="C709" s="3" t="s">
        <v>428</v>
      </c>
      <c r="D709" s="4" t="str">
        <f t="array" ref="D709">XLOOKUP(Hoja5!A709,Agregado!B1512:B2217,Agregado!G709:G2217)</f>
        <v>#N/A</v>
      </c>
    </row>
    <row r="710" ht="15.75" customHeight="1">
      <c r="A710" s="12">
        <v>44127.0</v>
      </c>
      <c r="B710" s="2">
        <v>345.78</v>
      </c>
      <c r="C710" s="3" t="s">
        <v>429</v>
      </c>
      <c r="D710" s="4" t="str">
        <f t="array" ref="D710">XLOOKUP(Hoja5!A710,Agregado!B1512:B2218,Agregado!G710:G2218)</f>
        <v>#N/A</v>
      </c>
    </row>
    <row r="711" ht="15.75" customHeight="1">
      <c r="A711" s="12">
        <v>44130.0</v>
      </c>
      <c r="B711" s="2">
        <v>339.39</v>
      </c>
      <c r="C711" s="3" t="s">
        <v>430</v>
      </c>
      <c r="D711" s="4" t="str">
        <f t="array" ref="D711">XLOOKUP(Hoja5!A711,Agregado!B1512:B2219,Agregado!G711:G2219)</f>
        <v>#N/A</v>
      </c>
    </row>
    <row r="712" ht="15.75" customHeight="1">
      <c r="A712" s="12">
        <v>44131.0</v>
      </c>
      <c r="B712" s="2">
        <v>338.22</v>
      </c>
      <c r="C712" s="3" t="s">
        <v>431</v>
      </c>
      <c r="D712" s="4" t="str">
        <f t="array" ref="D712">XLOOKUP(Hoja5!A712,Agregado!B1512:B2220,Agregado!G712:G2220)</f>
        <v>#N/A</v>
      </c>
    </row>
    <row r="713" ht="15.75" customHeight="1">
      <c r="A713" s="12">
        <v>44132.0</v>
      </c>
      <c r="B713" s="2">
        <v>326.66</v>
      </c>
      <c r="C713" s="3" t="s">
        <v>432</v>
      </c>
      <c r="D713" s="4" t="str">
        <f t="array" ref="D713">XLOOKUP(Hoja5!A713,Agregado!B1512:B2221,Agregado!G713:G2221)</f>
        <v>#N/A</v>
      </c>
    </row>
    <row r="714" ht="15.75" customHeight="1">
      <c r="A714" s="12">
        <v>44133.0</v>
      </c>
      <c r="B714" s="2">
        <v>329.98</v>
      </c>
      <c r="C714" s="3" t="s">
        <v>433</v>
      </c>
      <c r="D714" s="4" t="str">
        <f t="array" ref="D714">XLOOKUP(Hoja5!A714,Agregado!B1512:B2222,Agregado!G714:G2222)</f>
        <v>#N/A</v>
      </c>
    </row>
    <row r="715" ht="15.75" customHeight="1">
      <c r="A715" s="12">
        <v>44134.0</v>
      </c>
      <c r="B715" s="2">
        <v>326.54</v>
      </c>
      <c r="C715" s="3" t="s">
        <v>434</v>
      </c>
      <c r="D715" s="4" t="str">
        <f t="array" ref="D715">XLOOKUP(Hoja5!A715,Agregado!B1512:B2223,Agregado!G715:G2223)</f>
        <v>#N/A</v>
      </c>
    </row>
    <row r="716" ht="15.75" customHeight="1">
      <c r="A716" s="12">
        <v>44137.0</v>
      </c>
      <c r="B716" s="2">
        <v>330.2</v>
      </c>
      <c r="C716" s="3">
        <v>43872.0</v>
      </c>
      <c r="D716" s="4" t="str">
        <f t="array" ref="D716">XLOOKUP(Hoja5!A716,Agregado!B1512:B2224,Agregado!G716:G2224)</f>
        <v>#N/A</v>
      </c>
    </row>
    <row r="717" ht="15.75" customHeight="1">
      <c r="A717" s="12">
        <v>44138.0</v>
      </c>
      <c r="B717" s="2">
        <v>336.03</v>
      </c>
      <c r="C717" s="3">
        <v>43901.0</v>
      </c>
      <c r="D717" s="4" t="str">
        <f t="array" ref="D717">XLOOKUP(Hoja5!A717,Agregado!B1512:B2225,Agregado!G717:G2225)</f>
        <v>#N/A</v>
      </c>
    </row>
    <row r="718" ht="15.75" customHeight="1">
      <c r="A718" s="12">
        <v>44139.0</v>
      </c>
      <c r="B718" s="2">
        <v>343.54</v>
      </c>
      <c r="C718" s="3">
        <v>43932.0</v>
      </c>
      <c r="D718" s="4" t="str">
        <f t="array" ref="D718">XLOOKUP(Hoja5!A718,Agregado!B1512:B2226,Agregado!G718:G2226)</f>
        <v>#N/A</v>
      </c>
    </row>
    <row r="719" ht="15.75" customHeight="1">
      <c r="A719" s="12">
        <v>44140.0</v>
      </c>
      <c r="B719" s="2">
        <v>350.24</v>
      </c>
      <c r="C719" s="3">
        <v>43962.0</v>
      </c>
      <c r="D719" s="4" t="str">
        <f t="array" ref="D719">XLOOKUP(Hoja5!A719,Agregado!B1512:B2227,Agregado!G719:G2227)</f>
        <v>#N/A</v>
      </c>
    </row>
    <row r="720" ht="15.75" customHeight="1">
      <c r="A720" s="12">
        <v>44141.0</v>
      </c>
      <c r="B720" s="2">
        <v>350.16</v>
      </c>
      <c r="C720" s="3">
        <v>43993.0</v>
      </c>
      <c r="D720" s="4" t="str">
        <f t="array" ref="D720">XLOOKUP(Hoja5!A720,Agregado!B1512:B2228,Agregado!G720:G2228)</f>
        <v>#N/A</v>
      </c>
    </row>
    <row r="721" ht="15.75" customHeight="1">
      <c r="A721" s="12">
        <v>44144.0</v>
      </c>
      <c r="B721" s="2">
        <v>354.56</v>
      </c>
      <c r="C721" s="3">
        <v>44085.0</v>
      </c>
      <c r="D721" s="4" t="str">
        <f t="array" ref="D721">XLOOKUP(Hoja5!A721,Agregado!B1512:B2229,Agregado!G721:G2229)</f>
        <v>#N/A</v>
      </c>
    </row>
    <row r="722" ht="15.75" customHeight="1">
      <c r="A722" s="12">
        <v>44145.0</v>
      </c>
      <c r="B722" s="2">
        <v>354.04</v>
      </c>
      <c r="C722" s="3">
        <v>44115.0</v>
      </c>
      <c r="D722" s="4" t="str">
        <f t="array" ref="D722">XLOOKUP(Hoja5!A722,Agregado!B1512:B2230,Agregado!G722:G2230)</f>
        <v>#N/A</v>
      </c>
    </row>
    <row r="723" ht="15.75" customHeight="1">
      <c r="A723" s="12">
        <v>44146.0</v>
      </c>
      <c r="B723" s="2">
        <v>356.67</v>
      </c>
      <c r="C723" s="3">
        <v>44146.0</v>
      </c>
      <c r="D723" s="4" t="str">
        <f t="array" ref="D723">XLOOKUP(Hoja5!A723,Agregado!B1512:B2231,Agregado!G723:G2231)</f>
        <v>#N/A</v>
      </c>
    </row>
    <row r="724" ht="15.75" customHeight="1">
      <c r="A724" s="12">
        <v>44147.0</v>
      </c>
      <c r="B724" s="2">
        <v>353.21</v>
      </c>
      <c r="C724" s="3">
        <v>44176.0</v>
      </c>
      <c r="D724" s="4" t="str">
        <f t="array" ref="D724">XLOOKUP(Hoja5!A724,Agregado!B1512:B2232,Agregado!G724:G2232)</f>
        <v>#N/A</v>
      </c>
    </row>
    <row r="725" ht="15.75" customHeight="1">
      <c r="A725" s="12">
        <v>44148.0</v>
      </c>
      <c r="B725" s="2">
        <v>358.1</v>
      </c>
      <c r="C725" s="3" t="s">
        <v>435</v>
      </c>
      <c r="D725" s="4" t="str">
        <f t="array" ref="D725">XLOOKUP(Hoja5!A725,Agregado!B1512:B2233,Agregado!G725:G2233)</f>
        <v>#N/A</v>
      </c>
    </row>
    <row r="726" ht="15.75" customHeight="1">
      <c r="A726" s="12">
        <v>44151.0</v>
      </c>
      <c r="B726" s="2">
        <v>362.57</v>
      </c>
      <c r="C726" s="3" t="s">
        <v>436</v>
      </c>
      <c r="D726" s="4" t="str">
        <f t="array" ref="D726">XLOOKUP(Hoja5!A726,Agregado!B1512:B2234,Agregado!G726:G2234)</f>
        <v>#N/A</v>
      </c>
    </row>
    <row r="727" ht="15.75" customHeight="1">
      <c r="A727" s="12">
        <v>44152.0</v>
      </c>
      <c r="B727" s="2">
        <v>360.62</v>
      </c>
      <c r="C727" s="3" t="s">
        <v>437</v>
      </c>
      <c r="D727" s="4" t="str">
        <f t="array" ref="D727">XLOOKUP(Hoja5!A727,Agregado!B1512:B2235,Agregado!G727:G2235)</f>
        <v>#N/A</v>
      </c>
    </row>
    <row r="728" ht="15.75" customHeight="1">
      <c r="A728" s="12">
        <v>44153.0</v>
      </c>
      <c r="B728" s="2">
        <v>356.28</v>
      </c>
      <c r="C728" s="3" t="s">
        <v>438</v>
      </c>
      <c r="D728" s="4" t="str">
        <f t="array" ref="D728">XLOOKUP(Hoja5!A728,Agregado!B1512:B2236,Agregado!G728:G2236)</f>
        <v>#N/A</v>
      </c>
    </row>
    <row r="729" ht="15.75" customHeight="1">
      <c r="A729" s="12">
        <v>44154.0</v>
      </c>
      <c r="B729" s="2">
        <v>357.78</v>
      </c>
      <c r="C729" s="3" t="s">
        <v>439</v>
      </c>
      <c r="D729" s="4" t="str">
        <f t="array" ref="D729">XLOOKUP(Hoja5!A729,Agregado!B1512:B2237,Agregado!G729:G2237)</f>
        <v>#N/A</v>
      </c>
    </row>
    <row r="730" ht="15.75" customHeight="1">
      <c r="A730" s="12">
        <v>44155.0</v>
      </c>
      <c r="B730" s="2">
        <v>355.33</v>
      </c>
      <c r="C730" s="3" t="s">
        <v>440</v>
      </c>
      <c r="D730" s="4" t="str">
        <f t="array" ref="D730">XLOOKUP(Hoja5!A730,Agregado!B1512:B2238,Agregado!G730:G2238)</f>
        <v>#N/A</v>
      </c>
    </row>
    <row r="731" ht="15.75" customHeight="1">
      <c r="A731" s="12">
        <v>44158.0</v>
      </c>
      <c r="B731" s="2">
        <v>357.46</v>
      </c>
      <c r="C731" s="3" t="s">
        <v>441</v>
      </c>
      <c r="D731" s="4" t="str">
        <f t="array" ref="D731">XLOOKUP(Hoja5!A731,Agregado!B1512:B2239,Agregado!G731:G2239)</f>
        <v>#N/A</v>
      </c>
    </row>
    <row r="732" ht="15.75" customHeight="1">
      <c r="A732" s="12">
        <v>44159.0</v>
      </c>
      <c r="B732" s="2">
        <v>363.22</v>
      </c>
      <c r="C732" s="3" t="s">
        <v>442</v>
      </c>
      <c r="D732" s="4" t="str">
        <f t="array" ref="D732">XLOOKUP(Hoja5!A732,Agregado!B1512:B2240,Agregado!G732:G2240)</f>
        <v>#N/A</v>
      </c>
    </row>
    <row r="733" ht="15.75" customHeight="1">
      <c r="A733" s="12">
        <v>44160.0</v>
      </c>
      <c r="B733" s="2">
        <v>362.66</v>
      </c>
      <c r="C733" s="3" t="s">
        <v>443</v>
      </c>
      <c r="D733" s="4" t="str">
        <f t="array" ref="D733">XLOOKUP(Hoja5!A733,Agregado!B1512:B2241,Agregado!G733:G2241)</f>
        <v>#N/A</v>
      </c>
    </row>
    <row r="734" ht="15.75" customHeight="1">
      <c r="A734" s="12">
        <v>44162.0</v>
      </c>
      <c r="B734" s="2">
        <v>363.67</v>
      </c>
      <c r="C734" s="3" t="s">
        <v>444</v>
      </c>
      <c r="D734" s="4" t="str">
        <f t="array" ref="D734">XLOOKUP(Hoja5!A734,Agregado!B1512:B2242,Agregado!G734:G2242)</f>
        <v>#N/A</v>
      </c>
    </row>
    <row r="735" ht="15.75" customHeight="1">
      <c r="A735" s="12">
        <v>44165.0</v>
      </c>
      <c r="B735" s="2">
        <v>362.06</v>
      </c>
      <c r="C735" s="3" t="s">
        <v>445</v>
      </c>
      <c r="D735" s="4" t="str">
        <f t="array" ref="D735">XLOOKUP(Hoja5!A735,Agregado!B1512:B2243,Agregado!G735:G2243)</f>
        <v>#N/A</v>
      </c>
    </row>
    <row r="736" ht="15.75" customHeight="1">
      <c r="A736" s="12">
        <v>44166.0</v>
      </c>
      <c r="B736" s="2">
        <v>366.02</v>
      </c>
      <c r="C736" s="3">
        <v>43842.0</v>
      </c>
      <c r="D736" s="4" t="str">
        <f t="array" ref="D736">XLOOKUP(Hoja5!A736,Agregado!B1512:B2244,Agregado!G736:G2244)</f>
        <v>#N/A</v>
      </c>
    </row>
    <row r="737" ht="15.75" customHeight="1">
      <c r="A737" s="12">
        <v>44167.0</v>
      </c>
      <c r="B737" s="2">
        <v>366.79</v>
      </c>
      <c r="C737" s="3">
        <v>43873.0</v>
      </c>
      <c r="D737" s="4" t="str">
        <f t="array" ref="D737">XLOOKUP(Hoja5!A737,Agregado!B1512:B2245,Agregado!G737:G2245)</f>
        <v>#N/A</v>
      </c>
    </row>
    <row r="738" ht="15.75" customHeight="1">
      <c r="A738" s="12">
        <v>44168.0</v>
      </c>
      <c r="B738" s="2">
        <v>366.69</v>
      </c>
      <c r="C738" s="3">
        <v>43902.0</v>
      </c>
      <c r="D738" s="4" t="str">
        <f t="array" ref="D738">XLOOKUP(Hoja5!A738,Agregado!B1512:B2246,Agregado!G738:G2246)</f>
        <v>#N/A</v>
      </c>
    </row>
    <row r="739" ht="15.75" customHeight="1">
      <c r="A739" s="12">
        <v>44169.0</v>
      </c>
      <c r="B739" s="2">
        <v>369.85</v>
      </c>
      <c r="C739" s="3">
        <v>43933.0</v>
      </c>
      <c r="D739" s="4" t="str">
        <f t="array" ref="D739">XLOOKUP(Hoja5!A739,Agregado!B1512:B2247,Agregado!G739:G2247)</f>
        <v>#N/A</v>
      </c>
    </row>
    <row r="740" ht="15.75" customHeight="1">
      <c r="A740" s="12">
        <v>44172.0</v>
      </c>
      <c r="B740" s="2">
        <v>369.09</v>
      </c>
      <c r="C740" s="3">
        <v>44024.0</v>
      </c>
      <c r="D740" s="4" t="str">
        <f t="array" ref="D740">XLOOKUP(Hoja5!A740,Agregado!B1512:B2248,Agregado!G740:G2248)</f>
        <v>#N/A</v>
      </c>
    </row>
    <row r="741" ht="15.75" customHeight="1">
      <c r="A741" s="12">
        <v>44173.0</v>
      </c>
      <c r="B741" s="2">
        <v>370.17</v>
      </c>
      <c r="C741" s="3">
        <v>44055.0</v>
      </c>
      <c r="D741" s="4" t="str">
        <f t="array" ref="D741">XLOOKUP(Hoja5!A741,Agregado!B1512:B2249,Agregado!G741:G2249)</f>
        <v>#N/A</v>
      </c>
    </row>
    <row r="742" ht="15.75" customHeight="1">
      <c r="A742" s="12">
        <v>44174.0</v>
      </c>
      <c r="B742" s="2">
        <v>366.85</v>
      </c>
      <c r="C742" s="3">
        <v>44086.0</v>
      </c>
      <c r="D742" s="4" t="str">
        <f t="array" ref="D742">XLOOKUP(Hoja5!A742,Agregado!B1512:B2250,Agregado!G742:G2250)</f>
        <v>#N/A</v>
      </c>
    </row>
    <row r="743" ht="15.75" customHeight="1">
      <c r="A743" s="12">
        <v>44175.0</v>
      </c>
      <c r="B743" s="2">
        <v>366.73</v>
      </c>
      <c r="C743" s="3">
        <v>44116.0</v>
      </c>
      <c r="D743" s="4" t="str">
        <f t="array" ref="D743">XLOOKUP(Hoja5!A743,Agregado!B1512:B2251,Agregado!G743:G2251)</f>
        <v>#N/A</v>
      </c>
    </row>
    <row r="744" ht="15.75" customHeight="1">
      <c r="A744" s="12">
        <v>44176.0</v>
      </c>
      <c r="B744" s="2">
        <v>366.3</v>
      </c>
      <c r="C744" s="3">
        <v>44147.0</v>
      </c>
      <c r="D744" s="4" t="str">
        <f t="array" ref="D744">XLOOKUP(Hoja5!A744,Agregado!B1512:B2252,Agregado!G744:G2252)</f>
        <v>#N/A</v>
      </c>
    </row>
    <row r="745" ht="15.75" customHeight="1">
      <c r="A745" s="12">
        <v>44179.0</v>
      </c>
      <c r="B745" s="2">
        <v>364.66</v>
      </c>
      <c r="C745" s="3" t="s">
        <v>446</v>
      </c>
      <c r="D745" s="4" t="str">
        <f t="array" ref="D745">XLOOKUP(Hoja5!A745,Agregado!B1512:B2253,Agregado!G745:G2253)</f>
        <v>#N/A</v>
      </c>
    </row>
    <row r="746" ht="15.75" customHeight="1">
      <c r="A746" s="12">
        <v>44180.0</v>
      </c>
      <c r="B746" s="2">
        <v>369.59</v>
      </c>
      <c r="C746" s="3" t="s">
        <v>447</v>
      </c>
      <c r="D746" s="4" t="str">
        <f t="array" ref="D746">XLOOKUP(Hoja5!A746,Agregado!B1512:B2254,Agregado!G746:G2254)</f>
        <v>#N/A</v>
      </c>
    </row>
    <row r="747" ht="15.75" customHeight="1">
      <c r="A747" s="12">
        <v>44181.0</v>
      </c>
      <c r="B747" s="2">
        <v>370.17</v>
      </c>
      <c r="C747" s="3" t="s">
        <v>448</v>
      </c>
      <c r="D747" s="4" t="str">
        <f t="array" ref="D747">XLOOKUP(Hoja5!A747,Agregado!B1512:B2255,Agregado!G747:G2255)</f>
        <v>#N/A</v>
      </c>
    </row>
    <row r="748" ht="15.75" customHeight="1">
      <c r="A748" s="12">
        <v>44182.0</v>
      </c>
      <c r="B748" s="2">
        <v>372.24</v>
      </c>
      <c r="C748" s="3" t="s">
        <v>449</v>
      </c>
      <c r="D748" s="4" t="str">
        <f t="array" ref="D748">XLOOKUP(Hoja5!A748,Agregado!B1512:B2256,Agregado!G748:G2256)</f>
        <v>#N/A</v>
      </c>
    </row>
    <row r="749" ht="15.75" customHeight="1">
      <c r="A749" s="12">
        <v>44183.0</v>
      </c>
      <c r="B749" s="2">
        <v>369.18</v>
      </c>
      <c r="C749" s="3" t="s">
        <v>450</v>
      </c>
      <c r="D749" s="4" t="str">
        <f t="array" ref="D749">XLOOKUP(Hoja5!A749,Agregado!B1512:B2257,Agregado!G749:G2257)</f>
        <v>#N/A</v>
      </c>
    </row>
    <row r="750" ht="15.75" customHeight="1">
      <c r="A750" s="12">
        <v>44186.0</v>
      </c>
      <c r="B750" s="2">
        <v>367.86</v>
      </c>
      <c r="C750" s="3" t="s">
        <v>451</v>
      </c>
      <c r="D750" s="4" t="str">
        <f t="array" ref="D750">XLOOKUP(Hoja5!A750,Agregado!B1512:B2258,Agregado!G750:G2258)</f>
        <v>#N/A</v>
      </c>
    </row>
    <row r="751" ht="15.75" customHeight="1">
      <c r="A751" s="12">
        <v>44187.0</v>
      </c>
      <c r="B751" s="2">
        <v>367.24</v>
      </c>
      <c r="C751" s="3" t="s">
        <v>452</v>
      </c>
      <c r="D751" s="4" t="str">
        <f t="array" ref="D751">XLOOKUP(Hoja5!A751,Agregado!B1512:B2259,Agregado!G751:G2259)</f>
        <v>#N/A</v>
      </c>
    </row>
    <row r="752" ht="15.75" customHeight="1">
      <c r="A752" s="12">
        <v>44188.0</v>
      </c>
      <c r="B752" s="2">
        <v>367.57</v>
      </c>
      <c r="C752" s="3" t="s">
        <v>453</v>
      </c>
      <c r="D752" s="4" t="str">
        <f t="array" ref="D752">XLOOKUP(Hoja5!A752,Agregado!B1512:B2260,Agregado!G752:G2260)</f>
        <v>#N/A</v>
      </c>
    </row>
    <row r="753" ht="15.75" customHeight="1">
      <c r="A753" s="12">
        <v>44189.0</v>
      </c>
      <c r="B753" s="2">
        <v>369.0</v>
      </c>
      <c r="C753" s="3" t="s">
        <v>454</v>
      </c>
      <c r="D753" s="4" t="str">
        <f t="array" ref="D753">XLOOKUP(Hoja5!A753,Agregado!B1512:B2261,Agregado!G753:G2261)</f>
        <v>#N/A</v>
      </c>
    </row>
    <row r="754" ht="15.75" customHeight="1">
      <c r="A754" s="12">
        <v>44193.0</v>
      </c>
      <c r="B754" s="2">
        <v>372.17</v>
      </c>
      <c r="C754" s="3" t="s">
        <v>455</v>
      </c>
      <c r="D754" s="4" t="str">
        <f t="array" ref="D754">XLOOKUP(Hoja5!A754,Agregado!B1512:B2262,Agregado!G754:G2262)</f>
        <v>#N/A</v>
      </c>
    </row>
    <row r="755" ht="15.75" customHeight="1">
      <c r="A755" s="12">
        <v>44194.0</v>
      </c>
      <c r="B755" s="2">
        <v>371.46</v>
      </c>
      <c r="C755" s="3" t="s">
        <v>456</v>
      </c>
      <c r="D755" s="4" t="str">
        <f t="array" ref="D755">XLOOKUP(Hoja5!A755,Agregado!B1512:B2263,Agregado!G755:G2263)</f>
        <v>#N/A</v>
      </c>
    </row>
    <row r="756" ht="15.75" customHeight="1">
      <c r="A756" s="12">
        <v>44195.0</v>
      </c>
      <c r="B756" s="2">
        <v>371.99</v>
      </c>
      <c r="C756" s="3" t="s">
        <v>457</v>
      </c>
      <c r="D756" s="4" t="str">
        <f t="array" ref="D756">XLOOKUP(Hoja5!A756,Agregado!B1512:B2264,Agregado!G756:G2264)</f>
        <v>#N/A</v>
      </c>
    </row>
    <row r="757" ht="15.75" customHeight="1">
      <c r="A757" s="12">
        <v>44196.0</v>
      </c>
      <c r="B757" s="2">
        <v>373.88</v>
      </c>
      <c r="C757" s="3" t="s">
        <v>458</v>
      </c>
      <c r="D757" s="4" t="str">
        <f t="array" ref="D757">XLOOKUP(Hoja5!A757,Agregado!B1512:B2265,Agregado!G757:G2265)</f>
        <v>#N/A</v>
      </c>
    </row>
    <row r="758" ht="15.75" customHeight="1">
      <c r="A758" s="12">
        <v>44200.0</v>
      </c>
      <c r="B758" s="2">
        <v>368.79</v>
      </c>
      <c r="C758" s="3">
        <v>44287.0</v>
      </c>
      <c r="D758" s="4" t="str">
        <f t="array" ref="D758">XLOOKUP(Hoja5!A758,Agregado!B1512:B2266,Agregado!G758:G2266)</f>
        <v>#N/A</v>
      </c>
    </row>
    <row r="759" ht="15.75" customHeight="1">
      <c r="A759" s="12">
        <v>44201.0</v>
      </c>
      <c r="B759" s="2">
        <v>371.33</v>
      </c>
      <c r="C759" s="3">
        <v>44317.0</v>
      </c>
      <c r="D759" s="4" t="str">
        <f t="array" ref="D759">XLOOKUP(Hoja5!A759,Agregado!B1512:B2267,Agregado!G759:G2267)</f>
        <v>#N/A</v>
      </c>
    </row>
    <row r="760" ht="15.75" customHeight="1">
      <c r="A760" s="12">
        <v>44202.0</v>
      </c>
      <c r="B760" s="2">
        <v>373.55</v>
      </c>
      <c r="C760" s="3">
        <v>44348.0</v>
      </c>
      <c r="D760" s="4" t="str">
        <f t="array" ref="D760">XLOOKUP(Hoja5!A760,Agregado!B1512:B2268,Agregado!G760:G2268)</f>
        <v>#N/A</v>
      </c>
    </row>
    <row r="761" ht="15.75" customHeight="1">
      <c r="A761" s="12">
        <v>44203.0</v>
      </c>
      <c r="B761" s="2">
        <v>379.1</v>
      </c>
      <c r="C761" s="3">
        <v>44378.0</v>
      </c>
      <c r="D761" s="4" t="str">
        <f t="array" ref="D761">XLOOKUP(Hoja5!A761,Agregado!B1512:B2269,Agregado!G761:G2269)</f>
        <v>#N/A</v>
      </c>
    </row>
    <row r="762" ht="15.75" customHeight="1">
      <c r="A762" s="12">
        <v>44204.0</v>
      </c>
      <c r="B762" s="2">
        <v>381.26</v>
      </c>
      <c r="C762" s="3">
        <v>44409.0</v>
      </c>
      <c r="D762" s="4" t="str">
        <f t="array" ref="D762">XLOOKUP(Hoja5!A762,Agregado!B1512:B2270,Agregado!G762:G2270)</f>
        <v>#N/A</v>
      </c>
    </row>
    <row r="763" ht="15.75" customHeight="1">
      <c r="A763" s="12">
        <v>44207.0</v>
      </c>
      <c r="B763" s="2">
        <v>378.69</v>
      </c>
      <c r="C763" s="3">
        <v>44501.0</v>
      </c>
      <c r="D763" s="4" t="str">
        <f t="array" ref="D763">XLOOKUP(Hoja5!A763,Agregado!B1512:B2271,Agregado!G763:G2271)</f>
        <v>#N/A</v>
      </c>
    </row>
    <row r="764" ht="15.75" customHeight="1">
      <c r="A764" s="12">
        <v>44208.0</v>
      </c>
      <c r="B764" s="2">
        <v>378.77</v>
      </c>
      <c r="C764" s="3">
        <v>44531.0</v>
      </c>
      <c r="D764" s="4" t="str">
        <f t="array" ref="D764">XLOOKUP(Hoja5!A764,Agregado!B1512:B2272,Agregado!G764:G2272)</f>
        <v>#N/A</v>
      </c>
    </row>
    <row r="765" ht="15.75" customHeight="1">
      <c r="A765" s="12">
        <v>44209.0</v>
      </c>
      <c r="B765" s="2">
        <v>379.79</v>
      </c>
      <c r="C765" s="3" t="s">
        <v>459</v>
      </c>
      <c r="D765" s="4" t="str">
        <f t="array" ref="D765">XLOOKUP(Hoja5!A765,Agregado!B1512:B2273,Agregado!G765:G2273)</f>
        <v>#N/A</v>
      </c>
    </row>
    <row r="766" ht="15.75" customHeight="1">
      <c r="A766" s="12">
        <v>44210.0</v>
      </c>
      <c r="B766" s="2">
        <v>378.46</v>
      </c>
      <c r="C766" s="3" t="s">
        <v>460</v>
      </c>
      <c r="D766" s="4" t="str">
        <f t="array" ref="D766">XLOOKUP(Hoja5!A766,Agregado!B1512:B2274,Agregado!G766:G2274)</f>
        <v>#N/A</v>
      </c>
    </row>
    <row r="767" ht="15.75" customHeight="1">
      <c r="A767" s="12">
        <v>44211.0</v>
      </c>
      <c r="B767" s="2">
        <v>375.7</v>
      </c>
      <c r="C767" s="3" t="s">
        <v>461</v>
      </c>
      <c r="D767" s="4" t="str">
        <f t="array" ref="D767">XLOOKUP(Hoja5!A767,Agregado!B1512:B2275,Agregado!G767:G2275)</f>
        <v>#N/A</v>
      </c>
    </row>
    <row r="768" ht="15.75" customHeight="1">
      <c r="A768" s="12">
        <v>44215.0</v>
      </c>
      <c r="B768" s="2">
        <v>378.65</v>
      </c>
      <c r="C768" s="3" t="s">
        <v>462</v>
      </c>
      <c r="D768" s="4" t="str">
        <f t="array" ref="D768">XLOOKUP(Hoja5!A768,Agregado!B1512:B2276,Agregado!G768:G2276)</f>
        <v>#N/A</v>
      </c>
    </row>
    <row r="769" ht="15.75" customHeight="1">
      <c r="A769" s="12">
        <v>44216.0</v>
      </c>
      <c r="B769" s="2">
        <v>383.89</v>
      </c>
      <c r="C769" s="3" t="s">
        <v>463</v>
      </c>
      <c r="D769" s="4" t="str">
        <f t="array" ref="D769">XLOOKUP(Hoja5!A769,Agregado!B1512:B2277,Agregado!G769:G2277)</f>
        <v>#N/A</v>
      </c>
    </row>
    <row r="770" ht="15.75" customHeight="1">
      <c r="A770" s="12">
        <v>44217.0</v>
      </c>
      <c r="B770" s="2">
        <v>384.24</v>
      </c>
      <c r="C770" s="3" t="s">
        <v>464</v>
      </c>
      <c r="D770" s="4" t="str">
        <f t="array" ref="D770">XLOOKUP(Hoja5!A770,Agregado!B1512:B2278,Agregado!G770:G2278)</f>
        <v>#N/A</v>
      </c>
    </row>
    <row r="771" ht="15.75" customHeight="1">
      <c r="A771" s="12">
        <v>44218.0</v>
      </c>
      <c r="B771" s="2">
        <v>382.88</v>
      </c>
      <c r="C771" s="3" t="s">
        <v>465</v>
      </c>
      <c r="D771" s="4" t="str">
        <f t="array" ref="D771">XLOOKUP(Hoja5!A771,Agregado!B1512:B2279,Agregado!G771:G2279)</f>
        <v>#N/A</v>
      </c>
    </row>
    <row r="772" ht="15.75" customHeight="1">
      <c r="A772" s="12">
        <v>44221.0</v>
      </c>
      <c r="B772" s="2">
        <v>384.39</v>
      </c>
      <c r="C772" s="3" t="s">
        <v>466</v>
      </c>
      <c r="D772" s="4" t="str">
        <f t="array" ref="D772">XLOOKUP(Hoja5!A772,Agregado!B1512:B2280,Agregado!G772:G2280)</f>
        <v>#N/A</v>
      </c>
    </row>
    <row r="773" ht="15.75" customHeight="1">
      <c r="A773" s="12">
        <v>44222.0</v>
      </c>
      <c r="B773" s="2">
        <v>383.79</v>
      </c>
      <c r="C773" s="3" t="s">
        <v>467</v>
      </c>
      <c r="D773" s="4" t="str">
        <f t="array" ref="D773">XLOOKUP(Hoja5!A773,Agregado!B1512:B2281,Agregado!G773:G2281)</f>
        <v>#N/A</v>
      </c>
    </row>
    <row r="774" ht="15.75" customHeight="1">
      <c r="A774" s="12">
        <v>44223.0</v>
      </c>
      <c r="B774" s="2">
        <v>374.41</v>
      </c>
      <c r="C774" s="3" t="s">
        <v>468</v>
      </c>
      <c r="D774" s="4" t="str">
        <f t="array" ref="D774">XLOOKUP(Hoja5!A774,Agregado!B1512:B2282,Agregado!G774:G2282)</f>
        <v>#N/A</v>
      </c>
    </row>
    <row r="775" ht="15.75" customHeight="1">
      <c r="A775" s="12">
        <v>44224.0</v>
      </c>
      <c r="B775" s="2">
        <v>377.63</v>
      </c>
      <c r="C775" s="3" t="s">
        <v>469</v>
      </c>
      <c r="D775" s="4" t="str">
        <f t="array" ref="D775">XLOOKUP(Hoja5!A775,Agregado!B1512:B2283,Agregado!G775:G2283)</f>
        <v>#N/A</v>
      </c>
    </row>
    <row r="776" ht="15.75" customHeight="1">
      <c r="A776" s="12">
        <v>44225.0</v>
      </c>
      <c r="B776" s="2">
        <v>370.07</v>
      </c>
      <c r="C776" s="3" t="s">
        <v>470</v>
      </c>
      <c r="D776" s="4" t="str">
        <f t="array" ref="D776">XLOOKUP(Hoja5!A776,Agregado!B1512:B2284,Agregado!G776:G2284)</f>
        <v>#N/A</v>
      </c>
    </row>
    <row r="777" ht="15.75" customHeight="1">
      <c r="A777" s="12">
        <v>44228.0</v>
      </c>
      <c r="B777" s="2">
        <v>376.23</v>
      </c>
      <c r="C777" s="3">
        <v>44198.0</v>
      </c>
      <c r="D777" s="4" t="str">
        <f t="array" ref="D777">XLOOKUP(Hoja5!A777,Agregado!B1512:B2285,Agregado!G777:G2285)</f>
        <v>#N/A</v>
      </c>
    </row>
    <row r="778" ht="15.75" customHeight="1">
      <c r="A778" s="12">
        <v>44229.0</v>
      </c>
      <c r="B778" s="2">
        <v>381.55</v>
      </c>
      <c r="C778" s="3">
        <v>44229.0</v>
      </c>
      <c r="D778" s="4" t="str">
        <f t="array" ref="D778">XLOOKUP(Hoja5!A778,Agregado!B1512:B2286,Agregado!G778:G2286)</f>
        <v>#N/A</v>
      </c>
    </row>
    <row r="779" ht="15.75" customHeight="1">
      <c r="A779" s="12">
        <v>44230.0</v>
      </c>
      <c r="B779" s="2">
        <v>381.85</v>
      </c>
      <c r="C779" s="3">
        <v>44257.0</v>
      </c>
      <c r="D779" s="4" t="str">
        <f t="array" ref="D779">XLOOKUP(Hoja5!A779,Agregado!B1512:B2287,Agregado!G779:G2287)</f>
        <v>#N/A</v>
      </c>
    </row>
    <row r="780" ht="15.75" customHeight="1">
      <c r="A780" s="12">
        <v>44231.0</v>
      </c>
      <c r="B780" s="2">
        <v>386.19</v>
      </c>
      <c r="C780" s="3">
        <v>44288.0</v>
      </c>
      <c r="D780" s="4" t="str">
        <f t="array" ref="D780">XLOOKUP(Hoja5!A780,Agregado!B1512:B2288,Agregado!G780:G2288)</f>
        <v>#N/A</v>
      </c>
    </row>
    <row r="781" ht="15.75" customHeight="1">
      <c r="A781" s="12">
        <v>44232.0</v>
      </c>
      <c r="B781" s="2">
        <v>387.71</v>
      </c>
      <c r="C781" s="3">
        <v>44318.0</v>
      </c>
      <c r="D781" s="4" t="str">
        <f t="array" ref="D781">XLOOKUP(Hoja5!A781,Agregado!B1512:B2289,Agregado!G781:G2289)</f>
        <v>#N/A</v>
      </c>
    </row>
    <row r="782" ht="15.75" customHeight="1">
      <c r="A782" s="12">
        <v>44235.0</v>
      </c>
      <c r="B782" s="2">
        <v>390.51</v>
      </c>
      <c r="C782" s="3">
        <v>44410.0</v>
      </c>
      <c r="D782" s="4" t="str">
        <f t="array" ref="D782">XLOOKUP(Hoja5!A782,Agregado!B1512:B2290,Agregado!G782:G2290)</f>
        <v>#N/A</v>
      </c>
    </row>
    <row r="783" ht="15.75" customHeight="1">
      <c r="A783" s="12">
        <v>44236.0</v>
      </c>
      <c r="B783" s="2">
        <v>390.25</v>
      </c>
      <c r="C783" s="3">
        <v>44441.0</v>
      </c>
      <c r="D783" s="4" t="str">
        <f t="array" ref="D783">XLOOKUP(Hoja5!A783,Agregado!B1512:B2291,Agregado!G783:G2291)</f>
        <v>#N/A</v>
      </c>
    </row>
    <row r="784" ht="15.75" customHeight="1">
      <c r="A784" s="12">
        <v>44237.0</v>
      </c>
      <c r="B784" s="2">
        <v>390.08</v>
      </c>
      <c r="C784" s="3">
        <v>44471.0</v>
      </c>
      <c r="D784" s="4" t="str">
        <f t="array" ref="D784">XLOOKUP(Hoja5!A784,Agregado!B1512:B2292,Agregado!G784:G2292)</f>
        <v>#N/A</v>
      </c>
    </row>
    <row r="785" ht="15.75" customHeight="1">
      <c r="A785" s="12">
        <v>44238.0</v>
      </c>
      <c r="B785" s="2">
        <v>390.71</v>
      </c>
      <c r="C785" s="3">
        <v>44502.0</v>
      </c>
      <c r="D785" s="4" t="str">
        <f t="array" ref="D785">XLOOKUP(Hoja5!A785,Agregado!B1512:B2293,Agregado!G785:G2293)</f>
        <v>#N/A</v>
      </c>
    </row>
    <row r="786" ht="15.75" customHeight="1">
      <c r="A786" s="12">
        <v>44239.0</v>
      </c>
      <c r="B786" s="2">
        <v>392.64</v>
      </c>
      <c r="C786" s="3">
        <v>44532.0</v>
      </c>
      <c r="D786" s="4" t="str">
        <f t="array" ref="D786">XLOOKUP(Hoja5!A786,Agregado!B1512:B2294,Agregado!G786:G2294)</f>
        <v>#N/A</v>
      </c>
    </row>
    <row r="787" ht="15.75" customHeight="1">
      <c r="A787" s="12">
        <v>44243.0</v>
      </c>
      <c r="B787" s="2">
        <v>392.3</v>
      </c>
      <c r="C787" s="3" t="s">
        <v>471</v>
      </c>
      <c r="D787" s="4" t="str">
        <f t="array" ref="D787">XLOOKUP(Hoja5!A787,Agregado!B1512:B2295,Agregado!G787:G2295)</f>
        <v>#N/A</v>
      </c>
    </row>
    <row r="788" ht="15.75" customHeight="1">
      <c r="A788" s="12">
        <v>44244.0</v>
      </c>
      <c r="B788" s="2">
        <v>392.39</v>
      </c>
      <c r="C788" s="3" t="s">
        <v>472</v>
      </c>
      <c r="D788" s="4" t="str">
        <f t="array" ref="D788">XLOOKUP(Hoja5!A788,Agregado!B1512:B2296,Agregado!G788:G2296)</f>
        <v>#N/A</v>
      </c>
    </row>
    <row r="789" ht="15.75" customHeight="1">
      <c r="A789" s="12">
        <v>44245.0</v>
      </c>
      <c r="B789" s="2">
        <v>390.72</v>
      </c>
      <c r="C789" s="3" t="s">
        <v>473</v>
      </c>
      <c r="D789" s="4" t="str">
        <f t="array" ref="D789">XLOOKUP(Hoja5!A789,Agregado!B1512:B2297,Agregado!G789:G2297)</f>
        <v>#N/A</v>
      </c>
    </row>
    <row r="790" ht="15.75" customHeight="1">
      <c r="A790" s="12">
        <v>44246.0</v>
      </c>
      <c r="B790" s="2">
        <v>390.03</v>
      </c>
      <c r="C790" s="3" t="s">
        <v>474</v>
      </c>
      <c r="D790" s="4" t="str">
        <f t="array" ref="D790">XLOOKUP(Hoja5!A790,Agregado!B1512:B2298,Agregado!G790:G2298)</f>
        <v>#N/A</v>
      </c>
    </row>
    <row r="791" ht="15.75" customHeight="1">
      <c r="A791" s="12">
        <v>44249.0</v>
      </c>
      <c r="B791" s="2">
        <v>387.03</v>
      </c>
      <c r="C791" s="3" t="s">
        <v>475</v>
      </c>
      <c r="D791" s="4" t="str">
        <f t="array" ref="D791">XLOOKUP(Hoja5!A791,Agregado!B1512:B2299,Agregado!G791:G2299)</f>
        <v>#N/A</v>
      </c>
    </row>
    <row r="792" ht="15.75" customHeight="1">
      <c r="A792" s="12">
        <v>44250.0</v>
      </c>
      <c r="B792" s="2">
        <v>387.5</v>
      </c>
      <c r="C792" s="3" t="s">
        <v>476</v>
      </c>
      <c r="D792" s="4" t="str">
        <f t="array" ref="D792">XLOOKUP(Hoja5!A792,Agregado!B1512:B2300,Agregado!G792:G2300)</f>
        <v>#N/A</v>
      </c>
    </row>
    <row r="793" ht="15.75" customHeight="1">
      <c r="A793" s="12">
        <v>44251.0</v>
      </c>
      <c r="B793" s="2">
        <v>391.77</v>
      </c>
      <c r="C793" s="3" t="s">
        <v>477</v>
      </c>
      <c r="D793" s="4" t="str">
        <f t="array" ref="D793">XLOOKUP(Hoja5!A793,Agregado!B1512:B2301,Agregado!G793:G2301)</f>
        <v>#N/A</v>
      </c>
    </row>
    <row r="794" ht="15.75" customHeight="1">
      <c r="A794" s="12">
        <v>44252.0</v>
      </c>
      <c r="B794" s="2">
        <v>382.33</v>
      </c>
      <c r="C794" s="3" t="s">
        <v>478</v>
      </c>
      <c r="D794" s="4" t="str">
        <f t="array" ref="D794">XLOOKUP(Hoja5!A794,Agregado!B1512:B2302,Agregado!G794:G2302)</f>
        <v>#N/A</v>
      </c>
    </row>
    <row r="795" ht="15.75" customHeight="1">
      <c r="A795" s="12">
        <v>44253.0</v>
      </c>
      <c r="B795" s="2">
        <v>380.36</v>
      </c>
      <c r="C795" s="3" t="s">
        <v>479</v>
      </c>
      <c r="D795" s="4" t="str">
        <f t="array" ref="D795">XLOOKUP(Hoja5!A795,Agregado!B1512:B2303,Agregado!G795:G2303)</f>
        <v>#N/A</v>
      </c>
    </row>
    <row r="796" ht="15.75" customHeight="1">
      <c r="A796" s="12">
        <v>44256.0</v>
      </c>
      <c r="B796" s="2">
        <v>389.58</v>
      </c>
      <c r="C796" s="3">
        <v>44199.0</v>
      </c>
      <c r="D796" s="4" t="str">
        <f t="array" ref="D796">XLOOKUP(Hoja5!A796,Agregado!B1512:B2304,Agregado!G796:G2304)</f>
        <v>#N/A</v>
      </c>
    </row>
    <row r="797" ht="15.75" customHeight="1">
      <c r="A797" s="12">
        <v>44257.0</v>
      </c>
      <c r="B797" s="2">
        <v>386.54</v>
      </c>
      <c r="C797" s="3">
        <v>44230.0</v>
      </c>
      <c r="D797" s="4" t="str">
        <f t="array" ref="D797">XLOOKUP(Hoja5!A797,Agregado!B1512:B2305,Agregado!G797:G2305)</f>
        <v>#N/A</v>
      </c>
    </row>
    <row r="798" ht="15.75" customHeight="1">
      <c r="A798" s="12">
        <v>44258.0</v>
      </c>
      <c r="B798" s="2">
        <v>381.42</v>
      </c>
      <c r="C798" s="3">
        <v>44258.0</v>
      </c>
      <c r="D798" s="4" t="str">
        <f t="array" ref="D798">XLOOKUP(Hoja5!A798,Agregado!B1512:B2306,Agregado!G798:G2306)</f>
        <v>#N/A</v>
      </c>
    </row>
    <row r="799" ht="15.75" customHeight="1">
      <c r="A799" s="12">
        <v>44259.0</v>
      </c>
      <c r="B799" s="2">
        <v>376.7</v>
      </c>
      <c r="C799" s="3">
        <v>44289.0</v>
      </c>
      <c r="D799" s="4" t="str">
        <f t="array" ref="D799">XLOOKUP(Hoja5!A799,Agregado!B1512:B2307,Agregado!G799:G2307)</f>
        <v>#N/A</v>
      </c>
    </row>
    <row r="800" ht="15.75" customHeight="1">
      <c r="A800" s="12">
        <v>44260.0</v>
      </c>
      <c r="B800" s="2">
        <v>383.63</v>
      </c>
      <c r="C800" s="3">
        <v>44319.0</v>
      </c>
      <c r="D800" s="4" t="str">
        <f t="array" ref="D800">XLOOKUP(Hoja5!A800,Agregado!B1512:B2308,Agregado!G800:G2308)</f>
        <v>#N/A</v>
      </c>
    </row>
    <row r="801" ht="15.75" customHeight="1">
      <c r="A801" s="12">
        <v>44263.0</v>
      </c>
      <c r="B801" s="2">
        <v>381.72</v>
      </c>
      <c r="C801" s="3">
        <v>44411.0</v>
      </c>
      <c r="D801" s="4" t="str">
        <f t="array" ref="D801">XLOOKUP(Hoja5!A801,Agregado!B1512:B2309,Agregado!G801:G2309)</f>
        <v>#N/A</v>
      </c>
    </row>
    <row r="802" ht="15.75" customHeight="1">
      <c r="A802" s="12">
        <v>44264.0</v>
      </c>
      <c r="B802" s="2">
        <v>387.17</v>
      </c>
      <c r="C802" s="3">
        <v>44442.0</v>
      </c>
      <c r="D802" s="4" t="str">
        <f t="array" ref="D802">XLOOKUP(Hoja5!A802,Agregado!B1512:B2310,Agregado!G802:G2310)</f>
        <v>#N/A</v>
      </c>
    </row>
    <row r="803" ht="15.75" customHeight="1">
      <c r="A803" s="12">
        <v>44265.0</v>
      </c>
      <c r="B803" s="2">
        <v>389.58</v>
      </c>
      <c r="C803" s="3">
        <v>44472.0</v>
      </c>
      <c r="D803" s="4" t="str">
        <f t="array" ref="D803">XLOOKUP(Hoja5!A803,Agregado!B1512:B2311,Agregado!G803:G2311)</f>
        <v>#N/A</v>
      </c>
    </row>
    <row r="804" ht="15.75" customHeight="1">
      <c r="A804" s="12">
        <v>44266.0</v>
      </c>
      <c r="B804" s="2">
        <v>393.53</v>
      </c>
      <c r="C804" s="3">
        <v>44503.0</v>
      </c>
      <c r="D804" s="4" t="str">
        <f t="array" ref="D804">XLOOKUP(Hoja5!A804,Agregado!B1512:B2312,Agregado!G804:G2312)</f>
        <v>#N/A</v>
      </c>
    </row>
    <row r="805" ht="15.75" customHeight="1">
      <c r="A805" s="12">
        <v>44267.0</v>
      </c>
      <c r="B805" s="2">
        <v>394.06</v>
      </c>
      <c r="C805" s="3">
        <v>44533.0</v>
      </c>
      <c r="D805" s="4" t="str">
        <f t="array" ref="D805">XLOOKUP(Hoja5!A805,Agregado!B1512:B2313,Agregado!G805:G2313)</f>
        <v>#N/A</v>
      </c>
    </row>
    <row r="806" ht="15.75" customHeight="1">
      <c r="A806" s="12">
        <v>44270.0</v>
      </c>
      <c r="B806" s="2">
        <v>396.41</v>
      </c>
      <c r="C806" s="3" t="s">
        <v>480</v>
      </c>
      <c r="D806" s="4" t="str">
        <f t="array" ref="D806">XLOOKUP(Hoja5!A806,Agregado!B1512:B2314,Agregado!G806:G2314)</f>
        <v>#N/A</v>
      </c>
    </row>
    <row r="807" ht="15.75" customHeight="1">
      <c r="A807" s="12">
        <v>44271.0</v>
      </c>
      <c r="B807" s="2">
        <v>395.91</v>
      </c>
      <c r="C807" s="3" t="s">
        <v>481</v>
      </c>
      <c r="D807" s="4" t="str">
        <f t="array" ref="D807">XLOOKUP(Hoja5!A807,Agregado!B1512:B2315,Agregado!G807:G2315)</f>
        <v>#N/A</v>
      </c>
    </row>
    <row r="808" ht="15.75" customHeight="1">
      <c r="A808" s="12">
        <v>44272.0</v>
      </c>
      <c r="B808" s="2">
        <v>397.26</v>
      </c>
      <c r="C808" s="3" t="s">
        <v>482</v>
      </c>
      <c r="D808" s="4" t="str">
        <f t="array" ref="D808">XLOOKUP(Hoja5!A808,Agregado!B1512:B2316,Agregado!G808:G2316)</f>
        <v>#N/A</v>
      </c>
    </row>
    <row r="809" ht="15.75" customHeight="1">
      <c r="A809" s="12">
        <v>44273.0</v>
      </c>
      <c r="B809" s="2">
        <v>391.48</v>
      </c>
      <c r="C809" s="3" t="s">
        <v>483</v>
      </c>
      <c r="D809" s="4" t="str">
        <f t="array" ref="D809">XLOOKUP(Hoja5!A809,Agregado!B1512:B2317,Agregado!G809:G2317)</f>
        <v>#N/A</v>
      </c>
    </row>
    <row r="810" ht="15.75" customHeight="1">
      <c r="A810" s="12">
        <v>44274.0</v>
      </c>
      <c r="B810" s="2">
        <v>389.48</v>
      </c>
      <c r="C810" s="3" t="s">
        <v>484</v>
      </c>
      <c r="D810" s="4" t="str">
        <f t="array" ref="D810">XLOOKUP(Hoja5!A810,Agregado!B1512:B2318,Agregado!G810:G2318)</f>
        <v>#N/A</v>
      </c>
    </row>
    <row r="811" ht="15.75" customHeight="1">
      <c r="A811" s="12">
        <v>44277.0</v>
      </c>
      <c r="B811" s="2">
        <v>392.59</v>
      </c>
      <c r="C811" s="3" t="s">
        <v>485</v>
      </c>
      <c r="D811" s="4" t="str">
        <f t="array" ref="D811">XLOOKUP(Hoja5!A811,Agregado!B1512:B2319,Agregado!G811:G2319)</f>
        <v>#N/A</v>
      </c>
    </row>
    <row r="812" ht="15.75" customHeight="1">
      <c r="A812" s="12">
        <v>44278.0</v>
      </c>
      <c r="B812" s="2">
        <v>389.5</v>
      </c>
      <c r="C812" s="3" t="s">
        <v>486</v>
      </c>
      <c r="D812" s="4" t="str">
        <f t="array" ref="D812">XLOOKUP(Hoja5!A812,Agregado!B1512:B2320,Agregado!G812:G2320)</f>
        <v>#N/A</v>
      </c>
    </row>
    <row r="813" ht="15.75" customHeight="1">
      <c r="A813" s="12">
        <v>44279.0</v>
      </c>
      <c r="B813" s="2">
        <v>387.52</v>
      </c>
      <c r="C813" s="3" t="s">
        <v>487</v>
      </c>
      <c r="D813" s="4" t="str">
        <f t="array" ref="D813">XLOOKUP(Hoja5!A813,Agregado!B1512:B2321,Agregado!G813:G2321)</f>
        <v>#N/A</v>
      </c>
    </row>
    <row r="814" ht="15.75" customHeight="1">
      <c r="A814" s="12">
        <v>44280.0</v>
      </c>
      <c r="B814" s="2">
        <v>389.7</v>
      </c>
      <c r="C814" s="3" t="s">
        <v>488</v>
      </c>
      <c r="D814" s="4" t="str">
        <f t="array" ref="D814">XLOOKUP(Hoja5!A814,Agregado!B1512:B2322,Agregado!G814:G2322)</f>
        <v>#N/A</v>
      </c>
    </row>
    <row r="815" ht="15.75" customHeight="1">
      <c r="A815" s="12">
        <v>44281.0</v>
      </c>
      <c r="B815" s="2">
        <v>395.98</v>
      </c>
      <c r="C815" s="3" t="s">
        <v>489</v>
      </c>
      <c r="D815" s="4" t="str">
        <f t="array" ref="D815">XLOOKUP(Hoja5!A815,Agregado!B1512:B2323,Agregado!G815:G2323)</f>
        <v>#N/A</v>
      </c>
    </row>
    <row r="816" ht="15.75" customHeight="1">
      <c r="A816" s="12">
        <v>44284.0</v>
      </c>
      <c r="B816" s="2">
        <v>395.78</v>
      </c>
      <c r="C816" s="3" t="s">
        <v>490</v>
      </c>
      <c r="D816" s="4" t="str">
        <f t="array" ref="D816">XLOOKUP(Hoja5!A816,Agregado!B1512:B2324,Agregado!G816:G2324)</f>
        <v>#N/A</v>
      </c>
    </row>
    <row r="817" ht="15.75" customHeight="1">
      <c r="A817" s="12">
        <v>44285.0</v>
      </c>
      <c r="B817" s="2">
        <v>394.73</v>
      </c>
      <c r="C817" s="3" t="s">
        <v>491</v>
      </c>
      <c r="D817" s="4" t="str">
        <f t="array" ref="D817">XLOOKUP(Hoja5!A817,Agregado!B1512:B2325,Agregado!G817:G2325)</f>
        <v>#N/A</v>
      </c>
    </row>
    <row r="818" ht="15.75" customHeight="1">
      <c r="A818" s="12">
        <v>44286.0</v>
      </c>
      <c r="B818" s="2">
        <v>396.33</v>
      </c>
      <c r="C818" s="3" t="s">
        <v>492</v>
      </c>
      <c r="D818" s="4" t="str">
        <f t="array" ref="D818">XLOOKUP(Hoja5!A818,Agregado!B1512:B2326,Agregado!G818:G2326)</f>
        <v>#N/A</v>
      </c>
    </row>
    <row r="819" ht="15.75" customHeight="1">
      <c r="A819" s="12">
        <v>44287.0</v>
      </c>
      <c r="B819" s="2">
        <v>400.61</v>
      </c>
      <c r="C819" s="3">
        <v>44200.0</v>
      </c>
      <c r="D819" s="4" t="str">
        <f t="array" ref="D819">XLOOKUP(Hoja5!A819,Agregado!B1512:B2327,Agregado!G819:G2327)</f>
        <v>#N/A</v>
      </c>
    </row>
    <row r="820" ht="15.75" customHeight="1">
      <c r="A820" s="12">
        <v>44291.0</v>
      </c>
      <c r="B820" s="2">
        <v>406.36</v>
      </c>
      <c r="C820" s="3">
        <v>44320.0</v>
      </c>
      <c r="D820" s="4" t="str">
        <f t="array" ref="D820">XLOOKUP(Hoja5!A820,Agregado!B1512:B2328,Agregado!G820:G2328)</f>
        <v>#N/A</v>
      </c>
    </row>
    <row r="821" ht="15.75" customHeight="1">
      <c r="A821" s="12">
        <v>44292.0</v>
      </c>
      <c r="B821" s="2">
        <v>406.12</v>
      </c>
      <c r="C821" s="3">
        <v>44351.0</v>
      </c>
      <c r="D821" s="4" t="str">
        <f t="array" ref="D821">XLOOKUP(Hoja5!A821,Agregado!B1512:B2329,Agregado!G821:G2329)</f>
        <v>#N/A</v>
      </c>
    </row>
    <row r="822" ht="15.75" customHeight="1">
      <c r="A822" s="12">
        <v>44293.0</v>
      </c>
      <c r="B822" s="2">
        <v>406.59</v>
      </c>
      <c r="C822" s="3">
        <v>44381.0</v>
      </c>
      <c r="D822" s="4" t="str">
        <f t="array" ref="D822">XLOOKUP(Hoja5!A822,Agregado!B1512:B2330,Agregado!G822:G2330)</f>
        <v>#N/A</v>
      </c>
    </row>
    <row r="823" ht="15.75" customHeight="1">
      <c r="A823" s="12">
        <v>44294.0</v>
      </c>
      <c r="B823" s="2">
        <v>408.52</v>
      </c>
      <c r="C823" s="3">
        <v>44412.0</v>
      </c>
      <c r="D823" s="4" t="str">
        <f t="array" ref="D823">XLOOKUP(Hoja5!A823,Agregado!B1512:B2331,Agregado!G823:G2331)</f>
        <v>#N/A</v>
      </c>
    </row>
    <row r="824" ht="15.75" customHeight="1">
      <c r="A824" s="12">
        <v>44295.0</v>
      </c>
      <c r="B824" s="2">
        <v>411.49</v>
      </c>
      <c r="C824" s="3">
        <v>44443.0</v>
      </c>
      <c r="D824" s="4" t="str">
        <f t="array" ref="D824">XLOOKUP(Hoja5!A824,Agregado!B1512:B2332,Agregado!G824:G2332)</f>
        <v>#N/A</v>
      </c>
    </row>
    <row r="825" ht="15.75" customHeight="1">
      <c r="A825" s="12">
        <v>44298.0</v>
      </c>
      <c r="B825" s="2">
        <v>411.64</v>
      </c>
      <c r="C825" s="3">
        <v>44534.0</v>
      </c>
      <c r="D825" s="4" t="str">
        <f t="array" ref="D825">XLOOKUP(Hoja5!A825,Agregado!B1512:B2333,Agregado!G825:G2333)</f>
        <v>#N/A</v>
      </c>
    </row>
    <row r="826" ht="15.75" customHeight="1">
      <c r="A826" s="12">
        <v>44299.0</v>
      </c>
      <c r="B826" s="2">
        <v>412.86</v>
      </c>
      <c r="C826" s="3" t="s">
        <v>493</v>
      </c>
      <c r="D826" s="4" t="str">
        <f t="array" ref="D826">XLOOKUP(Hoja5!A826,Agregado!B1512:B2334,Agregado!G826:G2334)</f>
        <v>#N/A</v>
      </c>
    </row>
    <row r="827" ht="15.75" customHeight="1">
      <c r="A827" s="12">
        <v>44300.0</v>
      </c>
      <c r="B827" s="2">
        <v>411.45</v>
      </c>
      <c r="C827" s="3" t="s">
        <v>494</v>
      </c>
      <c r="D827" s="4" t="str">
        <f t="array" ref="D827">XLOOKUP(Hoja5!A827,Agregado!B1512:B2335,Agregado!G827:G2335)</f>
        <v>#N/A</v>
      </c>
    </row>
    <row r="828" ht="15.75" customHeight="1">
      <c r="A828" s="12">
        <v>44301.0</v>
      </c>
      <c r="B828" s="2">
        <v>415.87</v>
      </c>
      <c r="C828" s="3" t="s">
        <v>495</v>
      </c>
      <c r="D828" s="4" t="str">
        <f t="array" ref="D828">XLOOKUP(Hoja5!A828,Agregado!B1512:B2336,Agregado!G828:G2336)</f>
        <v>#N/A</v>
      </c>
    </row>
    <row r="829" ht="15.75" customHeight="1">
      <c r="A829" s="12">
        <v>44302.0</v>
      </c>
      <c r="B829" s="2">
        <v>417.26</v>
      </c>
      <c r="C829" s="3" t="s">
        <v>496</v>
      </c>
      <c r="D829" s="4" t="str">
        <f t="array" ref="D829">XLOOKUP(Hoja5!A829,Agregado!B1512:B2337,Agregado!G829:G2337)</f>
        <v>#N/A</v>
      </c>
    </row>
    <row r="830" ht="15.75" customHeight="1">
      <c r="A830" s="12">
        <v>44305.0</v>
      </c>
      <c r="B830" s="2">
        <v>415.21</v>
      </c>
      <c r="C830" s="3" t="s">
        <v>497</v>
      </c>
      <c r="D830" s="4" t="str">
        <f t="array" ref="D830">XLOOKUP(Hoja5!A830,Agregado!B1512:B2338,Agregado!G830:G2338)</f>
        <v>#N/A</v>
      </c>
    </row>
    <row r="831" ht="15.75" customHeight="1">
      <c r="A831" s="12">
        <v>44306.0</v>
      </c>
      <c r="B831" s="2">
        <v>412.17</v>
      </c>
      <c r="C831" s="3" t="s">
        <v>498</v>
      </c>
      <c r="D831" s="4" t="str">
        <f t="array" ref="D831">XLOOKUP(Hoja5!A831,Agregado!B1512:B2339,Agregado!G831:G2339)</f>
        <v>#N/A</v>
      </c>
    </row>
    <row r="832" ht="15.75" customHeight="1">
      <c r="A832" s="12">
        <v>44307.0</v>
      </c>
      <c r="B832" s="2">
        <v>416.07</v>
      </c>
      <c r="C832" s="3" t="s">
        <v>499</v>
      </c>
      <c r="D832" s="4" t="str">
        <f t="array" ref="D832">XLOOKUP(Hoja5!A832,Agregado!B1512:B2340,Agregado!G832:G2340)</f>
        <v>#N/A</v>
      </c>
    </row>
    <row r="833" ht="15.75" customHeight="1">
      <c r="A833" s="12">
        <v>44308.0</v>
      </c>
      <c r="B833" s="2">
        <v>412.27</v>
      </c>
      <c r="C833" s="3" t="s">
        <v>500</v>
      </c>
      <c r="D833" s="4" t="str">
        <f t="array" ref="D833">XLOOKUP(Hoja5!A833,Agregado!B1512:B2341,Agregado!G833:G2341)</f>
        <v>#N/A</v>
      </c>
    </row>
    <row r="834" ht="15.75" customHeight="1">
      <c r="A834" s="12">
        <v>44309.0</v>
      </c>
      <c r="B834" s="2">
        <v>416.74</v>
      </c>
      <c r="C834" s="3" t="s">
        <v>501</v>
      </c>
      <c r="D834" s="4" t="str">
        <f t="array" ref="D834">XLOOKUP(Hoja5!A834,Agregado!B1512:B2342,Agregado!G834:G2342)</f>
        <v>#N/A</v>
      </c>
    </row>
    <row r="835" ht="15.75" customHeight="1">
      <c r="A835" s="12">
        <v>44312.0</v>
      </c>
      <c r="B835" s="2">
        <v>417.61</v>
      </c>
      <c r="C835" s="3" t="s">
        <v>502</v>
      </c>
      <c r="D835" s="4" t="str">
        <f t="array" ref="D835">XLOOKUP(Hoja5!A835,Agregado!B1512:B2343,Agregado!G835:G2343)</f>
        <v>#N/A</v>
      </c>
    </row>
    <row r="836" ht="15.75" customHeight="1">
      <c r="A836" s="12">
        <v>44313.0</v>
      </c>
      <c r="B836" s="2">
        <v>417.52</v>
      </c>
      <c r="C836" s="3" t="s">
        <v>503</v>
      </c>
      <c r="D836" s="4" t="str">
        <f t="array" ref="D836">XLOOKUP(Hoja5!A836,Agregado!B1512:B2344,Agregado!G836:G2344)</f>
        <v>#N/A</v>
      </c>
    </row>
    <row r="837" ht="15.75" customHeight="1">
      <c r="A837" s="12">
        <v>44314.0</v>
      </c>
      <c r="B837" s="2">
        <v>417.4</v>
      </c>
      <c r="C837" s="3" t="s">
        <v>504</v>
      </c>
      <c r="D837" s="4" t="str">
        <f t="array" ref="D837">XLOOKUP(Hoja5!A837,Agregado!B1512:B2345,Agregado!G837:G2345)</f>
        <v>#N/A</v>
      </c>
    </row>
    <row r="838" ht="15.75" customHeight="1">
      <c r="A838" s="12">
        <v>44315.0</v>
      </c>
      <c r="B838" s="2">
        <v>420.06</v>
      </c>
      <c r="C838" s="3" t="s">
        <v>505</v>
      </c>
      <c r="D838" s="4" t="str">
        <f t="array" ref="D838">XLOOKUP(Hoja5!A838,Agregado!B1512:B2346,Agregado!G838:G2346)</f>
        <v>#N/A</v>
      </c>
    </row>
    <row r="839" ht="15.75" customHeight="1">
      <c r="A839" s="12">
        <v>44316.0</v>
      </c>
      <c r="B839" s="2">
        <v>417.3</v>
      </c>
      <c r="C839" s="3" t="s">
        <v>506</v>
      </c>
      <c r="D839" s="4" t="str">
        <f t="array" ref="D839">XLOOKUP(Hoja5!A839,Agregado!B1512:B2347,Agregado!G839:G2347)</f>
        <v>#N/A</v>
      </c>
    </row>
    <row r="840" ht="15.75" customHeight="1">
      <c r="A840" s="12">
        <v>44319.0</v>
      </c>
      <c r="B840" s="2">
        <v>418.2</v>
      </c>
      <c r="C840" s="3">
        <v>44260.0</v>
      </c>
      <c r="D840" s="4" t="str">
        <f t="array" ref="D840">XLOOKUP(Hoja5!A840,Agregado!B1512:B2348,Agregado!G840:G2348)</f>
        <v>#N/A</v>
      </c>
    </row>
    <row r="841" ht="15.75" customHeight="1">
      <c r="A841" s="12">
        <v>44320.0</v>
      </c>
      <c r="B841" s="2">
        <v>415.62</v>
      </c>
      <c r="C841" s="3">
        <v>44291.0</v>
      </c>
      <c r="D841" s="4" t="str">
        <f t="array" ref="D841">XLOOKUP(Hoja5!A841,Agregado!B1512:B2349,Agregado!G841:G2349)</f>
        <v>#N/A</v>
      </c>
    </row>
    <row r="842" ht="15.75" customHeight="1">
      <c r="A842" s="12">
        <v>44321.0</v>
      </c>
      <c r="B842" s="2">
        <v>415.75</v>
      </c>
      <c r="C842" s="3">
        <v>44321.0</v>
      </c>
      <c r="D842" s="4" t="str">
        <f t="array" ref="D842">XLOOKUP(Hoja5!A842,Agregado!B1512:B2350,Agregado!G842:G2350)</f>
        <v>#N/A</v>
      </c>
    </row>
    <row r="843" ht="15.75" customHeight="1">
      <c r="A843" s="12">
        <v>44322.0</v>
      </c>
      <c r="B843" s="2">
        <v>419.07</v>
      </c>
      <c r="C843" s="3">
        <v>44352.0</v>
      </c>
      <c r="D843" s="4" t="str">
        <f t="array" ref="D843">XLOOKUP(Hoja5!A843,Agregado!B1512:B2351,Agregado!G843:G2351)</f>
        <v>#N/A</v>
      </c>
    </row>
    <row r="844" ht="15.75" customHeight="1">
      <c r="A844" s="12">
        <v>44323.0</v>
      </c>
      <c r="B844" s="2">
        <v>422.12</v>
      </c>
      <c r="C844" s="3">
        <v>44382.0</v>
      </c>
      <c r="D844" s="4" t="str">
        <f t="array" ref="D844">XLOOKUP(Hoja5!A844,Agregado!B1512:B2352,Agregado!G844:G2352)</f>
        <v>#N/A</v>
      </c>
    </row>
    <row r="845" ht="15.75" customHeight="1">
      <c r="A845" s="12">
        <v>44326.0</v>
      </c>
      <c r="B845" s="2">
        <v>417.94</v>
      </c>
      <c r="C845" s="3">
        <v>44474.0</v>
      </c>
      <c r="D845" s="4" t="str">
        <f t="array" ref="D845">XLOOKUP(Hoja5!A845,Agregado!B1512:B2353,Agregado!G845:G2353)</f>
        <v>#N/A</v>
      </c>
    </row>
    <row r="846" ht="15.75" customHeight="1">
      <c r="A846" s="12">
        <v>44327.0</v>
      </c>
      <c r="B846" s="2">
        <v>414.21</v>
      </c>
      <c r="C846" s="3">
        <v>44505.0</v>
      </c>
      <c r="D846" s="4" t="str">
        <f t="array" ref="D846">XLOOKUP(Hoja5!A846,Agregado!B1512:B2354,Agregado!G846:G2354)</f>
        <v>#N/A</v>
      </c>
    </row>
    <row r="847" ht="15.75" customHeight="1">
      <c r="A847" s="12">
        <v>44328.0</v>
      </c>
      <c r="B847" s="2">
        <v>405.41</v>
      </c>
      <c r="C847" s="3">
        <v>44535.0</v>
      </c>
      <c r="D847" s="4" t="str">
        <f t="array" ref="D847">XLOOKUP(Hoja5!A847,Agregado!B1512:B2355,Agregado!G847:G2355)</f>
        <v>#N/A</v>
      </c>
    </row>
    <row r="848" ht="15.75" customHeight="1">
      <c r="A848" s="12">
        <v>44329.0</v>
      </c>
      <c r="B848" s="2">
        <v>410.28</v>
      </c>
      <c r="C848" s="3" t="s">
        <v>507</v>
      </c>
      <c r="D848" s="4" t="str">
        <f t="array" ref="D848">XLOOKUP(Hoja5!A848,Agregado!B1512:B2356,Agregado!G848:G2356)</f>
        <v>#N/A</v>
      </c>
    </row>
    <row r="849" ht="15.75" customHeight="1">
      <c r="A849" s="12">
        <v>44330.0</v>
      </c>
      <c r="B849" s="2">
        <v>416.58</v>
      </c>
      <c r="C849" s="3" t="s">
        <v>508</v>
      </c>
      <c r="D849" s="4" t="str">
        <f t="array" ref="D849">XLOOKUP(Hoja5!A849,Agregado!B1512:B2357,Agregado!G849:G2357)</f>
        <v>#N/A</v>
      </c>
    </row>
    <row r="850" ht="15.75" customHeight="1">
      <c r="A850" s="12">
        <v>44333.0</v>
      </c>
      <c r="B850" s="2">
        <v>415.52</v>
      </c>
      <c r="C850" s="3" t="s">
        <v>509</v>
      </c>
      <c r="D850" s="4" t="str">
        <f t="array" ref="D850">XLOOKUP(Hoja5!A850,Agregado!B1512:B2358,Agregado!G850:G2358)</f>
        <v>#N/A</v>
      </c>
    </row>
    <row r="851" ht="15.75" customHeight="1">
      <c r="A851" s="12">
        <v>44334.0</v>
      </c>
      <c r="B851" s="2">
        <v>411.94</v>
      </c>
      <c r="C851" s="3" t="s">
        <v>510</v>
      </c>
      <c r="D851" s="4" t="str">
        <f t="array" ref="D851">XLOOKUP(Hoja5!A851,Agregado!B1512:B2359,Agregado!G851:G2359)</f>
        <v>#N/A</v>
      </c>
    </row>
    <row r="852" ht="15.75" customHeight="1">
      <c r="A852" s="12">
        <v>44335.0</v>
      </c>
      <c r="B852" s="2">
        <v>410.86</v>
      </c>
      <c r="C852" s="3" t="s">
        <v>511</v>
      </c>
      <c r="D852" s="4" t="str">
        <f t="array" ref="D852">XLOOKUP(Hoja5!A852,Agregado!B1512:B2360,Agregado!G852:G2360)</f>
        <v>#N/A</v>
      </c>
    </row>
    <row r="853" ht="15.75" customHeight="1">
      <c r="A853" s="12">
        <v>44336.0</v>
      </c>
      <c r="B853" s="2">
        <v>415.28</v>
      </c>
      <c r="C853" s="3" t="s">
        <v>512</v>
      </c>
      <c r="D853" s="4" t="str">
        <f t="array" ref="D853">XLOOKUP(Hoja5!A853,Agregado!B1512:B2361,Agregado!G853:G2361)</f>
        <v>#N/A</v>
      </c>
    </row>
    <row r="854" ht="15.75" customHeight="1">
      <c r="A854" s="12">
        <v>44337.0</v>
      </c>
      <c r="B854" s="2">
        <v>414.94</v>
      </c>
      <c r="C854" s="3" t="s">
        <v>513</v>
      </c>
      <c r="D854" s="4" t="str">
        <f t="array" ref="D854">XLOOKUP(Hoja5!A854,Agregado!B1512:B2362,Agregado!G854:G2362)</f>
        <v>#N/A</v>
      </c>
    </row>
    <row r="855" ht="15.75" customHeight="1">
      <c r="A855" s="12">
        <v>44340.0</v>
      </c>
      <c r="B855" s="2">
        <v>419.17</v>
      </c>
      <c r="C855" s="3" t="s">
        <v>514</v>
      </c>
      <c r="D855" s="4" t="str">
        <f t="array" ref="D855">XLOOKUP(Hoja5!A855,Agregado!B1512:B2363,Agregado!G855:G2363)</f>
        <v>#N/A</v>
      </c>
    </row>
    <row r="856" ht="15.75" customHeight="1">
      <c r="A856" s="12">
        <v>44341.0</v>
      </c>
      <c r="B856" s="2">
        <v>418.24</v>
      </c>
      <c r="C856" s="3" t="s">
        <v>515</v>
      </c>
      <c r="D856" s="4" t="str">
        <f t="array" ref="D856">XLOOKUP(Hoja5!A856,Agregado!B1512:B2364,Agregado!G856:G2364)</f>
        <v>#N/A</v>
      </c>
    </row>
    <row r="857" ht="15.75" customHeight="1">
      <c r="A857" s="12">
        <v>44342.0</v>
      </c>
      <c r="B857" s="2">
        <v>419.07</v>
      </c>
      <c r="C857" s="3" t="s">
        <v>516</v>
      </c>
      <c r="D857" s="4" t="str">
        <f t="array" ref="D857">XLOOKUP(Hoja5!A857,Agregado!B1512:B2365,Agregado!G857:G2365)</f>
        <v>#N/A</v>
      </c>
    </row>
    <row r="858" ht="15.75" customHeight="1">
      <c r="A858" s="12">
        <v>44343.0</v>
      </c>
      <c r="B858" s="2">
        <v>419.29</v>
      </c>
      <c r="C858" s="3" t="s">
        <v>517</v>
      </c>
      <c r="D858" s="4" t="str">
        <f t="array" ref="D858">XLOOKUP(Hoja5!A858,Agregado!B1512:B2366,Agregado!G858:G2366)</f>
        <v>#N/A</v>
      </c>
    </row>
    <row r="859" ht="15.75" customHeight="1">
      <c r="A859" s="12">
        <v>44344.0</v>
      </c>
      <c r="B859" s="2">
        <v>420.04</v>
      </c>
      <c r="C859" s="3" t="s">
        <v>518</v>
      </c>
      <c r="D859" s="4" t="str">
        <f t="array" ref="D859">XLOOKUP(Hoja5!A859,Agregado!B1512:B2367,Agregado!G859:G2367)</f>
        <v>#N/A</v>
      </c>
    </row>
    <row r="860" ht="15.75" customHeight="1">
      <c r="A860" s="12">
        <v>44348.0</v>
      </c>
      <c r="B860" s="2">
        <v>419.67</v>
      </c>
      <c r="C860" s="3">
        <v>44202.0</v>
      </c>
      <c r="D860" s="4" t="str">
        <f t="array" ref="D860">XLOOKUP(Hoja5!A860,Agregado!B1512:B2368,Agregado!G860:G2368)</f>
        <v>#N/A</v>
      </c>
    </row>
    <row r="861" ht="15.75" customHeight="1">
      <c r="A861" s="12">
        <v>44349.0</v>
      </c>
      <c r="B861" s="2">
        <v>420.33</v>
      </c>
      <c r="C861" s="3">
        <v>44233.0</v>
      </c>
      <c r="D861" s="4" t="str">
        <f t="array" ref="D861">XLOOKUP(Hoja5!A861,Agregado!B1512:B2369,Agregado!G861:G2369)</f>
        <v>#N/A</v>
      </c>
    </row>
    <row r="862" ht="15.75" customHeight="1">
      <c r="A862" s="12">
        <v>44350.0</v>
      </c>
      <c r="B862" s="2">
        <v>418.77</v>
      </c>
      <c r="C862" s="3">
        <v>44261.0</v>
      </c>
      <c r="D862" s="4" t="str">
        <f t="array" ref="D862">XLOOKUP(Hoja5!A862,Agregado!B1512:B2370,Agregado!G862:G2370)</f>
        <v>#N/A</v>
      </c>
    </row>
    <row r="863" ht="15.75" customHeight="1">
      <c r="A863" s="12">
        <v>44351.0</v>
      </c>
      <c r="B863" s="2">
        <v>422.6</v>
      </c>
      <c r="C863" s="3">
        <v>44292.0</v>
      </c>
      <c r="D863" s="4" t="str">
        <f t="array" ref="D863">XLOOKUP(Hoja5!A863,Agregado!B1512:B2371,Agregado!G863:G2371)</f>
        <v>#N/A</v>
      </c>
    </row>
    <row r="864" ht="15.75" customHeight="1">
      <c r="A864" s="12">
        <v>44354.0</v>
      </c>
      <c r="B864" s="2">
        <v>422.19</v>
      </c>
      <c r="C864" s="3">
        <v>44383.0</v>
      </c>
      <c r="D864" s="4" t="str">
        <f t="array" ref="D864">XLOOKUP(Hoja5!A864,Agregado!B1512:B2372,Agregado!G864:G2372)</f>
        <v>#N/A</v>
      </c>
    </row>
    <row r="865" ht="15.75" customHeight="1">
      <c r="A865" s="12">
        <v>44355.0</v>
      </c>
      <c r="B865" s="2">
        <v>422.28</v>
      </c>
      <c r="C865" s="3">
        <v>44414.0</v>
      </c>
      <c r="D865" s="4" t="str">
        <f t="array" ref="D865">XLOOKUP(Hoja5!A865,Agregado!B1512:B2373,Agregado!G865:G2373)</f>
        <v>#N/A</v>
      </c>
    </row>
    <row r="866" ht="15.75" customHeight="1">
      <c r="A866" s="12">
        <v>44356.0</v>
      </c>
      <c r="B866" s="2">
        <v>421.65</v>
      </c>
      <c r="C866" s="3">
        <v>44445.0</v>
      </c>
      <c r="D866" s="4" t="str">
        <f t="array" ref="D866">XLOOKUP(Hoja5!A866,Agregado!B1512:B2374,Agregado!G866:G2374)</f>
        <v>#N/A</v>
      </c>
    </row>
    <row r="867" ht="15.75" customHeight="1">
      <c r="A867" s="12">
        <v>44357.0</v>
      </c>
      <c r="B867" s="2">
        <v>423.61</v>
      </c>
      <c r="C867" s="3">
        <v>44475.0</v>
      </c>
      <c r="D867" s="4" t="str">
        <f t="array" ref="D867">XLOOKUP(Hoja5!A867,Agregado!B1512:B2375,Agregado!G867:G2375)</f>
        <v>#N/A</v>
      </c>
    </row>
    <row r="868" ht="15.75" customHeight="1">
      <c r="A868" s="12">
        <v>44358.0</v>
      </c>
      <c r="B868" s="2">
        <v>424.31</v>
      </c>
      <c r="C868" s="3">
        <v>44506.0</v>
      </c>
      <c r="D868" s="4" t="str">
        <f t="array" ref="D868">XLOOKUP(Hoja5!A868,Agregado!B1512:B2376,Agregado!G868:G2376)</f>
        <v>#N/A</v>
      </c>
    </row>
    <row r="869" ht="15.75" customHeight="1">
      <c r="A869" s="12">
        <v>44361.0</v>
      </c>
      <c r="B869" s="2">
        <v>425.26</v>
      </c>
      <c r="C869" s="3" t="s">
        <v>519</v>
      </c>
      <c r="D869" s="4" t="str">
        <f t="array" ref="D869">XLOOKUP(Hoja5!A869,Agregado!B1512:B2377,Agregado!G869:G2377)</f>
        <v>#N/A</v>
      </c>
    </row>
    <row r="870" ht="15.75" customHeight="1">
      <c r="A870" s="12">
        <v>44362.0</v>
      </c>
      <c r="B870" s="2">
        <v>424.48</v>
      </c>
      <c r="C870" s="3" t="s">
        <v>520</v>
      </c>
      <c r="D870" s="4" t="str">
        <f t="array" ref="D870">XLOOKUP(Hoja5!A870,Agregado!B1512:B2378,Agregado!G870:G2378)</f>
        <v>#N/A</v>
      </c>
    </row>
    <row r="871" ht="15.75" customHeight="1">
      <c r="A871" s="12">
        <v>44363.0</v>
      </c>
      <c r="B871" s="2">
        <v>422.11</v>
      </c>
      <c r="C871" s="3" t="s">
        <v>521</v>
      </c>
      <c r="D871" s="4" t="str">
        <f t="array" ref="D871">XLOOKUP(Hoja5!A871,Agregado!B1512:B2379,Agregado!G871:G2379)</f>
        <v>#N/A</v>
      </c>
    </row>
    <row r="872" ht="15.75" customHeight="1">
      <c r="A872" s="12">
        <v>44364.0</v>
      </c>
      <c r="B872" s="2">
        <v>421.97</v>
      </c>
      <c r="C872" s="3" t="s">
        <v>522</v>
      </c>
      <c r="D872" s="4" t="str">
        <f t="array" ref="D872">XLOOKUP(Hoja5!A872,Agregado!B1512:B2380,Agregado!G872:G2380)</f>
        <v>#N/A</v>
      </c>
    </row>
    <row r="873" ht="15.75" customHeight="1">
      <c r="A873" s="12">
        <v>44365.0</v>
      </c>
      <c r="B873" s="2">
        <v>414.92</v>
      </c>
      <c r="C873" s="3" t="s">
        <v>523</v>
      </c>
      <c r="D873" s="4" t="str">
        <f t="array" ref="D873">XLOOKUP(Hoja5!A873,Agregado!B1512:B2381,Agregado!G873:G2381)</f>
        <v>#N/A</v>
      </c>
    </row>
    <row r="874" ht="15.75" customHeight="1">
      <c r="A874" s="12">
        <v>44368.0</v>
      </c>
      <c r="B874" s="2">
        <v>420.86</v>
      </c>
      <c r="C874" s="3" t="s">
        <v>524</v>
      </c>
      <c r="D874" s="4" t="str">
        <f t="array" ref="D874">XLOOKUP(Hoja5!A874,Agregado!B1512:B2382,Agregado!G874:G2382)</f>
        <v>#N/A</v>
      </c>
    </row>
    <row r="875" ht="15.75" customHeight="1">
      <c r="A875" s="12">
        <v>44369.0</v>
      </c>
      <c r="B875" s="2">
        <v>423.11</v>
      </c>
      <c r="C875" s="3" t="s">
        <v>525</v>
      </c>
      <c r="D875" s="4" t="str">
        <f t="array" ref="D875">XLOOKUP(Hoja5!A875,Agregado!B1512:B2383,Agregado!G875:G2383)</f>
        <v>#N/A</v>
      </c>
    </row>
    <row r="876" ht="15.75" customHeight="1">
      <c r="A876" s="12">
        <v>44370.0</v>
      </c>
      <c r="B876" s="2">
        <v>422.6</v>
      </c>
      <c r="C876" s="3" t="s">
        <v>526</v>
      </c>
      <c r="D876" s="4" t="str">
        <f t="array" ref="D876">XLOOKUP(Hoja5!A876,Agregado!B1512:B2384,Agregado!G876:G2384)</f>
        <v>#N/A</v>
      </c>
    </row>
    <row r="877" ht="15.75" customHeight="1">
      <c r="A877" s="12">
        <v>44371.0</v>
      </c>
      <c r="B877" s="2">
        <v>425.1</v>
      </c>
      <c r="C877" s="3" t="s">
        <v>527</v>
      </c>
      <c r="D877" s="4" t="str">
        <f t="array" ref="D877">XLOOKUP(Hoja5!A877,Agregado!B1512:B2385,Agregado!G877:G2385)</f>
        <v>#N/A</v>
      </c>
    </row>
    <row r="878" ht="15.75" customHeight="1">
      <c r="A878" s="12">
        <v>44372.0</v>
      </c>
      <c r="B878" s="2">
        <v>426.61</v>
      </c>
      <c r="C878" s="3" t="s">
        <v>528</v>
      </c>
      <c r="D878" s="4" t="str">
        <f t="array" ref="D878">XLOOKUP(Hoja5!A878,Agregado!B1512:B2386,Agregado!G878:G2386)</f>
        <v>#N/A</v>
      </c>
    </row>
    <row r="879" ht="15.75" customHeight="1">
      <c r="A879" s="12">
        <v>44375.0</v>
      </c>
      <c r="B879" s="2">
        <v>427.47</v>
      </c>
      <c r="C879" s="3" t="s">
        <v>529</v>
      </c>
      <c r="D879" s="4" t="str">
        <f t="array" ref="D879">XLOOKUP(Hoja5!A879,Agregado!B1512:B2387,Agregado!G879:G2387)</f>
        <v>#N/A</v>
      </c>
    </row>
    <row r="880" ht="15.75" customHeight="1">
      <c r="A880" s="12">
        <v>44376.0</v>
      </c>
      <c r="B880" s="2">
        <v>427.7</v>
      </c>
      <c r="C880" s="3" t="s">
        <v>530</v>
      </c>
      <c r="D880" s="4" t="str">
        <f t="array" ref="D880">XLOOKUP(Hoja5!A880,Agregado!B1512:B2388,Agregado!G880:G2388)</f>
        <v>#N/A</v>
      </c>
    </row>
    <row r="881" ht="15.75" customHeight="1">
      <c r="A881" s="12">
        <v>44377.0</v>
      </c>
      <c r="B881" s="2">
        <v>428.06</v>
      </c>
      <c r="C881" s="3" t="s">
        <v>531</v>
      </c>
      <c r="D881" s="4" t="str">
        <f t="array" ref="D881">XLOOKUP(Hoja5!A881,Agregado!B1512:B2389,Agregado!G881:G2389)</f>
        <v>#N/A</v>
      </c>
    </row>
    <row r="882" ht="15.75" customHeight="1">
      <c r="A882" s="12">
        <v>44378.0</v>
      </c>
      <c r="B882" s="2">
        <v>430.43</v>
      </c>
      <c r="C882" s="3">
        <v>44203.0</v>
      </c>
      <c r="D882" s="4" t="str">
        <f t="array" ref="D882">XLOOKUP(Hoja5!A882,Agregado!B1512:B2390,Agregado!G882:G2390)</f>
        <v>#N/A</v>
      </c>
    </row>
    <row r="883" ht="15.75" customHeight="1">
      <c r="A883" s="12">
        <v>44379.0</v>
      </c>
      <c r="B883" s="2">
        <v>433.72</v>
      </c>
      <c r="C883" s="3">
        <v>44234.0</v>
      </c>
      <c r="D883" s="4" t="str">
        <f t="array" ref="D883">XLOOKUP(Hoja5!A883,Agregado!B1512:B2391,Agregado!G883:G2391)</f>
        <v>#N/A</v>
      </c>
    </row>
    <row r="884" ht="15.75" customHeight="1">
      <c r="A884" s="12">
        <v>44380.0</v>
      </c>
      <c r="B884" s="2">
        <v>433.72</v>
      </c>
      <c r="D884" s="4" t="str">
        <f t="array" ref="D884">XLOOKUP(Hoja5!A884,Agregado!B1512:B2392,Agregado!G884:G2392)</f>
        <v>#N/A</v>
      </c>
    </row>
    <row r="885" ht="15.75" customHeight="1">
      <c r="A885" s="12">
        <v>44381.0</v>
      </c>
      <c r="B885" s="2">
        <v>433.72</v>
      </c>
      <c r="D885" s="4" t="str">
        <f t="array" ref="D885">XLOOKUP(Hoja5!A885,Agregado!B1512:B2393,Agregado!G885:G2393)</f>
        <v>#N/A</v>
      </c>
    </row>
    <row r="886" ht="15.75" customHeight="1">
      <c r="A886" s="12">
        <v>44382.0</v>
      </c>
      <c r="B886" s="2">
        <v>433.72</v>
      </c>
      <c r="D886" s="4" t="str">
        <f t="array" ref="D886">XLOOKUP(Hoja5!A886,Agregado!B1512:B2394,Agregado!G886:G2394)</f>
        <v>#N/A</v>
      </c>
    </row>
    <row r="887" ht="15.75" customHeight="1">
      <c r="A887" s="12">
        <v>44383.0</v>
      </c>
      <c r="B887" s="2">
        <v>432.93</v>
      </c>
      <c r="C887" s="3">
        <v>44354.0</v>
      </c>
      <c r="D887" s="4" t="str">
        <f t="array" ref="D887">XLOOKUP(Hoja5!A887,Agregado!B1512:B2395,Agregado!G887:G2395)</f>
        <v>#N/A</v>
      </c>
    </row>
    <row r="888" ht="15.75" customHeight="1">
      <c r="A888" s="12">
        <v>44384.0</v>
      </c>
      <c r="B888" s="2">
        <v>434.46</v>
      </c>
      <c r="C888" s="3">
        <v>44384.0</v>
      </c>
      <c r="D888" s="4" t="str">
        <f t="array" ref="D888">XLOOKUP(Hoja5!A888,Agregado!B1512:B2396,Agregado!G888:G2396)</f>
        <v>#N/A</v>
      </c>
    </row>
    <row r="889" ht="15.75" customHeight="1">
      <c r="A889" s="12">
        <v>44385.0</v>
      </c>
      <c r="B889" s="2">
        <v>430.92</v>
      </c>
      <c r="C889" s="3">
        <v>44415.0</v>
      </c>
      <c r="D889" s="4" t="str">
        <f t="array" ref="D889">XLOOKUP(Hoja5!A889,Agregado!B1512:B2397,Agregado!G889:G2397)</f>
        <v>#N/A</v>
      </c>
    </row>
    <row r="890" ht="15.75" customHeight="1">
      <c r="A890" s="12">
        <v>44386.0</v>
      </c>
      <c r="B890" s="2">
        <v>435.52</v>
      </c>
      <c r="C890" s="3">
        <v>44446.0</v>
      </c>
      <c r="D890" s="4" t="str">
        <f t="array" ref="D890">XLOOKUP(Hoja5!A890,Agregado!B1512:B2398,Agregado!G890:G2398)</f>
        <v>#N/A</v>
      </c>
    </row>
    <row r="891" ht="15.75" customHeight="1">
      <c r="A891" s="12">
        <v>44389.0</v>
      </c>
      <c r="B891" s="2">
        <v>437.08</v>
      </c>
      <c r="C891" s="3">
        <v>44537.0</v>
      </c>
      <c r="D891" s="4" t="str">
        <f t="array" ref="D891">XLOOKUP(Hoja5!A891,Agregado!B1512:B2399,Agregado!G891:G2399)</f>
        <v>#N/A</v>
      </c>
    </row>
    <row r="892" ht="15.75" customHeight="1">
      <c r="A892" s="12">
        <v>44390.0</v>
      </c>
      <c r="B892" s="2">
        <v>435.59</v>
      </c>
      <c r="C892" s="3" t="s">
        <v>532</v>
      </c>
      <c r="D892" s="4" t="str">
        <f t="array" ref="D892">XLOOKUP(Hoja5!A892,Agregado!B1512:B2400,Agregado!G892:G2400)</f>
        <v>#N/A</v>
      </c>
    </row>
    <row r="893" ht="15.75" customHeight="1">
      <c r="A893" s="12">
        <v>44391.0</v>
      </c>
      <c r="B893" s="2">
        <v>436.24</v>
      </c>
      <c r="C893" s="3" t="s">
        <v>533</v>
      </c>
      <c r="D893" s="4" t="str">
        <f t="array" ref="D893">XLOOKUP(Hoja5!A893,Agregado!B1512:B2401,Agregado!G893:G2401)</f>
        <v>#N/A</v>
      </c>
    </row>
    <row r="894" ht="15.75" customHeight="1">
      <c r="A894" s="12">
        <v>44392.0</v>
      </c>
      <c r="B894" s="2">
        <v>434.75</v>
      </c>
      <c r="C894" s="3" t="s">
        <v>534</v>
      </c>
      <c r="D894" s="4" t="str">
        <f t="array" ref="D894">XLOOKUP(Hoja5!A894,Agregado!B1512:B2402,Agregado!G894:G2402)</f>
        <v>#N/A</v>
      </c>
    </row>
    <row r="895" ht="15.75" customHeight="1">
      <c r="A895" s="12">
        <v>44393.0</v>
      </c>
      <c r="B895" s="2">
        <v>431.34</v>
      </c>
      <c r="C895" s="3" t="s">
        <v>535</v>
      </c>
      <c r="D895" s="4" t="str">
        <f t="array" ref="D895">XLOOKUP(Hoja5!A895,Agregado!B1512:B2403,Agregado!G895:G2403)</f>
        <v>#N/A</v>
      </c>
    </row>
    <row r="896" ht="15.75" customHeight="1">
      <c r="A896" s="12">
        <v>44396.0</v>
      </c>
      <c r="B896" s="2">
        <v>424.97</v>
      </c>
      <c r="C896" s="3" t="s">
        <v>536</v>
      </c>
      <c r="D896" s="4" t="str">
        <f t="array" ref="D896">XLOOKUP(Hoja5!A896,Agregado!B1512:B2404,Agregado!G896:G2404)</f>
        <v>#N/A</v>
      </c>
    </row>
    <row r="897" ht="15.75" customHeight="1">
      <c r="A897" s="12">
        <v>44397.0</v>
      </c>
      <c r="B897" s="2">
        <v>431.06</v>
      </c>
      <c r="C897" s="3" t="s">
        <v>537</v>
      </c>
      <c r="D897" s="4" t="str">
        <f t="array" ref="D897">XLOOKUP(Hoja5!A897,Agregado!B1512:B2405,Agregado!G897:G2405)</f>
        <v>#N/A</v>
      </c>
    </row>
    <row r="898" ht="15.75" customHeight="1">
      <c r="A898" s="12">
        <v>44398.0</v>
      </c>
      <c r="B898" s="2">
        <v>434.55</v>
      </c>
      <c r="C898" s="3" t="s">
        <v>538</v>
      </c>
      <c r="D898" s="4" t="str">
        <f t="array" ref="D898">XLOOKUP(Hoja5!A898,Agregado!B1512:B2406,Agregado!G898:G2406)</f>
        <v>#N/A</v>
      </c>
    </row>
    <row r="899" ht="15.75" customHeight="1">
      <c r="A899" s="12">
        <v>44399.0</v>
      </c>
      <c r="B899" s="2">
        <v>435.46</v>
      </c>
      <c r="C899" s="3" t="s">
        <v>539</v>
      </c>
      <c r="D899" s="4" t="str">
        <f t="array" ref="D899">XLOOKUP(Hoja5!A899,Agregado!B1512:B2407,Agregado!G899:G2407)</f>
        <v>#N/A</v>
      </c>
    </row>
    <row r="900" ht="15.75" customHeight="1">
      <c r="A900" s="12">
        <v>44400.0</v>
      </c>
      <c r="B900" s="2">
        <v>439.94</v>
      </c>
      <c r="C900" s="3" t="s">
        <v>540</v>
      </c>
      <c r="D900" s="4" t="str">
        <f t="array" ref="D900">XLOOKUP(Hoja5!A900,Agregado!B1512:B2408,Agregado!G900:G2408)</f>
        <v>#N/A</v>
      </c>
    </row>
    <row r="901" ht="15.75" customHeight="1">
      <c r="A901" s="12">
        <v>44403.0</v>
      </c>
      <c r="B901" s="2">
        <v>441.02</v>
      </c>
      <c r="C901" s="3" t="s">
        <v>541</v>
      </c>
      <c r="D901" s="4" t="str">
        <f t="array" ref="D901">XLOOKUP(Hoja5!A901,Agregado!B1512:B2409,Agregado!G901:G2409)</f>
        <v>#N/A</v>
      </c>
    </row>
    <row r="902" ht="15.75" customHeight="1">
      <c r="A902" s="12">
        <v>44404.0</v>
      </c>
      <c r="B902" s="2">
        <v>439.01</v>
      </c>
      <c r="C902" s="3" t="s">
        <v>542</v>
      </c>
      <c r="D902" s="4" t="str">
        <f t="array" ref="D902">XLOOKUP(Hoja5!A902,Agregado!B1512:B2410,Agregado!G902:G2410)</f>
        <v>#N/A</v>
      </c>
    </row>
    <row r="903" ht="15.75" customHeight="1">
      <c r="A903" s="12">
        <v>44405.0</v>
      </c>
      <c r="B903" s="2">
        <v>438.83</v>
      </c>
      <c r="C903" s="3" t="s">
        <v>543</v>
      </c>
      <c r="D903" s="4" t="str">
        <f t="array" ref="D903">XLOOKUP(Hoja5!A903,Agregado!B1512:B2411,Agregado!G903:G2411)</f>
        <v>#N/A</v>
      </c>
    </row>
    <row r="904" ht="15.75" customHeight="1">
      <c r="A904" s="12">
        <v>44406.0</v>
      </c>
      <c r="B904" s="2">
        <v>440.65</v>
      </c>
      <c r="C904" s="3" t="s">
        <v>544</v>
      </c>
      <c r="D904" s="4" t="str">
        <f t="array" ref="D904">XLOOKUP(Hoja5!A904,Agregado!B1512:B2412,Agregado!G904:G2412)</f>
        <v>#N/A</v>
      </c>
    </row>
    <row r="905" ht="15.75" customHeight="1">
      <c r="A905" s="12">
        <v>44407.0</v>
      </c>
      <c r="B905" s="2">
        <v>438.51</v>
      </c>
      <c r="C905" s="3" t="s">
        <v>545</v>
      </c>
      <c r="D905" s="4" t="str">
        <f t="array" ref="D905">XLOOKUP(Hoja5!A905,Agregado!B1512:B2413,Agregado!G905:G2413)</f>
        <v>#N/A</v>
      </c>
    </row>
    <row r="906" ht="15.75" customHeight="1">
      <c r="A906" s="12">
        <v>44410.0</v>
      </c>
      <c r="B906" s="2">
        <v>437.59</v>
      </c>
      <c r="C906" s="3">
        <v>44235.0</v>
      </c>
      <c r="D906" s="4" t="str">
        <f t="array" ref="D906">XLOOKUP(Hoja5!A906,Agregado!B1512:B2414,Agregado!G906:G2414)</f>
        <v>#N/A</v>
      </c>
    </row>
    <row r="907" ht="15.75" customHeight="1">
      <c r="A907" s="12">
        <v>44411.0</v>
      </c>
      <c r="B907" s="2">
        <v>441.15</v>
      </c>
      <c r="C907" s="3">
        <v>44263.0</v>
      </c>
      <c r="D907" s="4" t="str">
        <f t="array" ref="D907">XLOOKUP(Hoja5!A907,Agregado!B1512:B2415,Agregado!G907:G2415)</f>
        <v>#N/A</v>
      </c>
    </row>
    <row r="908" ht="15.75" customHeight="1">
      <c r="A908" s="12">
        <v>44412.0</v>
      </c>
      <c r="B908" s="2">
        <v>438.98</v>
      </c>
      <c r="C908" s="3">
        <v>44294.0</v>
      </c>
      <c r="D908" s="4" t="str">
        <f t="array" ref="D908">XLOOKUP(Hoja5!A908,Agregado!B1512:B2416,Agregado!G908:G2416)</f>
        <v>#N/A</v>
      </c>
    </row>
    <row r="909" ht="15.75" customHeight="1">
      <c r="A909" s="12">
        <v>44413.0</v>
      </c>
      <c r="B909" s="2">
        <v>441.76</v>
      </c>
      <c r="C909" s="3">
        <v>44324.0</v>
      </c>
      <c r="D909" s="4" t="str">
        <f t="array" ref="D909">XLOOKUP(Hoja5!A909,Agregado!B1512:B2417,Agregado!G909:G2417)</f>
        <v>#N/A</v>
      </c>
    </row>
    <row r="910" ht="15.75" customHeight="1">
      <c r="A910" s="12">
        <v>44414.0</v>
      </c>
      <c r="B910" s="2">
        <v>442.49</v>
      </c>
      <c r="C910" s="3">
        <v>44355.0</v>
      </c>
      <c r="D910" s="4" t="str">
        <f t="array" ref="D910">XLOOKUP(Hoja5!A910,Agregado!B1512:B2418,Agregado!G910:G2418)</f>
        <v>#N/A</v>
      </c>
    </row>
    <row r="911" ht="15.75" customHeight="1">
      <c r="A911" s="12">
        <v>44415.0</v>
      </c>
      <c r="B911" s="2">
        <v>442.49</v>
      </c>
      <c r="D911" s="4" t="str">
        <f t="array" ref="D911">XLOOKUP(Hoja5!A911,Agregado!B1512:B2419,Agregado!G911:G2419)</f>
        <v>#N/A</v>
      </c>
    </row>
    <row r="912" ht="15.75" customHeight="1">
      <c r="A912" s="12">
        <v>44416.0</v>
      </c>
      <c r="B912" s="2">
        <v>442.49</v>
      </c>
      <c r="D912" s="4" t="str">
        <f t="array" ref="D912">XLOOKUP(Hoja5!A912,Agregado!B1512:B2420,Agregado!G912:G2420)</f>
        <v>#N/A</v>
      </c>
    </row>
    <row r="913" ht="15.75" customHeight="1">
      <c r="A913" s="12">
        <v>44417.0</v>
      </c>
      <c r="B913" s="2">
        <v>442.13</v>
      </c>
      <c r="C913" s="3">
        <v>44447.0</v>
      </c>
      <c r="D913" s="4" t="str">
        <f t="array" ref="D913">XLOOKUP(Hoja5!A913,Agregado!B1512:B2421,Agregado!G913:G2421)</f>
        <v>#N/A</v>
      </c>
    </row>
    <row r="914" ht="15.75" customHeight="1">
      <c r="A914" s="12">
        <v>44418.0</v>
      </c>
      <c r="B914" s="2">
        <v>442.68</v>
      </c>
      <c r="C914" s="3">
        <v>44477.0</v>
      </c>
      <c r="D914" s="4" t="str">
        <f t="array" ref="D914">XLOOKUP(Hoja5!A914,Agregado!B1512:B2422,Agregado!G914:G2422)</f>
        <v>#N/A</v>
      </c>
    </row>
    <row r="915" ht="15.75" customHeight="1">
      <c r="A915" s="12">
        <v>44419.0</v>
      </c>
      <c r="B915" s="2">
        <v>443.78</v>
      </c>
      <c r="C915" s="3">
        <v>44508.0</v>
      </c>
      <c r="D915" s="4" t="str">
        <f t="array" ref="D915">XLOOKUP(Hoja5!A915,Agregado!B1512:B2423,Agregado!G915:G2423)</f>
        <v>#N/A</v>
      </c>
    </row>
    <row r="916" ht="15.75" customHeight="1">
      <c r="A916" s="12">
        <v>44420.0</v>
      </c>
      <c r="B916" s="2">
        <v>445.11</v>
      </c>
      <c r="C916" s="3">
        <v>44538.0</v>
      </c>
      <c r="D916" s="4" t="str">
        <f t="array" ref="D916">XLOOKUP(Hoja5!A916,Agregado!B1512:B2424,Agregado!G916:G2424)</f>
        <v>#N/A</v>
      </c>
    </row>
    <row r="917" ht="15.75" customHeight="1">
      <c r="A917" s="12">
        <v>44421.0</v>
      </c>
      <c r="B917" s="2">
        <v>445.92</v>
      </c>
      <c r="C917" s="3" t="s">
        <v>546</v>
      </c>
      <c r="D917" s="4" t="str">
        <f t="array" ref="D917">XLOOKUP(Hoja5!A917,Agregado!B1512:B2425,Agregado!G917:G2425)</f>
        <v>#N/A</v>
      </c>
    </row>
    <row r="918" ht="15.75" customHeight="1">
      <c r="A918" s="12">
        <v>44424.0</v>
      </c>
      <c r="B918" s="2">
        <v>446.97</v>
      </c>
      <c r="C918" s="3" t="s">
        <v>547</v>
      </c>
      <c r="D918" s="4" t="str">
        <f t="array" ref="D918">XLOOKUP(Hoja5!A918,Agregado!B1512:B2426,Agregado!G918:G2426)</f>
        <v>#N/A</v>
      </c>
    </row>
    <row r="919" ht="15.75" customHeight="1">
      <c r="A919" s="12">
        <v>44425.0</v>
      </c>
      <c r="B919" s="2">
        <v>444.04</v>
      </c>
      <c r="C919" s="3" t="s">
        <v>548</v>
      </c>
      <c r="D919" s="4" t="str">
        <f t="array" ref="D919">XLOOKUP(Hoja5!A919,Agregado!B1512:B2427,Agregado!G919:G2427)</f>
        <v>#N/A</v>
      </c>
    </row>
    <row r="920" ht="15.75" customHeight="1">
      <c r="A920" s="12">
        <v>44426.0</v>
      </c>
      <c r="B920" s="2">
        <v>439.18</v>
      </c>
      <c r="C920" s="3" t="s">
        <v>549</v>
      </c>
      <c r="D920" s="4" t="str">
        <f t="array" ref="D920">XLOOKUP(Hoja5!A920,Agregado!B1512:B2428,Agregado!G920:G2428)</f>
        <v>#N/A</v>
      </c>
    </row>
    <row r="921" ht="15.75" customHeight="1">
      <c r="A921" s="12">
        <v>44427.0</v>
      </c>
      <c r="B921" s="2">
        <v>439.86</v>
      </c>
      <c r="C921" s="3" t="s">
        <v>550</v>
      </c>
      <c r="D921" s="4" t="str">
        <f t="array" ref="D921">XLOOKUP(Hoja5!A921,Agregado!B1512:B2429,Agregado!G921:G2429)</f>
        <v>#N/A</v>
      </c>
    </row>
    <row r="922" ht="15.75" customHeight="1">
      <c r="A922" s="12">
        <v>44428.0</v>
      </c>
      <c r="B922" s="2">
        <v>443.36</v>
      </c>
      <c r="C922" s="3" t="s">
        <v>551</v>
      </c>
      <c r="D922" s="4" t="str">
        <f t="array" ref="D922">XLOOKUP(Hoja5!A922,Agregado!B1512:B2430,Agregado!G922:G2430)</f>
        <v>#N/A</v>
      </c>
    </row>
    <row r="923" ht="15.75" customHeight="1">
      <c r="A923" s="12">
        <v>44431.0</v>
      </c>
      <c r="B923" s="2">
        <v>447.26</v>
      </c>
      <c r="C923" s="3" t="s">
        <v>552</v>
      </c>
      <c r="D923" s="4" t="str">
        <f t="array" ref="D923">XLOOKUP(Hoja5!A923,Agregado!B1512:B2431,Agregado!G923:G2431)</f>
        <v>#N/A</v>
      </c>
    </row>
    <row r="924" ht="15.75" customHeight="1">
      <c r="A924" s="12">
        <v>44432.0</v>
      </c>
      <c r="B924" s="2">
        <v>447.97</v>
      </c>
      <c r="C924" s="3" t="s">
        <v>553</v>
      </c>
      <c r="D924" s="4" t="str">
        <f t="array" ref="D924">XLOOKUP(Hoja5!A924,Agregado!B1512:B2432,Agregado!G924:G2432)</f>
        <v>#N/A</v>
      </c>
    </row>
    <row r="925" ht="15.75" customHeight="1">
      <c r="A925" s="12">
        <v>44433.0</v>
      </c>
      <c r="B925" s="2">
        <v>448.91</v>
      </c>
      <c r="C925" s="3" t="s">
        <v>554</v>
      </c>
      <c r="D925" s="4" t="str">
        <f t="array" ref="D925">XLOOKUP(Hoja5!A925,Agregado!B1512:B2433,Agregado!G925:G2433)</f>
        <v>#N/A</v>
      </c>
    </row>
    <row r="926" ht="15.75" customHeight="1">
      <c r="A926" s="12">
        <v>44434.0</v>
      </c>
      <c r="B926" s="2">
        <v>446.26</v>
      </c>
      <c r="C926" s="3" t="s">
        <v>555</v>
      </c>
      <c r="D926" s="4" t="str">
        <f t="array" ref="D926">XLOOKUP(Hoja5!A926,Agregado!B1512:B2434,Agregado!G926:G2434)</f>
        <v>#N/A</v>
      </c>
    </row>
    <row r="927" ht="15.75" customHeight="1">
      <c r="A927" s="12">
        <v>44435.0</v>
      </c>
      <c r="B927" s="2">
        <v>450.25</v>
      </c>
      <c r="C927" s="3" t="s">
        <v>556</v>
      </c>
      <c r="D927" s="4" t="str">
        <f t="array" ref="D927">XLOOKUP(Hoja5!A927,Agregado!B1512:B2435,Agregado!G927:G2435)</f>
        <v>#N/A</v>
      </c>
    </row>
    <row r="928" ht="15.75" customHeight="1">
      <c r="A928" s="12">
        <v>44438.0</v>
      </c>
      <c r="B928" s="2">
        <v>452.23</v>
      </c>
      <c r="C928" s="3" t="s">
        <v>557</v>
      </c>
      <c r="D928" s="4" t="str">
        <f t="array" ref="D928">XLOOKUP(Hoja5!A928,Agregado!B1512:B2436,Agregado!G928:G2436)</f>
        <v>#N/A</v>
      </c>
    </row>
    <row r="929" ht="15.75" customHeight="1">
      <c r="A929" s="12">
        <v>44439.0</v>
      </c>
      <c r="B929" s="2">
        <v>451.56</v>
      </c>
      <c r="C929" s="3" t="s">
        <v>558</v>
      </c>
      <c r="D929" s="4" t="str">
        <f t="array" ref="D929">XLOOKUP(Hoja5!A929,Agregado!B1512:B2437,Agregado!G929:G2437)</f>
        <v>#N/A</v>
      </c>
    </row>
    <row r="930" ht="15.75" customHeight="1">
      <c r="A930" s="12">
        <v>44440.0</v>
      </c>
      <c r="B930" s="2">
        <v>451.8</v>
      </c>
      <c r="C930" s="3">
        <v>44205.0</v>
      </c>
      <c r="D930" s="4" t="str">
        <f t="array" ref="D930">XLOOKUP(Hoja5!A930,Agregado!B1512:B2438,Agregado!G930:G2438)</f>
        <v>#N/A</v>
      </c>
    </row>
    <row r="931" ht="15.75" customHeight="1">
      <c r="A931" s="12">
        <v>44441.0</v>
      </c>
      <c r="B931" s="2">
        <v>453.19</v>
      </c>
      <c r="C931" s="3">
        <v>44236.0</v>
      </c>
      <c r="D931" s="4" t="str">
        <f t="array" ref="D931">XLOOKUP(Hoja5!A931,Agregado!B1512:B2439,Agregado!G931:G2439)</f>
        <v>#N/A</v>
      </c>
    </row>
    <row r="932" ht="15.75" customHeight="1">
      <c r="A932" s="12">
        <v>44442.0</v>
      </c>
      <c r="B932" s="2">
        <v>453.08</v>
      </c>
      <c r="C932" s="3">
        <v>44264.0</v>
      </c>
      <c r="D932" s="4" t="str">
        <f t="array" ref="D932">XLOOKUP(Hoja5!A932,Agregado!B1512:B2440,Agregado!G932:G2440)</f>
        <v>#N/A</v>
      </c>
    </row>
    <row r="933" ht="15.75" customHeight="1">
      <c r="A933" s="12">
        <v>44446.0</v>
      </c>
      <c r="B933" s="2">
        <v>451.46</v>
      </c>
      <c r="C933" s="3">
        <v>44386.0</v>
      </c>
      <c r="D933" s="4" t="str">
        <f t="array" ref="D933">XLOOKUP(Hoja5!A933,Agregado!B1512:B2441,Agregado!G933:G2441)</f>
        <v>#N/A</v>
      </c>
    </row>
    <row r="934" ht="15.75" customHeight="1">
      <c r="A934" s="12">
        <v>44447.0</v>
      </c>
      <c r="B934" s="2">
        <v>450.91</v>
      </c>
      <c r="C934" s="3">
        <v>44417.0</v>
      </c>
      <c r="D934" s="4" t="str">
        <f t="array" ref="D934">XLOOKUP(Hoja5!A934,Agregado!B1512:B2442,Agregado!G934:G2442)</f>
        <v>#N/A</v>
      </c>
    </row>
    <row r="935" ht="15.75" customHeight="1">
      <c r="A935" s="12">
        <v>44448.0</v>
      </c>
      <c r="B935" s="2">
        <v>448.98</v>
      </c>
      <c r="C935" s="3">
        <v>44448.0</v>
      </c>
      <c r="D935" s="4" t="str">
        <f t="array" ref="D935">XLOOKUP(Hoja5!A935,Agregado!B1512:B2443,Agregado!G935:G2443)</f>
        <v>#N/A</v>
      </c>
    </row>
    <row r="936" ht="15.75" customHeight="1">
      <c r="A936" s="12">
        <v>44449.0</v>
      </c>
      <c r="B936" s="2">
        <v>445.44</v>
      </c>
      <c r="C936" s="3">
        <v>44478.0</v>
      </c>
      <c r="D936" s="4" t="str">
        <f t="array" ref="D936">XLOOKUP(Hoja5!A936,Agregado!B1512:B2444,Agregado!G936:G2444)</f>
        <v>#N/A</v>
      </c>
    </row>
    <row r="937" ht="15.75" customHeight="1">
      <c r="A937" s="12">
        <v>44452.0</v>
      </c>
      <c r="B937" s="2">
        <v>446.58</v>
      </c>
      <c r="C937" s="3" t="s">
        <v>559</v>
      </c>
      <c r="D937" s="4" t="str">
        <f t="array" ref="D937">XLOOKUP(Hoja5!A937,Agregado!B1512:B2445,Agregado!G937:G2445)</f>
        <v>#N/A</v>
      </c>
    </row>
    <row r="938" ht="15.75" customHeight="1">
      <c r="A938" s="12">
        <v>44453.0</v>
      </c>
      <c r="B938" s="2">
        <v>444.17</v>
      </c>
      <c r="C938" s="3" t="s">
        <v>560</v>
      </c>
      <c r="D938" s="4" t="str">
        <f t="array" ref="D938">XLOOKUP(Hoja5!A938,Agregado!B1512:B2446,Agregado!G938:G2446)</f>
        <v>#N/A</v>
      </c>
    </row>
    <row r="939" ht="15.75" customHeight="1">
      <c r="A939" s="12">
        <v>44454.0</v>
      </c>
      <c r="B939" s="2">
        <v>447.88</v>
      </c>
      <c r="C939" s="3" t="s">
        <v>561</v>
      </c>
      <c r="D939" s="4" t="str">
        <f t="array" ref="D939">XLOOKUP(Hoja5!A939,Agregado!B1512:B2447,Agregado!G939:G2447)</f>
        <v>#N/A</v>
      </c>
    </row>
    <row r="940" ht="15.75" customHeight="1">
      <c r="A940" s="12">
        <v>44455.0</v>
      </c>
      <c r="B940" s="2">
        <v>447.17</v>
      </c>
      <c r="C940" s="3" t="s">
        <v>562</v>
      </c>
      <c r="D940" s="4" t="str">
        <f t="array" ref="D940">XLOOKUP(Hoja5!A940,Agregado!B1512:B2448,Agregado!G940:G2448)</f>
        <v>#N/A</v>
      </c>
    </row>
    <row r="941" ht="15.75" customHeight="1">
      <c r="A941" s="12">
        <v>44456.0</v>
      </c>
      <c r="B941" s="2">
        <v>441.4</v>
      </c>
      <c r="C941" s="3" t="s">
        <v>563</v>
      </c>
      <c r="D941" s="4" t="str">
        <f t="array" ref="D941">XLOOKUP(Hoja5!A941,Agregado!B1512:B2449,Agregado!G941:G2449)</f>
        <v>#N/A</v>
      </c>
    </row>
    <row r="942" ht="15.75" customHeight="1">
      <c r="A942" s="12">
        <v>44459.0</v>
      </c>
      <c r="B942" s="2">
        <v>434.04</v>
      </c>
      <c r="C942" s="3" t="s">
        <v>564</v>
      </c>
      <c r="D942" s="4" t="str">
        <f t="array" ref="D942">XLOOKUP(Hoja5!A942,Agregado!B1512:B2450,Agregado!G942:G2450)</f>
        <v>#N/A</v>
      </c>
    </row>
    <row r="943" ht="15.75" customHeight="1">
      <c r="A943" s="12">
        <v>44460.0</v>
      </c>
      <c r="B943" s="2">
        <v>433.63</v>
      </c>
      <c r="C943" s="3" t="s">
        <v>565</v>
      </c>
      <c r="D943" s="4" t="str">
        <f t="array" ref="D943">XLOOKUP(Hoja5!A943,Agregado!B1512:B2451,Agregado!G943:G2451)</f>
        <v>#N/A</v>
      </c>
    </row>
    <row r="944" ht="15.75" customHeight="1">
      <c r="A944" s="12">
        <v>44461.0</v>
      </c>
      <c r="B944" s="2">
        <v>437.86</v>
      </c>
      <c r="C944" s="3" t="s">
        <v>566</v>
      </c>
      <c r="D944" s="4" t="str">
        <f t="array" ref="D944">XLOOKUP(Hoja5!A944,Agregado!B1512:B2452,Agregado!G944:G2452)</f>
        <v>#N/A</v>
      </c>
    </row>
    <row r="945" ht="15.75" customHeight="1">
      <c r="A945" s="12">
        <v>44462.0</v>
      </c>
      <c r="B945" s="2">
        <v>443.18</v>
      </c>
      <c r="C945" s="3" t="s">
        <v>567</v>
      </c>
      <c r="D945" s="4" t="str">
        <f t="array" ref="D945">XLOOKUP(Hoja5!A945,Agregado!B1512:B2453,Agregado!G945:G2453)</f>
        <v>#N/A</v>
      </c>
    </row>
    <row r="946" ht="15.75" customHeight="1">
      <c r="A946" s="12">
        <v>44463.0</v>
      </c>
      <c r="B946" s="2">
        <v>443.91</v>
      </c>
      <c r="C946" s="3" t="s">
        <v>568</v>
      </c>
      <c r="D946" s="4" t="str">
        <f t="array" ref="D946">XLOOKUP(Hoja5!A946,Agregado!B1512:B2454,Agregado!G946:G2454)</f>
        <v>#N/A</v>
      </c>
    </row>
    <row r="947" ht="15.75" customHeight="1">
      <c r="A947" s="12">
        <v>44466.0</v>
      </c>
      <c r="B947" s="2">
        <v>442.64</v>
      </c>
      <c r="C947" s="3" t="s">
        <v>569</v>
      </c>
      <c r="D947" s="4" t="str">
        <f t="array" ref="D947">XLOOKUP(Hoja5!A947,Agregado!B1512:B2455,Agregado!G947:G2455)</f>
        <v>#N/A</v>
      </c>
    </row>
    <row r="948" ht="15.75" customHeight="1">
      <c r="A948" s="12">
        <v>44467.0</v>
      </c>
      <c r="B948" s="2">
        <v>433.72</v>
      </c>
      <c r="C948" s="3" t="s">
        <v>570</v>
      </c>
      <c r="D948" s="4" t="str">
        <f t="array" ref="D948">XLOOKUP(Hoja5!A948,Agregado!B1512:B2456,Agregado!G948:G2456)</f>
        <v>#N/A</v>
      </c>
    </row>
    <row r="949" ht="15.75" customHeight="1">
      <c r="A949" s="12">
        <v>44468.0</v>
      </c>
      <c r="B949" s="2">
        <v>434.45</v>
      </c>
      <c r="C949" s="3" t="s">
        <v>571</v>
      </c>
      <c r="D949" s="4" t="str">
        <f t="array" ref="D949">XLOOKUP(Hoja5!A949,Agregado!B1512:B2457,Agregado!G949:G2457)</f>
        <v>#N/A</v>
      </c>
    </row>
    <row r="950" ht="15.75" customHeight="1">
      <c r="A950" s="12">
        <v>44469.0</v>
      </c>
      <c r="B950" s="2">
        <v>429.14</v>
      </c>
      <c r="C950" s="3" t="s">
        <v>572</v>
      </c>
      <c r="D950" s="4" t="str">
        <f t="array" ref="D950">XLOOKUP(Hoja5!A950,Agregado!B1512:B2458,Agregado!G950:G2458)</f>
        <v>#N/A</v>
      </c>
    </row>
    <row r="951" ht="15.75" customHeight="1">
      <c r="A951" s="12">
        <v>44470.0</v>
      </c>
      <c r="B951" s="2">
        <v>434.24</v>
      </c>
      <c r="C951" s="3">
        <v>44206.0</v>
      </c>
      <c r="D951" s="4" t="str">
        <f t="array" ref="D951">XLOOKUP(Hoja5!A951,Agregado!B1512:B2459,Agregado!G951:G2459)</f>
        <v>#N/A</v>
      </c>
    </row>
    <row r="952" ht="15.75" customHeight="1">
      <c r="A952" s="12">
        <v>44473.0</v>
      </c>
      <c r="B952" s="2">
        <v>428.64</v>
      </c>
      <c r="C952" s="3">
        <v>44296.0</v>
      </c>
      <c r="D952" s="4" t="str">
        <f t="array" ref="D952">XLOOKUP(Hoja5!A952,Agregado!B1512:B2460,Agregado!G952:G2460)</f>
        <v>#N/A</v>
      </c>
    </row>
    <row r="953" ht="15.75" customHeight="1">
      <c r="A953" s="12">
        <v>44474.0</v>
      </c>
      <c r="B953" s="2">
        <v>433.1</v>
      </c>
      <c r="C953" s="3">
        <v>44326.0</v>
      </c>
      <c r="D953" s="4" t="str">
        <f t="array" ref="D953">XLOOKUP(Hoja5!A953,Agregado!B1512:B2461,Agregado!G953:G2461)</f>
        <v>#N/A</v>
      </c>
    </row>
    <row r="954" ht="15.75" customHeight="1">
      <c r="A954" s="12">
        <v>44475.0</v>
      </c>
      <c r="B954" s="2">
        <v>434.9</v>
      </c>
      <c r="C954" s="3">
        <v>44357.0</v>
      </c>
      <c r="D954" s="4" t="str">
        <f t="array" ref="D954">XLOOKUP(Hoja5!A954,Agregado!B1512:B2462,Agregado!G954:G2462)</f>
        <v>#N/A</v>
      </c>
    </row>
    <row r="955" ht="15.75" customHeight="1">
      <c r="A955" s="12">
        <v>44476.0</v>
      </c>
      <c r="B955" s="2">
        <v>438.66</v>
      </c>
      <c r="C955" s="3">
        <v>44387.0</v>
      </c>
      <c r="D955" s="4" t="str">
        <f t="array" ref="D955">XLOOKUP(Hoja5!A955,Agregado!B1512:B2463,Agregado!G955:G2463)</f>
        <v>#N/A</v>
      </c>
    </row>
    <row r="956" ht="15.75" customHeight="1">
      <c r="A956" s="12">
        <v>44477.0</v>
      </c>
      <c r="B956" s="2">
        <v>437.86</v>
      </c>
      <c r="C956" s="3">
        <v>44418.0</v>
      </c>
      <c r="D956" s="4" t="str">
        <f t="array" ref="D956">XLOOKUP(Hoja5!A956,Agregado!B1512:B2464,Agregado!G956:G2464)</f>
        <v>#N/A</v>
      </c>
    </row>
    <row r="957" ht="15.75" customHeight="1">
      <c r="A957" s="12">
        <v>44480.0</v>
      </c>
      <c r="B957" s="2">
        <v>434.69</v>
      </c>
      <c r="C957" s="3">
        <v>44510.0</v>
      </c>
      <c r="D957" s="4" t="str">
        <f t="array" ref="D957">XLOOKUP(Hoja5!A957,Agregado!B1512:B2465,Agregado!G957:G2465)</f>
        <v>#N/A</v>
      </c>
    </row>
    <row r="958" ht="15.75" customHeight="1">
      <c r="A958" s="12">
        <v>44481.0</v>
      </c>
      <c r="B958" s="2">
        <v>433.62</v>
      </c>
      <c r="C958" s="3">
        <v>44540.0</v>
      </c>
      <c r="D958" s="4" t="str">
        <f t="array" ref="D958">XLOOKUP(Hoja5!A958,Agregado!B1512:B2466,Agregado!G958:G2466)</f>
        <v>#N/A</v>
      </c>
    </row>
    <row r="959" ht="15.75" customHeight="1">
      <c r="A959" s="12">
        <v>44482.0</v>
      </c>
      <c r="B959" s="2">
        <v>435.18</v>
      </c>
      <c r="C959" s="3" t="s">
        <v>573</v>
      </c>
      <c r="D959" s="4" t="str">
        <f t="array" ref="D959">XLOOKUP(Hoja5!A959,Agregado!B1512:B2467,Agregado!G959:G2467)</f>
        <v>#N/A</v>
      </c>
    </row>
    <row r="960" ht="15.75" customHeight="1">
      <c r="A960" s="12">
        <v>44483.0</v>
      </c>
      <c r="B960" s="2">
        <v>442.5</v>
      </c>
      <c r="C960" s="3" t="s">
        <v>574</v>
      </c>
      <c r="D960" s="4" t="str">
        <f t="array" ref="D960">XLOOKUP(Hoja5!A960,Agregado!B1512:B2468,Agregado!G960:G2468)</f>
        <v>#N/A</v>
      </c>
    </row>
    <row r="961" ht="15.75" customHeight="1">
      <c r="A961" s="12">
        <v>44484.0</v>
      </c>
      <c r="B961" s="2">
        <v>445.87</v>
      </c>
      <c r="C961" s="3" t="s">
        <v>575</v>
      </c>
      <c r="D961" s="4" t="str">
        <f t="array" ref="D961">XLOOKUP(Hoja5!A961,Agregado!B1512:B2469,Agregado!G961:G2469)</f>
        <v>#N/A</v>
      </c>
    </row>
    <row r="962" ht="15.75" customHeight="1">
      <c r="A962" s="12">
        <v>44487.0</v>
      </c>
      <c r="B962" s="2">
        <v>447.19</v>
      </c>
      <c r="C962" s="3" t="s">
        <v>576</v>
      </c>
      <c r="D962" s="4" t="str">
        <f t="array" ref="D962">XLOOKUP(Hoja5!A962,Agregado!B1512:B2470,Agregado!G962:G2470)</f>
        <v>#N/A</v>
      </c>
    </row>
    <row r="963" ht="15.75" customHeight="1">
      <c r="A963" s="12">
        <v>44488.0</v>
      </c>
      <c r="B963" s="2">
        <v>450.64</v>
      </c>
      <c r="C963" s="3" t="s">
        <v>577</v>
      </c>
      <c r="D963" s="4" t="str">
        <f t="array" ref="D963">XLOOKUP(Hoja5!A963,Agregado!B1512:B2471,Agregado!G963:G2471)</f>
        <v>#N/A</v>
      </c>
    </row>
    <row r="964" ht="15.75" customHeight="1">
      <c r="A964" s="12">
        <v>44489.0</v>
      </c>
      <c r="B964" s="2">
        <v>452.41</v>
      </c>
      <c r="C964" s="3" t="s">
        <v>578</v>
      </c>
      <c r="D964" s="4" t="str">
        <f t="array" ref="D964">XLOOKUP(Hoja5!A964,Agregado!B1512:B2472,Agregado!G964:G2472)</f>
        <v>#N/A</v>
      </c>
    </row>
    <row r="965" ht="15.75" customHeight="1">
      <c r="A965" s="12">
        <v>44490.0</v>
      </c>
      <c r="B965" s="2">
        <v>453.59</v>
      </c>
      <c r="C965" s="3" t="s">
        <v>579</v>
      </c>
      <c r="D965" s="4" t="str">
        <f t="array" ref="D965">XLOOKUP(Hoja5!A965,Agregado!B1512:B2473,Agregado!G965:G2473)</f>
        <v>#N/A</v>
      </c>
    </row>
    <row r="966" ht="15.75" customHeight="1">
      <c r="A966" s="12">
        <v>44491.0</v>
      </c>
      <c r="B966" s="2">
        <v>453.12</v>
      </c>
      <c r="C966" s="3" t="s">
        <v>580</v>
      </c>
      <c r="D966" s="4" t="str">
        <f t="array" ref="D966">XLOOKUP(Hoja5!A966,Agregado!B1512:B2474,Agregado!G966:G2474)</f>
        <v>#N/A</v>
      </c>
    </row>
    <row r="967" ht="15.75" customHeight="1">
      <c r="A967" s="12">
        <v>44494.0</v>
      </c>
      <c r="B967" s="2">
        <v>455.55</v>
      </c>
      <c r="C967" s="3" t="s">
        <v>581</v>
      </c>
      <c r="D967" s="4" t="str">
        <f t="array" ref="D967">XLOOKUP(Hoja5!A967,Agregado!B1512:B2475,Agregado!G967:G2475)</f>
        <v>#N/A</v>
      </c>
    </row>
    <row r="968" ht="15.75" customHeight="1">
      <c r="A968" s="12">
        <v>44495.0</v>
      </c>
      <c r="B968" s="2">
        <v>455.96</v>
      </c>
      <c r="C968" s="3" t="s">
        <v>582</v>
      </c>
      <c r="D968" s="4" t="str">
        <f t="array" ref="D968">XLOOKUP(Hoja5!A968,Agregado!B1512:B2476,Agregado!G968:G2476)</f>
        <v>#N/A</v>
      </c>
    </row>
    <row r="969" ht="15.75" customHeight="1">
      <c r="A969" s="12">
        <v>44496.0</v>
      </c>
      <c r="B969" s="2">
        <v>453.94</v>
      </c>
      <c r="C969" s="3" t="s">
        <v>583</v>
      </c>
      <c r="D969" s="4" t="str">
        <f t="array" ref="D969">XLOOKUP(Hoja5!A969,Agregado!B1512:B2477,Agregado!G969:G2477)</f>
        <v>#N/A</v>
      </c>
    </row>
    <row r="970" ht="15.75" customHeight="1">
      <c r="A970" s="12">
        <v>44497.0</v>
      </c>
      <c r="B970" s="2">
        <v>458.32</v>
      </c>
      <c r="C970" s="3" t="s">
        <v>584</v>
      </c>
      <c r="D970" s="4" t="str">
        <f t="array" ref="D970">XLOOKUP(Hoja5!A970,Agregado!B1512:B2478,Agregado!G970:G2478)</f>
        <v>#N/A</v>
      </c>
    </row>
    <row r="971" ht="15.75" customHeight="1">
      <c r="A971" s="12">
        <v>44498.0</v>
      </c>
      <c r="B971" s="2">
        <v>459.25</v>
      </c>
      <c r="C971" s="3" t="s">
        <v>585</v>
      </c>
      <c r="D971" s="4" t="str">
        <f t="array" ref="D971">XLOOKUP(Hoja5!A971,Agregado!B1512:B2479,Agregado!G971:G2479)</f>
        <v>#N/A</v>
      </c>
    </row>
    <row r="972" ht="15.75" customHeight="1">
      <c r="A972" s="12">
        <v>44501.0</v>
      </c>
      <c r="B972" s="2">
        <v>460.04</v>
      </c>
      <c r="C972" s="3">
        <v>44207.0</v>
      </c>
      <c r="D972" s="4" t="str">
        <f t="array" ref="D972">XLOOKUP(Hoja5!A972,Agregado!B1512:B2480,Agregado!G972:G2480)</f>
        <v>#N/A</v>
      </c>
    </row>
    <row r="973" ht="15.75" customHeight="1">
      <c r="A973" s="12">
        <v>44502.0</v>
      </c>
      <c r="B973" s="2">
        <v>461.9</v>
      </c>
      <c r="C973" s="3">
        <v>44238.0</v>
      </c>
      <c r="D973" s="4" t="str">
        <f t="array" ref="D973">XLOOKUP(Hoja5!A973,Agregado!B1512:B2481,Agregado!G973:G2481)</f>
        <v>#N/A</v>
      </c>
    </row>
    <row r="974" ht="15.75" customHeight="1">
      <c r="A974" s="12">
        <v>44503.0</v>
      </c>
      <c r="B974" s="2">
        <v>464.72</v>
      </c>
      <c r="C974" s="3">
        <v>44266.0</v>
      </c>
      <c r="D974" s="4" t="str">
        <f t="array" ref="D974">XLOOKUP(Hoja5!A974,Agregado!B1512:B2482,Agregado!G974:G2482)</f>
        <v>#N/A</v>
      </c>
    </row>
    <row r="975" ht="15.75" customHeight="1">
      <c r="A975" s="12">
        <v>44504.0</v>
      </c>
      <c r="B975" s="2">
        <v>466.91</v>
      </c>
      <c r="C975" s="3">
        <v>44297.0</v>
      </c>
      <c r="D975" s="4" t="str">
        <f t="array" ref="D975">XLOOKUP(Hoja5!A975,Agregado!B1512:B2483,Agregado!G975:G2483)</f>
        <v>#N/A</v>
      </c>
    </row>
    <row r="976" ht="15.75" customHeight="1">
      <c r="A976" s="12">
        <v>44505.0</v>
      </c>
      <c r="B976" s="2">
        <v>468.53</v>
      </c>
      <c r="C976" s="3">
        <v>44327.0</v>
      </c>
      <c r="D976" s="4" t="str">
        <f t="array" ref="D976">XLOOKUP(Hoja5!A976,Agregado!B1512:B2484,Agregado!G976:G2484)</f>
        <v>#N/A</v>
      </c>
    </row>
    <row r="977" ht="15.75" customHeight="1">
      <c r="A977" s="12">
        <v>44508.0</v>
      </c>
      <c r="B977" s="2">
        <v>468.93</v>
      </c>
      <c r="C977" s="3">
        <v>44419.0</v>
      </c>
      <c r="D977" s="4" t="str">
        <f t="array" ref="D977">XLOOKUP(Hoja5!A977,Agregado!B1512:B2485,Agregado!G977:G2485)</f>
        <v>#N/A</v>
      </c>
    </row>
    <row r="978" ht="15.75" customHeight="1">
      <c r="A978" s="12">
        <v>44509.0</v>
      </c>
      <c r="B978" s="2">
        <v>467.38</v>
      </c>
      <c r="C978" s="3">
        <v>44450.0</v>
      </c>
      <c r="D978" s="4" t="str">
        <f t="array" ref="D978">XLOOKUP(Hoja5!A978,Agregado!B1512:B2486,Agregado!G978:G2486)</f>
        <v>#N/A</v>
      </c>
    </row>
    <row r="979" ht="15.75" customHeight="1">
      <c r="A979" s="12">
        <v>44510.0</v>
      </c>
      <c r="B979" s="2">
        <v>463.62</v>
      </c>
      <c r="C979" s="3">
        <v>44480.0</v>
      </c>
      <c r="D979" s="4" t="str">
        <f t="array" ref="D979">XLOOKUP(Hoja5!A979,Agregado!B1512:B2487,Agregado!G979:G2487)</f>
        <v>#N/A</v>
      </c>
    </row>
    <row r="980" ht="15.75" customHeight="1">
      <c r="A980" s="12">
        <v>44511.0</v>
      </c>
      <c r="B980" s="2">
        <v>463.77</v>
      </c>
      <c r="C980" s="3">
        <v>44511.0</v>
      </c>
      <c r="D980" s="4" t="str">
        <f t="array" ref="D980">XLOOKUP(Hoja5!A980,Agregado!B1512:B2488,Agregado!G980:G2488)</f>
        <v>#N/A</v>
      </c>
    </row>
    <row r="981" ht="15.75" customHeight="1">
      <c r="A981" s="12">
        <v>44512.0</v>
      </c>
      <c r="B981" s="2">
        <v>467.27</v>
      </c>
      <c r="C981" s="3">
        <v>44541.0</v>
      </c>
      <c r="D981" s="4" t="str">
        <f t="array" ref="D981">XLOOKUP(Hoja5!A981,Agregado!B1512:B2489,Agregado!G981:G2489)</f>
        <v>#N/A</v>
      </c>
    </row>
    <row r="982" ht="15.75" customHeight="1">
      <c r="A982" s="12">
        <v>44515.0</v>
      </c>
      <c r="B982" s="2">
        <v>467.43</v>
      </c>
      <c r="C982" s="3" t="s">
        <v>586</v>
      </c>
      <c r="D982" s="4" t="str">
        <f t="array" ref="D982">XLOOKUP(Hoja5!A982,Agregado!B1512:B2490,Agregado!G982:G2490)</f>
        <v>#N/A</v>
      </c>
    </row>
    <row r="983" ht="15.75" customHeight="1">
      <c r="A983" s="12">
        <v>44516.0</v>
      </c>
      <c r="B983" s="2">
        <v>469.28</v>
      </c>
      <c r="C983" s="3" t="s">
        <v>587</v>
      </c>
      <c r="D983" s="4" t="str">
        <f t="array" ref="D983">XLOOKUP(Hoja5!A983,Agregado!B1512:B2491,Agregado!G983:G2491)</f>
        <v>#N/A</v>
      </c>
    </row>
    <row r="984" ht="15.75" customHeight="1">
      <c r="A984" s="12">
        <v>44517.0</v>
      </c>
      <c r="B984" s="2">
        <v>468.14</v>
      </c>
      <c r="C984" s="3" t="s">
        <v>588</v>
      </c>
      <c r="D984" s="4" t="str">
        <f t="array" ref="D984">XLOOKUP(Hoja5!A984,Agregado!B1512:B2492,Agregado!G984:G2492)</f>
        <v>#N/A</v>
      </c>
    </row>
    <row r="985" ht="15.75" customHeight="1">
      <c r="A985" s="12">
        <v>44518.0</v>
      </c>
      <c r="B985" s="2">
        <v>469.73</v>
      </c>
      <c r="C985" s="3" t="s">
        <v>589</v>
      </c>
      <c r="D985" s="4" t="str">
        <f t="array" ref="D985">XLOOKUP(Hoja5!A985,Agregado!B1512:B2493,Agregado!G985:G2493)</f>
        <v>#N/A</v>
      </c>
    </row>
    <row r="986" ht="15.75" customHeight="1">
      <c r="A986" s="12">
        <v>44519.0</v>
      </c>
      <c r="B986" s="2">
        <v>468.89</v>
      </c>
      <c r="C986" s="3" t="s">
        <v>590</v>
      </c>
      <c r="D986" s="4" t="str">
        <f t="array" ref="D986">XLOOKUP(Hoja5!A986,Agregado!B1512:B2494,Agregado!G986:G2494)</f>
        <v>#N/A</v>
      </c>
    </row>
    <row r="987" ht="15.75" customHeight="1">
      <c r="A987" s="12">
        <v>44522.0</v>
      </c>
      <c r="B987" s="2">
        <v>467.57</v>
      </c>
      <c r="C987" s="3" t="s">
        <v>591</v>
      </c>
      <c r="D987" s="4" t="str">
        <f t="array" ref="D987">XLOOKUP(Hoja5!A987,Agregado!B1512:B2495,Agregado!G987:G2495)</f>
        <v>#N/A</v>
      </c>
    </row>
    <row r="988" ht="15.75" customHeight="1">
      <c r="A988" s="12">
        <v>44523.0</v>
      </c>
      <c r="B988" s="2">
        <v>468.19</v>
      </c>
      <c r="C988" s="3" t="s">
        <v>592</v>
      </c>
      <c r="D988" s="4" t="str">
        <f t="array" ref="D988">XLOOKUP(Hoja5!A988,Agregado!B1512:B2496,Agregado!G988:G2496)</f>
        <v>#N/A</v>
      </c>
    </row>
    <row r="989" ht="15.75" customHeight="1">
      <c r="A989" s="12">
        <v>44524.0</v>
      </c>
      <c r="B989" s="2">
        <v>469.44</v>
      </c>
      <c r="C989" s="3" t="s">
        <v>593</v>
      </c>
      <c r="D989" s="4" t="str">
        <f t="array" ref="D989">XLOOKUP(Hoja5!A989,Agregado!B1512:B2497,Agregado!G989:G2497)</f>
        <v>#N/A</v>
      </c>
    </row>
    <row r="990" ht="15.75" customHeight="1">
      <c r="A990" s="12">
        <v>44526.0</v>
      </c>
      <c r="B990" s="2">
        <v>458.97</v>
      </c>
      <c r="C990" s="3" t="s">
        <v>594</v>
      </c>
      <c r="D990" s="4" t="str">
        <f t="array" ref="D990">XLOOKUP(Hoja5!A990,Agregado!B1512:B2498,Agregado!G990:G2498)</f>
        <v>#N/A</v>
      </c>
    </row>
    <row r="991" ht="15.75" customHeight="1">
      <c r="A991" s="12">
        <v>44529.0</v>
      </c>
      <c r="B991" s="2">
        <v>464.6</v>
      </c>
      <c r="C991" s="3" t="s">
        <v>595</v>
      </c>
      <c r="D991" s="4" t="str">
        <f t="array" ref="D991">XLOOKUP(Hoja5!A991,Agregado!B1512:B2499,Agregado!G991:G2499)</f>
        <v>#N/A</v>
      </c>
    </row>
    <row r="992" ht="15.75" customHeight="1">
      <c r="A992" s="12">
        <v>44530.0</v>
      </c>
      <c r="B992" s="2">
        <v>455.56</v>
      </c>
      <c r="C992" s="3" t="s">
        <v>596</v>
      </c>
      <c r="D992" s="4" t="str">
        <f t="array" ref="D992">XLOOKUP(Hoja5!A992,Agregado!B1512:B2500,Agregado!G992:G2500)</f>
        <v>#N/A</v>
      </c>
    </row>
    <row r="993" ht="15.75" customHeight="1">
      <c r="A993" s="12">
        <v>44531.0</v>
      </c>
      <c r="B993" s="2">
        <v>450.5</v>
      </c>
      <c r="C993" s="3">
        <v>44208.0</v>
      </c>
      <c r="D993" s="4" t="str">
        <f t="array" ref="D993">XLOOKUP(Hoja5!A993,Agregado!B1512:B2501,Agregado!G993:G2501)</f>
        <v>#N/A</v>
      </c>
    </row>
    <row r="994" ht="15.75" customHeight="1">
      <c r="A994" s="12">
        <v>44532.0</v>
      </c>
      <c r="B994" s="2">
        <v>457.4</v>
      </c>
      <c r="C994" s="3">
        <v>44239.0</v>
      </c>
      <c r="D994" s="4" t="str">
        <f t="array" ref="D994">XLOOKUP(Hoja5!A994,Agregado!B1512:B2502,Agregado!G994:G2502)</f>
        <v>#N/A</v>
      </c>
    </row>
    <row r="995" ht="15.75" customHeight="1">
      <c r="A995" s="12">
        <v>44533.0</v>
      </c>
      <c r="B995" s="2">
        <v>453.42</v>
      </c>
      <c r="C995" s="3">
        <v>44267.0</v>
      </c>
      <c r="D995" s="4" t="str">
        <f t="array" ref="D995">XLOOKUP(Hoja5!A995,Agregado!B1512:B2503,Agregado!G995:G2503)</f>
        <v>#N/A</v>
      </c>
    </row>
    <row r="996" ht="15.75" customHeight="1">
      <c r="A996" s="12">
        <v>44536.0</v>
      </c>
      <c r="B996" s="2">
        <v>458.79</v>
      </c>
      <c r="C996" s="3">
        <v>44359.0</v>
      </c>
      <c r="D996" s="4" t="str">
        <f t="array" ref="D996">XLOOKUP(Hoja5!A996,Agregado!B1512:B2504,Agregado!G996:G2504)</f>
        <v>#N/A</v>
      </c>
    </row>
    <row r="997" ht="15.75" customHeight="1">
      <c r="A997" s="12">
        <v>44537.0</v>
      </c>
      <c r="B997" s="2">
        <v>468.28</v>
      </c>
      <c r="C997" s="3">
        <v>44389.0</v>
      </c>
      <c r="D997" s="4" t="str">
        <f t="array" ref="D997">XLOOKUP(Hoja5!A997,Agregado!B1512:B2505,Agregado!G997:G2505)</f>
        <v>#N/A</v>
      </c>
    </row>
    <row r="998" ht="15.75" customHeight="1">
      <c r="A998" s="12">
        <v>44538.0</v>
      </c>
      <c r="B998" s="2">
        <v>469.52</v>
      </c>
      <c r="C998" s="3">
        <v>44420.0</v>
      </c>
      <c r="D998" s="4" t="str">
        <f t="array" ref="D998">XLOOKUP(Hoja5!A998,Agregado!B1512:B2506,Agregado!G998:G2506)</f>
        <v>#N/A</v>
      </c>
    </row>
    <row r="999" ht="15.75" customHeight="1">
      <c r="A999" s="12">
        <v>44539.0</v>
      </c>
      <c r="B999" s="2">
        <v>466.35</v>
      </c>
      <c r="C999" s="3">
        <v>44451.0</v>
      </c>
      <c r="D999" s="4" t="str">
        <f t="array" ref="D999">XLOOKUP(Hoja5!A999,Agregado!B1512:B2507,Agregado!G999:G2507)</f>
        <v>#N/A</v>
      </c>
    </row>
    <row r="1000" ht="15.75" customHeight="1">
      <c r="A1000" s="12">
        <v>44540.0</v>
      </c>
      <c r="B1000" s="2">
        <v>470.74</v>
      </c>
      <c r="C1000" s="3">
        <v>44481.0</v>
      </c>
      <c r="D1000" s="4" t="str">
        <f t="array" ref="D1000">XLOOKUP(Hoja5!A1000,Agregado!B1512:B2508,Agregado!G1000:G2508)</f>
        <v>#N/A</v>
      </c>
    </row>
    <row r="1001" ht="15.75" customHeight="1">
      <c r="A1001" s="12">
        <v>44543.0</v>
      </c>
      <c r="B1001" s="2">
        <v>466.57</v>
      </c>
      <c r="C1001" s="3" t="s">
        <v>597</v>
      </c>
      <c r="D1001" s="4" t="str">
        <f t="array" ref="D1001">XLOOKUP(Hoja5!A1001,Agregado!B1512:B2509,Agregado!G1001:G2509)</f>
        <v>#N/A</v>
      </c>
    </row>
    <row r="1002" ht="15.75" customHeight="1">
      <c r="A1002" s="12">
        <v>44544.0</v>
      </c>
      <c r="B1002" s="2">
        <v>463.36</v>
      </c>
      <c r="C1002" s="3" t="s">
        <v>598</v>
      </c>
      <c r="D1002" s="4" t="str">
        <f t="array" ref="D1002">XLOOKUP(Hoja5!A1002,Agregado!B1512:B2510,Agregado!G1002:G2510)</f>
        <v>#N/A</v>
      </c>
    </row>
    <row r="1003" ht="15.75" customHeight="1">
      <c r="A1003" s="12">
        <v>44545.0</v>
      </c>
      <c r="B1003" s="2">
        <v>470.6</v>
      </c>
      <c r="C1003" s="3" t="s">
        <v>599</v>
      </c>
      <c r="D1003" s="4" t="str">
        <f t="array" ref="D1003">XLOOKUP(Hoja5!A1003,Agregado!B1512:B2511,Agregado!G1003:G2511)</f>
        <v>#N/A</v>
      </c>
    </row>
    <row r="1004" ht="15.75" customHeight="1">
      <c r="A1004" s="12">
        <v>44546.0</v>
      </c>
      <c r="B1004" s="2">
        <v>466.45</v>
      </c>
      <c r="C1004" s="3" t="s">
        <v>600</v>
      </c>
      <c r="D1004" s="4" t="str">
        <f t="array" ref="D1004">XLOOKUP(Hoja5!A1004,Agregado!B1512:B2512,Agregado!G1004:G2512)</f>
        <v>#N/A</v>
      </c>
    </row>
    <row r="1005" ht="15.75" customHeight="1">
      <c r="A1005" s="12">
        <v>44547.0</v>
      </c>
      <c r="B1005" s="2">
        <v>459.87</v>
      </c>
      <c r="C1005" s="3" t="s">
        <v>601</v>
      </c>
      <c r="D1005" s="4" t="str">
        <f t="array" ref="D1005">XLOOKUP(Hoja5!A1005,Agregado!B1512:B2513,Agregado!G1005:G2513)</f>
        <v>#N/A</v>
      </c>
    </row>
    <row r="1006" ht="15.75" customHeight="1">
      <c r="A1006" s="12">
        <v>44550.0</v>
      </c>
      <c r="B1006" s="2">
        <v>454.98</v>
      </c>
      <c r="C1006" s="3" t="s">
        <v>602</v>
      </c>
      <c r="D1006" s="4" t="str">
        <f t="array" ref="D1006">XLOOKUP(Hoja5!A1006,Agregado!B1512:B2514,Agregado!G1006:G2514)</f>
        <v>#N/A</v>
      </c>
    </row>
    <row r="1007" ht="15.75" customHeight="1">
      <c r="A1007" s="12">
        <v>44551.0</v>
      </c>
      <c r="B1007" s="2">
        <v>463.06</v>
      </c>
      <c r="C1007" s="3" t="s">
        <v>603</v>
      </c>
      <c r="D1007" s="4" t="str">
        <f t="array" ref="D1007">XLOOKUP(Hoja5!A1007,Agregado!B1512:B2515,Agregado!G1007:G2515)</f>
        <v>#N/A</v>
      </c>
    </row>
    <row r="1008" ht="15.75" customHeight="1">
      <c r="A1008" s="12">
        <v>44552.0</v>
      </c>
      <c r="B1008" s="2">
        <v>467.69</v>
      </c>
      <c r="C1008" s="3" t="s">
        <v>604</v>
      </c>
      <c r="D1008" s="4" t="str">
        <f t="array" ref="D1008">XLOOKUP(Hoja5!A1008,Agregado!B1512:B2516,Agregado!G1008:G2516)</f>
        <v>#N/A</v>
      </c>
    </row>
    <row r="1009" ht="15.75" customHeight="1">
      <c r="A1009" s="12">
        <v>44553.0</v>
      </c>
      <c r="B1009" s="2">
        <v>470.6</v>
      </c>
      <c r="C1009" s="3" t="s">
        <v>605</v>
      </c>
      <c r="D1009" s="4" t="str">
        <f t="array" ref="D1009">XLOOKUP(Hoja5!A1009,Agregado!B1512:B2517,Agregado!G1009:G2517)</f>
        <v>#N/A</v>
      </c>
    </row>
    <row r="1010" ht="15.75" customHeight="1">
      <c r="A1010" s="12">
        <v>44557.0</v>
      </c>
      <c r="B1010" s="2">
        <v>477.26</v>
      </c>
      <c r="C1010" s="3" t="s">
        <v>606</v>
      </c>
      <c r="D1010" s="4" t="str">
        <f t="array" ref="D1010">XLOOKUP(Hoja5!A1010,Agregado!B1512:B2518,Agregado!G1010:G2518)</f>
        <v>#N/A</v>
      </c>
    </row>
    <row r="1011" ht="15.75" customHeight="1">
      <c r="A1011" s="12">
        <v>44558.0</v>
      </c>
      <c r="B1011" s="2">
        <v>476.87</v>
      </c>
      <c r="C1011" s="3" t="s">
        <v>607</v>
      </c>
      <c r="D1011" s="4" t="str">
        <f t="array" ref="D1011">XLOOKUP(Hoja5!A1011,Agregado!B1512:B2519,Agregado!G1011:G2519)</f>
        <v>#N/A</v>
      </c>
    </row>
    <row r="1012" ht="15.75" customHeight="1">
      <c r="A1012" s="12">
        <v>44559.0</v>
      </c>
      <c r="B1012" s="2">
        <v>477.48</v>
      </c>
      <c r="C1012" s="3" t="s">
        <v>608</v>
      </c>
      <c r="D1012" s="4" t="str">
        <f t="array" ref="D1012">XLOOKUP(Hoja5!A1012,Agregado!B1512:B2520,Agregado!G1012:G2520)</f>
        <v>#N/A</v>
      </c>
    </row>
    <row r="1013" ht="15.75" customHeight="1">
      <c r="A1013" s="12">
        <v>44560.0</v>
      </c>
      <c r="B1013" s="2">
        <v>476.16</v>
      </c>
      <c r="C1013" s="3" t="s">
        <v>609</v>
      </c>
      <c r="D1013" s="4" t="str">
        <f t="array" ref="D1013">XLOOKUP(Hoja5!A1013,Agregado!B1512:B2521,Agregado!G1013:G2521)</f>
        <v>#N/A</v>
      </c>
    </row>
    <row r="1014" ht="15.75" customHeight="1">
      <c r="A1014" s="12">
        <v>44561.0</v>
      </c>
      <c r="B1014" s="2">
        <v>474.96</v>
      </c>
      <c r="C1014" s="3" t="s">
        <v>610</v>
      </c>
      <c r="D1014" s="4" t="str">
        <f t="array" ref="D1014">XLOOKUP(Hoja5!A1014,Agregado!B1512:B2522,Agregado!G1014:G2522)</f>
        <v>#N/A</v>
      </c>
    </row>
    <row r="1015" ht="15.75" customHeight="1">
      <c r="A1015" s="12">
        <v>44564.0</v>
      </c>
      <c r="B1015" s="2">
        <v>477.71</v>
      </c>
      <c r="C1015" s="3">
        <v>44621.0</v>
      </c>
      <c r="D1015" s="4" t="str">
        <f t="array" ref="D1015">XLOOKUP(Hoja5!A1015,Agregado!B1512:B2523,Agregado!G1015:G2523)</f>
        <v>#N/A</v>
      </c>
    </row>
    <row r="1016" ht="15.75" customHeight="1">
      <c r="A1016" s="12">
        <v>44565.0</v>
      </c>
      <c r="B1016" s="2">
        <v>477.55</v>
      </c>
      <c r="C1016" s="3">
        <v>44652.0</v>
      </c>
      <c r="D1016" s="4" t="str">
        <f t="array" ref="D1016">XLOOKUP(Hoja5!A1016,Agregado!B1512:B2524,Agregado!G1016:G2524)</f>
        <v>#N/A</v>
      </c>
    </row>
    <row r="1017" ht="15.75" customHeight="1">
      <c r="A1017" s="12">
        <v>44566.0</v>
      </c>
      <c r="B1017" s="2">
        <v>468.38</v>
      </c>
      <c r="C1017" s="3">
        <v>44682.0</v>
      </c>
      <c r="D1017" s="4" t="str">
        <f t="array" ref="D1017">XLOOKUP(Hoja5!A1017,Agregado!B1512:B2525,Agregado!G1017:G2525)</f>
        <v>#N/A</v>
      </c>
    </row>
    <row r="1018" ht="15.75" customHeight="1">
      <c r="A1018" s="12">
        <v>44567.0</v>
      </c>
      <c r="B1018" s="2">
        <v>467.94</v>
      </c>
      <c r="C1018" s="3">
        <v>44713.0</v>
      </c>
      <c r="D1018" s="4" t="str">
        <f t="array" ref="D1018">XLOOKUP(Hoja5!A1018,Agregado!B1512:B2526,Agregado!G1018:G2526)</f>
        <v>#N/A</v>
      </c>
    </row>
    <row r="1019" ht="15.75" customHeight="1">
      <c r="A1019" s="12">
        <v>44568.0</v>
      </c>
      <c r="B1019" s="2">
        <v>466.09</v>
      </c>
      <c r="C1019" s="3">
        <v>44743.0</v>
      </c>
      <c r="D1019" s="4" t="str">
        <f t="array" ref="D1019">XLOOKUP(Hoja5!A1019,Agregado!B1512:B2527,Agregado!G1019:G2527)</f>
        <v>#N/A</v>
      </c>
    </row>
    <row r="1020" ht="15.75" customHeight="1">
      <c r="A1020" s="12">
        <v>44571.0</v>
      </c>
      <c r="B1020" s="2">
        <v>465.51</v>
      </c>
      <c r="C1020" s="3">
        <v>44835.0</v>
      </c>
      <c r="D1020" s="4" t="str">
        <f t="array" ref="D1020">XLOOKUP(Hoja5!A1020,Agregado!B1512:B2528,Agregado!G1020:G2528)</f>
        <v>#N/A</v>
      </c>
    </row>
    <row r="1021" ht="15.75" customHeight="1">
      <c r="A1021" s="12">
        <v>44572.0</v>
      </c>
      <c r="B1021" s="2">
        <v>469.75</v>
      </c>
      <c r="C1021" s="3">
        <v>44866.0</v>
      </c>
      <c r="D1021" s="4" t="str">
        <f t="array" ref="D1021">XLOOKUP(Hoja5!A1021,Agregado!B1512:B2529,Agregado!G1021:G2529)</f>
        <v>#N/A</v>
      </c>
    </row>
    <row r="1022" ht="15.75" customHeight="1">
      <c r="A1022" s="12">
        <v>44573.0</v>
      </c>
      <c r="B1022" s="2">
        <v>471.02</v>
      </c>
      <c r="C1022" s="3">
        <v>44896.0</v>
      </c>
      <c r="D1022" s="4" t="str">
        <f t="array" ref="D1022">XLOOKUP(Hoja5!A1022,Agregado!B1512:B2530,Agregado!G1022:G2530)</f>
        <v>#N/A</v>
      </c>
    </row>
    <row r="1023" ht="15.75" customHeight="1">
      <c r="A1023" s="12">
        <v>44574.0</v>
      </c>
      <c r="B1023" s="2">
        <v>464.53</v>
      </c>
      <c r="C1023" s="3" t="s">
        <v>611</v>
      </c>
      <c r="D1023" s="4" t="str">
        <f t="array" ref="D1023">XLOOKUP(Hoja5!A1023,Agregado!B1512:B2531,Agregado!G1023:G2531)</f>
        <v>#N/A</v>
      </c>
    </row>
    <row r="1024" ht="15.75" customHeight="1">
      <c r="A1024" s="12">
        <v>44575.0</v>
      </c>
      <c r="B1024" s="2">
        <v>464.72</v>
      </c>
      <c r="C1024" s="3" t="s">
        <v>612</v>
      </c>
      <c r="D1024" s="4" t="str">
        <f t="array" ref="D1024">XLOOKUP(Hoja5!A1024,Agregado!B1512:B2532,Agregado!G1024:G2532)</f>
        <v>#N/A</v>
      </c>
    </row>
    <row r="1025" ht="15.75" customHeight="1">
      <c r="A1025" s="12">
        <v>44579.0</v>
      </c>
      <c r="B1025" s="2">
        <v>456.49</v>
      </c>
      <c r="C1025" s="3" t="s">
        <v>613</v>
      </c>
      <c r="D1025" s="4" t="str">
        <f t="array" ref="D1025">XLOOKUP(Hoja5!A1025,Agregado!B1512:B2533,Agregado!G1025:G2533)</f>
        <v>#N/A</v>
      </c>
    </row>
    <row r="1026" ht="15.75" customHeight="1">
      <c r="A1026" s="12">
        <v>44580.0</v>
      </c>
      <c r="B1026" s="2">
        <v>451.75</v>
      </c>
      <c r="C1026" s="3" t="s">
        <v>614</v>
      </c>
      <c r="D1026" s="4" t="str">
        <f t="array" ref="D1026">XLOOKUP(Hoja5!A1026,Agregado!B1512:B2534,Agregado!G1026:G2534)</f>
        <v>#N/A</v>
      </c>
    </row>
    <row r="1027" ht="15.75" customHeight="1">
      <c r="A1027" s="12">
        <v>44581.0</v>
      </c>
      <c r="B1027" s="2">
        <v>446.75</v>
      </c>
      <c r="C1027" s="3" t="s">
        <v>615</v>
      </c>
      <c r="D1027" s="4" t="str">
        <f t="array" ref="D1027">XLOOKUP(Hoja5!A1027,Agregado!B1512:B2535,Agregado!G1027:G2535)</f>
        <v>#N/A</v>
      </c>
    </row>
    <row r="1028" ht="15.75" customHeight="1">
      <c r="A1028" s="12">
        <v>44582.0</v>
      </c>
      <c r="B1028" s="2">
        <v>437.98</v>
      </c>
      <c r="C1028" s="3" t="s">
        <v>616</v>
      </c>
      <c r="D1028" s="4" t="str">
        <f t="array" ref="D1028">XLOOKUP(Hoja5!A1028,Agregado!B1512:B2536,Agregado!G1028:G2536)</f>
        <v>#N/A</v>
      </c>
    </row>
    <row r="1029" ht="15.75" customHeight="1">
      <c r="A1029" s="12">
        <v>44585.0</v>
      </c>
      <c r="B1029" s="2">
        <v>439.84</v>
      </c>
      <c r="C1029" s="3" t="s">
        <v>617</v>
      </c>
      <c r="D1029" s="4" t="str">
        <f t="array" ref="D1029">XLOOKUP(Hoja5!A1029,Agregado!B1512:B2537,Agregado!G1029:G2537)</f>
        <v>#N/A</v>
      </c>
    </row>
    <row r="1030" ht="15.75" customHeight="1">
      <c r="A1030" s="12">
        <v>44586.0</v>
      </c>
      <c r="B1030" s="2">
        <v>434.47</v>
      </c>
      <c r="C1030" s="3" t="s">
        <v>618</v>
      </c>
      <c r="D1030" s="4" t="str">
        <f t="array" ref="D1030">XLOOKUP(Hoja5!A1030,Agregado!B1512:B2538,Agregado!G1030:G2538)</f>
        <v>#N/A</v>
      </c>
    </row>
    <row r="1031" ht="15.75" customHeight="1">
      <c r="A1031" s="12">
        <v>44587.0</v>
      </c>
      <c r="B1031" s="2">
        <v>433.38</v>
      </c>
      <c r="C1031" s="3" t="s">
        <v>619</v>
      </c>
      <c r="D1031" s="4" t="str">
        <f t="array" ref="D1031">XLOOKUP(Hoja5!A1031,Agregado!B1512:B2539,Agregado!G1031:G2539)</f>
        <v>#N/A</v>
      </c>
    </row>
    <row r="1032" ht="15.75" customHeight="1">
      <c r="A1032" s="12">
        <v>44588.0</v>
      </c>
      <c r="B1032" s="2">
        <v>431.24</v>
      </c>
      <c r="C1032" s="3" t="s">
        <v>620</v>
      </c>
      <c r="D1032" s="4" t="str">
        <f t="array" ref="D1032">XLOOKUP(Hoja5!A1032,Agregado!B1512:B2540,Agregado!G1032:G2540)</f>
        <v>#N/A</v>
      </c>
    </row>
    <row r="1033" ht="15.75" customHeight="1">
      <c r="A1033" s="12">
        <v>44589.0</v>
      </c>
      <c r="B1033" s="2">
        <v>441.95</v>
      </c>
      <c r="C1033" s="3" t="s">
        <v>621</v>
      </c>
      <c r="D1033" s="4" t="str">
        <f t="array" ref="D1033">XLOOKUP(Hoja5!A1033,Agregado!B1512:B2541,Agregado!G1033:G2541)</f>
        <v>#N/A</v>
      </c>
    </row>
    <row r="1034" ht="15.75" customHeight="1">
      <c r="A1034" s="12">
        <v>44592.0</v>
      </c>
      <c r="B1034" s="2">
        <v>449.91</v>
      </c>
      <c r="C1034" s="3" t="s">
        <v>622</v>
      </c>
      <c r="D1034" s="4" t="str">
        <f t="array" ref="D1034">XLOOKUP(Hoja5!A1034,Agregado!B1512:B2542,Agregado!G1034:G2542)</f>
        <v>#N/A</v>
      </c>
    </row>
    <row r="1035" ht="15.75" customHeight="1">
      <c r="A1035" s="12">
        <v>44593.0</v>
      </c>
      <c r="B1035" s="2">
        <v>452.95</v>
      </c>
      <c r="C1035" s="3">
        <v>44563.0</v>
      </c>
      <c r="D1035" s="4" t="str">
        <f t="array" ref="D1035">XLOOKUP(Hoja5!A1035,Agregado!B1512:B2543,Agregado!G1035:G2543)</f>
        <v>#N/A</v>
      </c>
    </row>
    <row r="1036" ht="15.75" customHeight="1">
      <c r="A1036" s="12">
        <v>44594.0</v>
      </c>
      <c r="B1036" s="2">
        <v>457.35</v>
      </c>
      <c r="C1036" s="3">
        <v>44594.0</v>
      </c>
      <c r="D1036" s="4" t="str">
        <f t="array" ref="D1036">XLOOKUP(Hoja5!A1036,Agregado!B1512:B2544,Agregado!G1036:G2544)</f>
        <v>#N/A</v>
      </c>
    </row>
    <row r="1037" ht="15.75" customHeight="1">
      <c r="A1037" s="12">
        <v>44595.0</v>
      </c>
      <c r="B1037" s="2">
        <v>446.6</v>
      </c>
      <c r="C1037" s="3">
        <v>44622.0</v>
      </c>
      <c r="D1037" s="4" t="str">
        <f t="array" ref="D1037">XLOOKUP(Hoja5!A1037,Agregado!B1512:B2545,Agregado!G1037:G2545)</f>
        <v>#N/A</v>
      </c>
    </row>
    <row r="1038" ht="15.75" customHeight="1">
      <c r="A1038" s="12">
        <v>44596.0</v>
      </c>
      <c r="B1038" s="2">
        <v>448.7</v>
      </c>
      <c r="C1038" s="3">
        <v>44653.0</v>
      </c>
      <c r="D1038" s="4" t="str">
        <f t="array" ref="D1038">XLOOKUP(Hoja5!A1038,Agregado!B1512:B2546,Agregado!G1038:G2546)</f>
        <v>#N/A</v>
      </c>
    </row>
    <row r="1039" ht="15.75" customHeight="1">
      <c r="A1039" s="12">
        <v>44599.0</v>
      </c>
      <c r="B1039" s="2">
        <v>447.26</v>
      </c>
      <c r="C1039" s="3">
        <v>44744.0</v>
      </c>
      <c r="D1039" s="4" t="str">
        <f t="array" ref="D1039">XLOOKUP(Hoja5!A1039,Agregado!B1512:B2547,Agregado!G1039:G2547)</f>
        <v>#N/A</v>
      </c>
    </row>
    <row r="1040" ht="15.75" customHeight="1">
      <c r="A1040" s="12">
        <v>44600.0</v>
      </c>
      <c r="B1040" s="2">
        <v>450.94</v>
      </c>
      <c r="C1040" s="3">
        <v>44775.0</v>
      </c>
      <c r="D1040" s="4" t="str">
        <f t="array" ref="D1040">XLOOKUP(Hoja5!A1040,Agregado!B1512:B2548,Agregado!G1040:G2548)</f>
        <v>#N/A</v>
      </c>
    </row>
    <row r="1041" ht="15.75" customHeight="1">
      <c r="A1041" s="12">
        <v>44601.0</v>
      </c>
      <c r="B1041" s="2">
        <v>457.54</v>
      </c>
      <c r="C1041" s="3">
        <v>44806.0</v>
      </c>
      <c r="D1041" s="4" t="str">
        <f t="array" ref="D1041">XLOOKUP(Hoja5!A1041,Agregado!B1512:B2549,Agregado!G1041:G2549)</f>
        <v>#N/A</v>
      </c>
    </row>
    <row r="1042" ht="15.75" customHeight="1">
      <c r="A1042" s="12">
        <v>44602.0</v>
      </c>
      <c r="B1042" s="2">
        <v>449.32</v>
      </c>
      <c r="C1042" s="3">
        <v>44836.0</v>
      </c>
      <c r="D1042" s="4" t="str">
        <f t="array" ref="D1042">XLOOKUP(Hoja5!A1042,Agregado!B1512:B2550,Agregado!G1042:G2550)</f>
        <v>#N/A</v>
      </c>
    </row>
    <row r="1043" ht="15.75" customHeight="1">
      <c r="A1043" s="12">
        <v>44603.0</v>
      </c>
      <c r="B1043" s="2">
        <v>440.46</v>
      </c>
      <c r="C1043" s="3">
        <v>44867.0</v>
      </c>
      <c r="D1043" s="4" t="str">
        <f t="array" ref="D1043">XLOOKUP(Hoja5!A1043,Agregado!B1512:B2551,Agregado!G1043:G2551)</f>
        <v>#N/A</v>
      </c>
    </row>
    <row r="1044" ht="15.75" customHeight="1">
      <c r="A1044" s="12">
        <v>44606.0</v>
      </c>
      <c r="B1044" s="2">
        <v>439.02</v>
      </c>
      <c r="C1044" s="3" t="s">
        <v>623</v>
      </c>
      <c r="D1044" s="4" t="str">
        <f t="array" ref="D1044">XLOOKUP(Hoja5!A1044,Agregado!B1512:B2552,Agregado!G1044:G2552)</f>
        <v>#N/A</v>
      </c>
    </row>
    <row r="1045" ht="15.75" customHeight="1">
      <c r="A1045" s="12">
        <v>44607.0</v>
      </c>
      <c r="B1045" s="2">
        <v>446.1</v>
      </c>
      <c r="C1045" s="3" t="s">
        <v>624</v>
      </c>
      <c r="D1045" s="4" t="str">
        <f t="array" ref="D1045">XLOOKUP(Hoja5!A1045,Agregado!B1512:B2553,Agregado!G1045:G2553)</f>
        <v>#N/A</v>
      </c>
    </row>
    <row r="1046" ht="15.75" customHeight="1">
      <c r="A1046" s="12">
        <v>44608.0</v>
      </c>
      <c r="B1046" s="2">
        <v>446.6</v>
      </c>
      <c r="C1046" s="3" t="s">
        <v>625</v>
      </c>
      <c r="D1046" s="4" t="str">
        <f t="array" ref="D1046">XLOOKUP(Hoja5!A1046,Agregado!B1512:B2554,Agregado!G1046:G2554)</f>
        <v>#N/A</v>
      </c>
    </row>
    <row r="1047" ht="15.75" customHeight="1">
      <c r="A1047" s="12">
        <v>44609.0</v>
      </c>
      <c r="B1047" s="2">
        <v>437.06</v>
      </c>
      <c r="C1047" s="3" t="s">
        <v>626</v>
      </c>
      <c r="D1047" s="4" t="str">
        <f t="array" ref="D1047">XLOOKUP(Hoja5!A1047,Agregado!B1512:B2555,Agregado!G1047:G2555)</f>
        <v>#N/A</v>
      </c>
    </row>
    <row r="1048" ht="15.75" customHeight="1">
      <c r="A1048" s="12">
        <v>44610.0</v>
      </c>
      <c r="B1048" s="2">
        <v>434.23</v>
      </c>
      <c r="C1048" s="3" t="s">
        <v>627</v>
      </c>
      <c r="D1048" s="4" t="str">
        <f t="array" ref="D1048">XLOOKUP(Hoja5!A1048,Agregado!B1512:B2556,Agregado!G1048:G2556)</f>
        <v>#N/A</v>
      </c>
    </row>
    <row r="1049" ht="15.75" customHeight="1">
      <c r="A1049" s="12">
        <v>44614.0</v>
      </c>
      <c r="B1049" s="2">
        <v>429.57</v>
      </c>
      <c r="C1049" s="3" t="s">
        <v>628</v>
      </c>
      <c r="D1049" s="4" t="str">
        <f t="array" ref="D1049">XLOOKUP(Hoja5!A1049,Agregado!B1512:B2557,Agregado!G1049:G2557)</f>
        <v>#N/A</v>
      </c>
    </row>
    <row r="1050" ht="15.75" customHeight="1">
      <c r="A1050" s="12">
        <v>44615.0</v>
      </c>
      <c r="B1050" s="2">
        <v>421.95</v>
      </c>
      <c r="C1050" s="3" t="s">
        <v>629</v>
      </c>
      <c r="D1050" s="4" t="str">
        <f t="array" ref="D1050">XLOOKUP(Hoja5!A1050,Agregado!B1512:B2558,Agregado!G1050:G2558)</f>
        <v>#N/A</v>
      </c>
    </row>
    <row r="1051" ht="15.75" customHeight="1">
      <c r="A1051" s="12">
        <v>44616.0</v>
      </c>
      <c r="B1051" s="2">
        <v>428.3</v>
      </c>
      <c r="C1051" s="3" t="s">
        <v>630</v>
      </c>
      <c r="D1051" s="4" t="str">
        <f t="array" ref="D1051">XLOOKUP(Hoja5!A1051,Agregado!B1512:B2559,Agregado!G1051:G2559)</f>
        <v>#N/A</v>
      </c>
    </row>
    <row r="1052" ht="15.75" customHeight="1">
      <c r="A1052" s="12">
        <v>44617.0</v>
      </c>
      <c r="B1052" s="2">
        <v>437.75</v>
      </c>
      <c r="C1052" s="3" t="s">
        <v>631</v>
      </c>
      <c r="D1052" s="4" t="str">
        <f t="array" ref="D1052">XLOOKUP(Hoja5!A1052,Agregado!B1512:B2560,Agregado!G1052:G2560)</f>
        <v>#N/A</v>
      </c>
    </row>
    <row r="1053" ht="15.75" customHeight="1">
      <c r="A1053" s="12">
        <v>44620.0</v>
      </c>
      <c r="B1053" s="2">
        <v>436.63</v>
      </c>
      <c r="C1053" s="3" t="s">
        <v>632</v>
      </c>
      <c r="D1053" s="4" t="str">
        <f t="array" ref="D1053">XLOOKUP(Hoja5!A1053,Agregado!B1512:B2561,Agregado!G1053:G2561)</f>
        <v>#N/A</v>
      </c>
    </row>
    <row r="1054" ht="15.75" customHeight="1">
      <c r="A1054" s="12">
        <v>44621.0</v>
      </c>
      <c r="B1054" s="2">
        <v>429.98</v>
      </c>
      <c r="C1054" s="3">
        <v>44564.0</v>
      </c>
      <c r="D1054" s="4" t="str">
        <f t="array" ref="D1054">XLOOKUP(Hoja5!A1054,Agregado!B1512:B2562,Agregado!G1054:G2562)</f>
        <v>#N/A</v>
      </c>
    </row>
    <row r="1055" ht="15.75" customHeight="1">
      <c r="A1055" s="12">
        <v>44622.0</v>
      </c>
      <c r="B1055" s="2">
        <v>437.89</v>
      </c>
      <c r="C1055" s="3">
        <v>44595.0</v>
      </c>
      <c r="D1055" s="4" t="str">
        <f t="array" ref="D1055">XLOOKUP(Hoja5!A1055,Agregado!B1512:B2563,Agregado!G1055:G2563)</f>
        <v>#N/A</v>
      </c>
    </row>
    <row r="1056" ht="15.75" customHeight="1">
      <c r="A1056" s="12">
        <v>44623.0</v>
      </c>
      <c r="B1056" s="2">
        <v>435.71</v>
      </c>
      <c r="C1056" s="3">
        <v>44623.0</v>
      </c>
      <c r="D1056" s="4" t="str">
        <f t="array" ref="D1056">XLOOKUP(Hoja5!A1056,Agregado!B1512:B2564,Agregado!G1056:G2564)</f>
        <v>#N/A</v>
      </c>
    </row>
    <row r="1057" ht="15.75" customHeight="1">
      <c r="A1057" s="12">
        <v>44624.0</v>
      </c>
      <c r="B1057" s="2">
        <v>432.17</v>
      </c>
      <c r="C1057" s="3">
        <v>44654.0</v>
      </c>
      <c r="D1057" s="4" t="str">
        <f t="array" ref="D1057">XLOOKUP(Hoja5!A1057,Agregado!B1512:B2565,Agregado!G1057:G2565)</f>
        <v>#N/A</v>
      </c>
    </row>
    <row r="1058" ht="15.75" customHeight="1">
      <c r="A1058" s="12">
        <v>44627.0</v>
      </c>
      <c r="B1058" s="2">
        <v>419.43</v>
      </c>
      <c r="C1058" s="3">
        <v>44745.0</v>
      </c>
      <c r="D1058" s="4" t="str">
        <f t="array" ref="D1058">XLOOKUP(Hoja5!A1058,Agregado!B1512:B2566,Agregado!G1058:G2566)</f>
        <v>#N/A</v>
      </c>
    </row>
    <row r="1059" ht="15.75" customHeight="1">
      <c r="A1059" s="12">
        <v>44628.0</v>
      </c>
      <c r="B1059" s="2">
        <v>416.25</v>
      </c>
      <c r="C1059" s="3">
        <v>44776.0</v>
      </c>
      <c r="D1059" s="4" t="str">
        <f t="array" ref="D1059">XLOOKUP(Hoja5!A1059,Agregado!B1512:B2567,Agregado!G1059:G2567)</f>
        <v>#N/A</v>
      </c>
    </row>
    <row r="1060" ht="15.75" customHeight="1">
      <c r="A1060" s="12">
        <v>44629.0</v>
      </c>
      <c r="B1060" s="2">
        <v>427.41</v>
      </c>
      <c r="C1060" s="3">
        <v>44807.0</v>
      </c>
      <c r="D1060" s="4" t="str">
        <f t="array" ref="D1060">XLOOKUP(Hoja5!A1060,Agregado!B1512:B2568,Agregado!G1060:G2568)</f>
        <v>#N/A</v>
      </c>
    </row>
    <row r="1061" ht="15.75" customHeight="1">
      <c r="A1061" s="12">
        <v>44630.0</v>
      </c>
      <c r="B1061" s="2">
        <v>425.48</v>
      </c>
      <c r="C1061" s="3">
        <v>44837.0</v>
      </c>
      <c r="D1061" s="4" t="str">
        <f t="array" ref="D1061">XLOOKUP(Hoja5!A1061,Agregado!B1512:B2569,Agregado!G1061:G2569)</f>
        <v>#N/A</v>
      </c>
    </row>
    <row r="1062" ht="15.75" customHeight="1">
      <c r="A1062" s="12">
        <v>44631.0</v>
      </c>
      <c r="B1062" s="2">
        <v>420.07</v>
      </c>
      <c r="C1062" s="3">
        <v>44868.0</v>
      </c>
      <c r="D1062" s="4" t="str">
        <f t="array" ref="D1062">XLOOKUP(Hoja5!A1062,Agregado!B1512:B2570,Agregado!G1062:G2570)</f>
        <v>#N/A</v>
      </c>
    </row>
    <row r="1063" ht="15.75" customHeight="1">
      <c r="A1063" s="12">
        <v>44634.0</v>
      </c>
      <c r="B1063" s="2">
        <v>417.0</v>
      </c>
      <c r="C1063" s="3" t="s">
        <v>633</v>
      </c>
      <c r="D1063" s="4" t="str">
        <f t="array" ref="D1063">XLOOKUP(Hoja5!A1063,Agregado!B1512:B2571,Agregado!G1063:G2571)</f>
        <v>#N/A</v>
      </c>
    </row>
    <row r="1064" ht="15.75" customHeight="1">
      <c r="A1064" s="12">
        <v>44635.0</v>
      </c>
      <c r="B1064" s="2">
        <v>426.17</v>
      </c>
      <c r="C1064" s="3" t="s">
        <v>634</v>
      </c>
      <c r="D1064" s="4" t="str">
        <f t="array" ref="D1064">XLOOKUP(Hoja5!A1064,Agregado!B1512:B2572,Agregado!G1064:G2572)</f>
        <v>#N/A</v>
      </c>
    </row>
    <row r="1065" ht="15.75" customHeight="1">
      <c r="A1065" s="12">
        <v>44636.0</v>
      </c>
      <c r="B1065" s="2">
        <v>435.62</v>
      </c>
      <c r="C1065" s="3" t="s">
        <v>635</v>
      </c>
      <c r="D1065" s="4" t="str">
        <f t="array" ref="D1065">XLOOKUP(Hoja5!A1065,Agregado!B1512:B2573,Agregado!G1065:G2573)</f>
        <v>#N/A</v>
      </c>
    </row>
    <row r="1066" ht="15.75" customHeight="1">
      <c r="A1066" s="12">
        <v>44637.0</v>
      </c>
      <c r="B1066" s="2">
        <v>441.07</v>
      </c>
      <c r="C1066" s="3" t="s">
        <v>636</v>
      </c>
      <c r="D1066" s="4" t="str">
        <f t="array" ref="D1066">XLOOKUP(Hoja5!A1066,Agregado!B1512:B2574,Agregado!G1066:G2574)</f>
        <v>#N/A</v>
      </c>
    </row>
    <row r="1067" ht="15.75" customHeight="1">
      <c r="A1067" s="12">
        <v>44638.0</v>
      </c>
      <c r="B1067" s="2">
        <v>444.52</v>
      </c>
      <c r="C1067" s="3" t="s">
        <v>637</v>
      </c>
      <c r="D1067" s="4" t="str">
        <f t="array" ref="D1067">XLOOKUP(Hoja5!A1067,Agregado!B1512:B2575,Agregado!G1067:G2575)</f>
        <v>#N/A</v>
      </c>
    </row>
    <row r="1068" ht="15.75" customHeight="1">
      <c r="A1068" s="12">
        <v>44641.0</v>
      </c>
      <c r="B1068" s="2">
        <v>444.39</v>
      </c>
      <c r="C1068" s="3" t="s">
        <v>638</v>
      </c>
      <c r="D1068" s="4" t="str">
        <f t="array" ref="D1068">XLOOKUP(Hoja5!A1068,Agregado!B1512:B2576,Agregado!G1068:G2576)</f>
        <v>#N/A</v>
      </c>
    </row>
    <row r="1069" ht="15.75" customHeight="1">
      <c r="A1069" s="12">
        <v>44642.0</v>
      </c>
      <c r="B1069" s="2">
        <v>449.59</v>
      </c>
      <c r="C1069" s="3" t="s">
        <v>639</v>
      </c>
      <c r="D1069" s="4" t="str">
        <f t="array" ref="D1069">XLOOKUP(Hoja5!A1069,Agregado!B1512:B2577,Agregado!G1069:G2577)</f>
        <v>#N/A</v>
      </c>
    </row>
    <row r="1070" ht="15.75" customHeight="1">
      <c r="A1070" s="12">
        <v>44643.0</v>
      </c>
      <c r="B1070" s="2">
        <v>443.8</v>
      </c>
      <c r="C1070" s="3" t="s">
        <v>640</v>
      </c>
      <c r="D1070" s="4" t="str">
        <f t="array" ref="D1070">XLOOKUP(Hoja5!A1070,Agregado!B1512:B2578,Agregado!G1070:G2578)</f>
        <v>#N/A</v>
      </c>
    </row>
    <row r="1071" ht="15.75" customHeight="1">
      <c r="A1071" s="12">
        <v>44644.0</v>
      </c>
      <c r="B1071" s="2">
        <v>450.49</v>
      </c>
      <c r="C1071" s="3" t="s">
        <v>641</v>
      </c>
      <c r="D1071" s="4" t="str">
        <f t="array" ref="D1071">XLOOKUP(Hoja5!A1071,Agregado!B1512:B2579,Agregado!G1071:G2579)</f>
        <v>#N/A</v>
      </c>
    </row>
    <row r="1072" ht="15.75" customHeight="1">
      <c r="A1072" s="12">
        <v>44645.0</v>
      </c>
      <c r="B1072" s="2">
        <v>452.69</v>
      </c>
      <c r="C1072" s="3" t="s">
        <v>642</v>
      </c>
      <c r="D1072" s="4" t="str">
        <f t="array" ref="D1072">XLOOKUP(Hoja5!A1072,Agregado!B1512:B2580,Agregado!G1072:G2580)</f>
        <v>#N/A</v>
      </c>
    </row>
    <row r="1073" ht="15.75" customHeight="1">
      <c r="A1073" s="12">
        <v>44648.0</v>
      </c>
      <c r="B1073" s="2">
        <v>455.91</v>
      </c>
      <c r="C1073" s="3" t="s">
        <v>643</v>
      </c>
      <c r="D1073" s="4" t="str">
        <f t="array" ref="D1073">XLOOKUP(Hoja5!A1073,Agregado!B1512:B2581,Agregado!G1073:G2581)</f>
        <v>#N/A</v>
      </c>
    </row>
    <row r="1074" ht="15.75" customHeight="1">
      <c r="A1074" s="12">
        <v>44649.0</v>
      </c>
      <c r="B1074" s="2">
        <v>461.55</v>
      </c>
      <c r="C1074" s="3" t="s">
        <v>644</v>
      </c>
      <c r="D1074" s="4" t="str">
        <f t="array" ref="D1074">XLOOKUP(Hoja5!A1074,Agregado!B1512:B2582,Agregado!G1074:G2582)</f>
        <v>#N/A</v>
      </c>
    </row>
    <row r="1075" ht="15.75" customHeight="1">
      <c r="A1075" s="12">
        <v>44650.0</v>
      </c>
      <c r="B1075" s="2">
        <v>458.7</v>
      </c>
      <c r="C1075" s="3" t="s">
        <v>645</v>
      </c>
      <c r="D1075" s="4" t="str">
        <f t="array" ref="D1075">XLOOKUP(Hoja5!A1075,Agregado!B1512:B2583,Agregado!G1075:G2583)</f>
        <v>#N/A</v>
      </c>
    </row>
    <row r="1076" ht="15.75" customHeight="1">
      <c r="A1076" s="12">
        <v>44651.0</v>
      </c>
      <c r="B1076" s="2">
        <v>451.64</v>
      </c>
      <c r="C1076" s="3" t="s">
        <v>646</v>
      </c>
      <c r="D1076" s="4" t="str">
        <f t="array" ref="D1076">XLOOKUP(Hoja5!A1076,Agregado!B1512:B2584,Agregado!G1076:G2584)</f>
        <v>#N/A</v>
      </c>
    </row>
    <row r="1077" ht="15.75" customHeight="1">
      <c r="A1077" s="12">
        <v>44652.0</v>
      </c>
      <c r="B1077" s="2">
        <v>452.92</v>
      </c>
      <c r="C1077" s="3">
        <v>44565.0</v>
      </c>
      <c r="D1077" s="4" t="str">
        <f t="array" ref="D1077">XLOOKUP(Hoja5!A1077,Agregado!B1512:B2585,Agregado!G1077:G2585)</f>
        <v>#N/A</v>
      </c>
    </row>
    <row r="1078" ht="15.75" customHeight="1">
      <c r="A1078" s="12">
        <v>44655.0</v>
      </c>
      <c r="B1078" s="2">
        <v>456.8</v>
      </c>
      <c r="C1078" s="3">
        <v>44655.0</v>
      </c>
      <c r="D1078" s="4" t="str">
        <f t="array" ref="D1078">XLOOKUP(Hoja5!A1078,Agregado!B1512:B2586,Agregado!G1078:G2586)</f>
        <v>#N/A</v>
      </c>
    </row>
    <row r="1079" ht="15.75" customHeight="1">
      <c r="A1079" s="12">
        <v>44656.0</v>
      </c>
      <c r="B1079" s="2">
        <v>451.03</v>
      </c>
      <c r="C1079" s="3">
        <v>44685.0</v>
      </c>
      <c r="D1079" s="4" t="str">
        <f t="array" ref="D1079">XLOOKUP(Hoja5!A1079,Agregado!B1512:B2587,Agregado!G1079:G2587)</f>
        <v>#N/A</v>
      </c>
    </row>
    <row r="1080" ht="15.75" customHeight="1">
      <c r="A1080" s="12">
        <v>44657.0</v>
      </c>
      <c r="B1080" s="2">
        <v>446.52</v>
      </c>
      <c r="C1080" s="3">
        <v>44716.0</v>
      </c>
      <c r="D1080" s="4" t="str">
        <f t="array" ref="D1080">XLOOKUP(Hoja5!A1080,Agregado!B1512:B2588,Agregado!G1080:G2588)</f>
        <v>#N/A</v>
      </c>
    </row>
    <row r="1081" ht="15.75" customHeight="1">
      <c r="A1081" s="12">
        <v>44658.0</v>
      </c>
      <c r="B1081" s="2">
        <v>448.77</v>
      </c>
      <c r="C1081" s="3">
        <v>44746.0</v>
      </c>
      <c r="D1081" s="4" t="str">
        <f t="array" ref="D1081">XLOOKUP(Hoja5!A1081,Agregado!B1512:B2589,Agregado!G1081:G2589)</f>
        <v>#N/A</v>
      </c>
    </row>
    <row r="1082" ht="15.75" customHeight="1">
      <c r="A1082" s="12">
        <v>44659.0</v>
      </c>
      <c r="B1082" s="2">
        <v>447.57</v>
      </c>
      <c r="C1082" s="3">
        <v>44777.0</v>
      </c>
      <c r="D1082" s="4" t="str">
        <f t="array" ref="D1082">XLOOKUP(Hoja5!A1082,Agregado!B1512:B2590,Agregado!G1082:G2590)</f>
        <v>#N/A</v>
      </c>
    </row>
    <row r="1083" ht="15.75" customHeight="1">
      <c r="A1083" s="12">
        <v>44662.0</v>
      </c>
      <c r="B1083" s="2">
        <v>439.92</v>
      </c>
      <c r="C1083" s="3">
        <v>44869.0</v>
      </c>
      <c r="D1083" s="4" t="str">
        <f t="array" ref="D1083">XLOOKUP(Hoja5!A1083,Agregado!B1512:B2591,Agregado!G1083:G2591)</f>
        <v>#N/A</v>
      </c>
    </row>
    <row r="1084" ht="15.75" customHeight="1">
      <c r="A1084" s="12">
        <v>44663.0</v>
      </c>
      <c r="B1084" s="2">
        <v>438.29</v>
      </c>
      <c r="C1084" s="3">
        <v>44899.0</v>
      </c>
      <c r="D1084" s="4" t="str">
        <f t="array" ref="D1084">XLOOKUP(Hoja5!A1084,Agregado!B1512:B2592,Agregado!G1084:G2592)</f>
        <v>#N/A</v>
      </c>
    </row>
    <row r="1085" ht="15.75" customHeight="1">
      <c r="A1085" s="12">
        <v>44664.0</v>
      </c>
      <c r="B1085" s="2">
        <v>443.31</v>
      </c>
      <c r="C1085" s="3" t="s">
        <v>647</v>
      </c>
      <c r="D1085" s="4" t="str">
        <f t="array" ref="D1085">XLOOKUP(Hoja5!A1085,Agregado!B1512:B2593,Agregado!G1085:G2593)</f>
        <v>#N/A</v>
      </c>
    </row>
    <row r="1086" ht="15.75" customHeight="1">
      <c r="A1086" s="12">
        <v>44665.0</v>
      </c>
      <c r="B1086" s="2">
        <v>437.79</v>
      </c>
      <c r="C1086" s="3" t="s">
        <v>648</v>
      </c>
      <c r="D1086" s="4" t="str">
        <f t="array" ref="D1086">XLOOKUP(Hoja5!A1086,Agregado!B1512:B2594,Agregado!G1086:G2594)</f>
        <v>#N/A</v>
      </c>
    </row>
    <row r="1087" ht="15.75" customHeight="1">
      <c r="A1087" s="12">
        <v>44669.0</v>
      </c>
      <c r="B1087" s="2">
        <v>437.97</v>
      </c>
      <c r="C1087" s="3" t="s">
        <v>649</v>
      </c>
      <c r="D1087" s="4" t="str">
        <f t="array" ref="D1087">XLOOKUP(Hoja5!A1087,Agregado!B1512:B2595,Agregado!G1087:G2595)</f>
        <v>#N/A</v>
      </c>
    </row>
    <row r="1088" ht="15.75" customHeight="1">
      <c r="A1088" s="12">
        <v>44670.0</v>
      </c>
      <c r="B1088" s="2">
        <v>445.04</v>
      </c>
      <c r="C1088" s="3" t="s">
        <v>650</v>
      </c>
      <c r="D1088" s="4" t="str">
        <f t="array" ref="D1088">XLOOKUP(Hoja5!A1088,Agregado!B1512:B2596,Agregado!G1088:G2596)</f>
        <v>#N/A</v>
      </c>
    </row>
    <row r="1089" ht="15.75" customHeight="1">
      <c r="A1089" s="12">
        <v>44671.0</v>
      </c>
      <c r="B1089" s="2">
        <v>444.71</v>
      </c>
      <c r="C1089" s="3" t="s">
        <v>651</v>
      </c>
      <c r="D1089" s="4" t="str">
        <f t="array" ref="D1089">XLOOKUP(Hoja5!A1089,Agregado!B1512:B2597,Agregado!G1089:G2597)</f>
        <v>#N/A</v>
      </c>
    </row>
    <row r="1090" ht="15.75" customHeight="1">
      <c r="A1090" s="12">
        <v>44672.0</v>
      </c>
      <c r="B1090" s="2">
        <v>438.06</v>
      </c>
      <c r="C1090" s="3" t="s">
        <v>652</v>
      </c>
      <c r="D1090" s="4" t="str">
        <f t="array" ref="D1090">XLOOKUP(Hoja5!A1090,Agregado!B1512:B2598,Agregado!G1090:G2598)</f>
        <v>#N/A</v>
      </c>
    </row>
    <row r="1091" ht="15.75" customHeight="1">
      <c r="A1091" s="12">
        <v>44673.0</v>
      </c>
      <c r="B1091" s="2">
        <v>426.04</v>
      </c>
      <c r="C1091" s="3" t="s">
        <v>653</v>
      </c>
      <c r="D1091" s="4" t="str">
        <f t="array" ref="D1091">XLOOKUP(Hoja5!A1091,Agregado!B1512:B2599,Agregado!G1091:G2599)</f>
        <v>#N/A</v>
      </c>
    </row>
    <row r="1092" ht="15.75" customHeight="1">
      <c r="A1092" s="12">
        <v>44676.0</v>
      </c>
      <c r="B1092" s="2">
        <v>428.51</v>
      </c>
      <c r="C1092" s="3" t="s">
        <v>654</v>
      </c>
      <c r="D1092" s="4" t="str">
        <f t="array" ref="D1092">XLOOKUP(Hoja5!A1092,Agregado!B1512:B2600,Agregado!G1092:G2600)</f>
        <v>#N/A</v>
      </c>
    </row>
    <row r="1093" ht="15.75" customHeight="1">
      <c r="A1093" s="12">
        <v>44677.0</v>
      </c>
      <c r="B1093" s="2">
        <v>416.1</v>
      </c>
      <c r="C1093" s="3" t="s">
        <v>655</v>
      </c>
      <c r="D1093" s="4" t="str">
        <f t="array" ref="D1093">XLOOKUP(Hoja5!A1093,Agregado!B1512:B2601,Agregado!G1093:G2601)</f>
        <v>#N/A</v>
      </c>
    </row>
    <row r="1094" ht="15.75" customHeight="1">
      <c r="A1094" s="12">
        <v>44678.0</v>
      </c>
      <c r="B1094" s="2">
        <v>417.27</v>
      </c>
      <c r="C1094" s="3" t="s">
        <v>656</v>
      </c>
      <c r="D1094" s="4" t="str">
        <f t="array" ref="D1094">XLOOKUP(Hoja5!A1094,Agregado!B1512:B2602,Agregado!G1094:G2602)</f>
        <v>#N/A</v>
      </c>
    </row>
    <row r="1095" ht="15.75" customHeight="1">
      <c r="A1095" s="12">
        <v>44679.0</v>
      </c>
      <c r="B1095" s="2">
        <v>427.81</v>
      </c>
      <c r="C1095" s="3" t="s">
        <v>657</v>
      </c>
      <c r="D1095" s="4" t="str">
        <f t="array" ref="D1095">XLOOKUP(Hoja5!A1095,Agregado!B1512:B2603,Agregado!G1095:G2603)</f>
        <v>#N/A</v>
      </c>
    </row>
    <row r="1096" ht="15.75" customHeight="1">
      <c r="A1096" s="12">
        <v>44680.0</v>
      </c>
      <c r="B1096" s="2">
        <v>412.0</v>
      </c>
      <c r="C1096" s="3" t="s">
        <v>658</v>
      </c>
      <c r="D1096" s="4" t="str">
        <f t="array" ref="D1096">XLOOKUP(Hoja5!A1096,Agregado!B1512:B2604,Agregado!G1096:G2604)</f>
        <v>#N/A</v>
      </c>
    </row>
    <row r="1097" ht="15.75" customHeight="1">
      <c r="A1097" s="12">
        <v>44683.0</v>
      </c>
      <c r="B1097" s="2">
        <v>414.48</v>
      </c>
      <c r="C1097" s="3">
        <v>44597.0</v>
      </c>
      <c r="D1097" s="4" t="str">
        <f t="array" ref="D1097">XLOOKUP(Hoja5!A1097,Agregado!B1512:B2605,Agregado!G1097:G2605)</f>
        <v>#N/A</v>
      </c>
    </row>
    <row r="1098" ht="15.75" customHeight="1">
      <c r="A1098" s="12">
        <v>44684.0</v>
      </c>
      <c r="B1098" s="2">
        <v>416.38</v>
      </c>
      <c r="C1098" s="3">
        <v>44625.0</v>
      </c>
      <c r="D1098" s="4" t="str">
        <f t="array" ref="D1098">XLOOKUP(Hoja5!A1098,Agregado!B1512:B2606,Agregado!G1098:G2606)</f>
        <v>#N/A</v>
      </c>
    </row>
    <row r="1099" ht="15.75" customHeight="1">
      <c r="A1099" s="12">
        <v>44685.0</v>
      </c>
      <c r="B1099" s="2">
        <v>429.06</v>
      </c>
      <c r="C1099" s="3">
        <v>44656.0</v>
      </c>
      <c r="D1099" s="4" t="str">
        <f t="array" ref="D1099">XLOOKUP(Hoja5!A1099,Agregado!B1512:B2607,Agregado!G1099:G2607)</f>
        <v>#N/A</v>
      </c>
    </row>
    <row r="1100" ht="15.75" customHeight="1">
      <c r="A1100" s="12">
        <v>44686.0</v>
      </c>
      <c r="B1100" s="2">
        <v>413.81</v>
      </c>
      <c r="C1100" s="3">
        <v>44686.0</v>
      </c>
      <c r="D1100" s="4" t="str">
        <f t="array" ref="D1100">XLOOKUP(Hoja5!A1100,Agregado!B1512:B2608,Agregado!G1100:G2608)</f>
        <v>#N/A</v>
      </c>
    </row>
    <row r="1101" ht="15.75" customHeight="1">
      <c r="A1101" s="12">
        <v>44687.0</v>
      </c>
      <c r="B1101" s="2">
        <v>411.34</v>
      </c>
      <c r="C1101" s="3">
        <v>44717.0</v>
      </c>
      <c r="D1101" s="4" t="str">
        <f t="array" ref="D1101">XLOOKUP(Hoja5!A1101,Agregado!B1512:B2609,Agregado!G1101:G2609)</f>
        <v>#N/A</v>
      </c>
    </row>
    <row r="1102" ht="15.75" customHeight="1">
      <c r="A1102" s="12">
        <v>44690.0</v>
      </c>
      <c r="B1102" s="2">
        <v>398.17</v>
      </c>
      <c r="C1102" s="3">
        <v>44809.0</v>
      </c>
      <c r="D1102" s="4" t="str">
        <f t="array" ref="D1102">XLOOKUP(Hoja5!A1102,Agregado!B1512:B2610,Agregado!G1102:G2610)</f>
        <v>#N/A</v>
      </c>
    </row>
    <row r="1103" ht="15.75" customHeight="1">
      <c r="A1103" s="12">
        <v>44691.0</v>
      </c>
      <c r="B1103" s="2">
        <v>399.09</v>
      </c>
      <c r="C1103" s="3">
        <v>44839.0</v>
      </c>
      <c r="D1103" s="4" t="str">
        <f t="array" ref="D1103">XLOOKUP(Hoja5!A1103,Agregado!B1512:B2611,Agregado!G1103:G2611)</f>
        <v>#N/A</v>
      </c>
    </row>
    <row r="1104" ht="15.75" customHeight="1">
      <c r="A1104" s="12">
        <v>44692.0</v>
      </c>
      <c r="B1104" s="2">
        <v>392.75</v>
      </c>
      <c r="C1104" s="3">
        <v>44870.0</v>
      </c>
      <c r="D1104" s="4" t="str">
        <f t="array" ref="D1104">XLOOKUP(Hoja5!A1104,Agregado!B1512:B2612,Agregado!G1104:G2612)</f>
        <v>#N/A</v>
      </c>
    </row>
    <row r="1105" ht="15.75" customHeight="1">
      <c r="A1105" s="12">
        <v>44693.0</v>
      </c>
      <c r="B1105" s="2">
        <v>392.34</v>
      </c>
      <c r="C1105" s="3">
        <v>44900.0</v>
      </c>
      <c r="D1105" s="4" t="str">
        <f t="array" ref="D1105">XLOOKUP(Hoja5!A1105,Agregado!B1512:B2613,Agregado!G1105:G2613)</f>
        <v>#N/A</v>
      </c>
    </row>
    <row r="1106" ht="15.75" customHeight="1">
      <c r="A1106" s="12">
        <v>44694.0</v>
      </c>
      <c r="B1106" s="2">
        <v>401.72</v>
      </c>
      <c r="C1106" s="3" t="s">
        <v>659</v>
      </c>
      <c r="D1106" s="4" t="str">
        <f t="array" ref="D1106">XLOOKUP(Hoja5!A1106,Agregado!B1512:B2614,Agregado!G1106:G2614)</f>
        <v>#N/A</v>
      </c>
    </row>
    <row r="1107" ht="15.75" customHeight="1">
      <c r="A1107" s="12">
        <v>44697.0</v>
      </c>
      <c r="B1107" s="2">
        <v>400.09</v>
      </c>
      <c r="C1107" s="3" t="s">
        <v>660</v>
      </c>
      <c r="D1107" s="4" t="str">
        <f t="array" ref="D1107">XLOOKUP(Hoja5!A1107,Agregado!B1512:B2615,Agregado!G1107:G2615)</f>
        <v>#N/A</v>
      </c>
    </row>
    <row r="1108" ht="15.75" customHeight="1">
      <c r="A1108" s="12">
        <v>44698.0</v>
      </c>
      <c r="B1108" s="2">
        <v>408.32</v>
      </c>
      <c r="C1108" s="3" t="s">
        <v>661</v>
      </c>
      <c r="D1108" s="4" t="str">
        <f t="array" ref="D1108">XLOOKUP(Hoja5!A1108,Agregado!B1512:B2616,Agregado!G1108:G2616)</f>
        <v>#N/A</v>
      </c>
    </row>
    <row r="1109" ht="15.75" customHeight="1">
      <c r="A1109" s="12">
        <v>44699.0</v>
      </c>
      <c r="B1109" s="2">
        <v>391.86</v>
      </c>
      <c r="C1109" s="3" t="s">
        <v>662</v>
      </c>
      <c r="D1109" s="4" t="str">
        <f t="array" ref="D1109">XLOOKUP(Hoja5!A1109,Agregado!B1512:B2617,Agregado!G1109:G2617)</f>
        <v>#N/A</v>
      </c>
    </row>
    <row r="1110" ht="15.75" customHeight="1">
      <c r="A1110" s="12">
        <v>44700.0</v>
      </c>
      <c r="B1110" s="2">
        <v>389.46</v>
      </c>
      <c r="C1110" s="3" t="s">
        <v>663</v>
      </c>
      <c r="D1110" s="4" t="str">
        <f t="array" ref="D1110">XLOOKUP(Hoja5!A1110,Agregado!B1512:B2618,Agregado!G1110:G2618)</f>
        <v>#N/A</v>
      </c>
    </row>
    <row r="1111" ht="15.75" customHeight="1">
      <c r="A1111" s="12">
        <v>44701.0</v>
      </c>
      <c r="B1111" s="2">
        <v>389.63</v>
      </c>
      <c r="C1111" s="3" t="s">
        <v>664</v>
      </c>
      <c r="D1111" s="4" t="str">
        <f t="array" ref="D1111">XLOOKUP(Hoja5!A1111,Agregado!B1512:B2619,Agregado!G1111:G2619)</f>
        <v>#N/A</v>
      </c>
    </row>
    <row r="1112" ht="15.75" customHeight="1">
      <c r="A1112" s="12">
        <v>44704.0</v>
      </c>
      <c r="B1112" s="2">
        <v>396.92</v>
      </c>
      <c r="C1112" s="3" t="s">
        <v>665</v>
      </c>
      <c r="D1112" s="4" t="str">
        <f t="array" ref="D1112">XLOOKUP(Hoja5!A1112,Agregado!B1512:B2620,Agregado!G1112:G2620)</f>
        <v>#N/A</v>
      </c>
    </row>
    <row r="1113" ht="15.75" customHeight="1">
      <c r="A1113" s="12">
        <v>44705.0</v>
      </c>
      <c r="B1113" s="2">
        <v>393.89</v>
      </c>
      <c r="C1113" s="3" t="s">
        <v>666</v>
      </c>
      <c r="D1113" s="4" t="str">
        <f t="array" ref="D1113">XLOOKUP(Hoja5!A1113,Agregado!B1512:B2621,Agregado!G1113:G2621)</f>
        <v>#N/A</v>
      </c>
    </row>
    <row r="1114" ht="15.75" customHeight="1">
      <c r="A1114" s="12">
        <v>44706.0</v>
      </c>
      <c r="B1114" s="2">
        <v>397.37</v>
      </c>
      <c r="C1114" s="3" t="s">
        <v>667</v>
      </c>
      <c r="D1114" s="4" t="str">
        <f t="array" ref="D1114">XLOOKUP(Hoja5!A1114,Agregado!B1512:B2622,Agregado!G1114:G2622)</f>
        <v>#N/A</v>
      </c>
    </row>
    <row r="1115" ht="15.75" customHeight="1">
      <c r="A1115" s="12">
        <v>44707.0</v>
      </c>
      <c r="B1115" s="2">
        <v>405.31</v>
      </c>
      <c r="C1115" s="3" t="s">
        <v>668</v>
      </c>
      <c r="D1115" s="4" t="str">
        <f t="array" ref="D1115">XLOOKUP(Hoja5!A1115,Agregado!B1512:B2623,Agregado!G1115:G2623)</f>
        <v>#N/A</v>
      </c>
    </row>
    <row r="1116" ht="15.75" customHeight="1">
      <c r="A1116" s="12">
        <v>44708.0</v>
      </c>
      <c r="B1116" s="2">
        <v>415.26</v>
      </c>
      <c r="C1116" s="3" t="s">
        <v>669</v>
      </c>
      <c r="D1116" s="4" t="str">
        <f t="array" ref="D1116">XLOOKUP(Hoja5!A1116,Agregado!B1512:B2624,Agregado!G1116:G2624)</f>
        <v>#N/A</v>
      </c>
    </row>
    <row r="1117" ht="15.75" customHeight="1">
      <c r="A1117" s="12">
        <v>44712.0</v>
      </c>
      <c r="B1117" s="2">
        <v>412.93</v>
      </c>
      <c r="C1117" s="3" t="s">
        <v>670</v>
      </c>
      <c r="D1117" s="4" t="str">
        <f t="array" ref="D1117">XLOOKUP(Hoja5!A1117,Agregado!B1512:B2625,Agregado!G1117:G2625)</f>
        <v>#N/A</v>
      </c>
    </row>
    <row r="1118" ht="15.75" customHeight="1">
      <c r="A1118" s="12">
        <v>44713.0</v>
      </c>
      <c r="B1118" s="2">
        <v>409.59</v>
      </c>
      <c r="C1118" s="3">
        <v>44567.0</v>
      </c>
      <c r="D1118" s="4" t="str">
        <f t="array" ref="D1118">XLOOKUP(Hoja5!A1118,Agregado!B1512:B2626,Agregado!G1118:G2626)</f>
        <v>#N/A</v>
      </c>
    </row>
    <row r="1119" ht="15.75" customHeight="1">
      <c r="A1119" s="12">
        <v>44714.0</v>
      </c>
      <c r="B1119" s="2">
        <v>417.39</v>
      </c>
      <c r="C1119" s="3">
        <v>44598.0</v>
      </c>
      <c r="D1119" s="4" t="str">
        <f t="array" ref="D1119">XLOOKUP(Hoja5!A1119,Agregado!B1512:B2627,Agregado!G1119:G2627)</f>
        <v>#N/A</v>
      </c>
    </row>
    <row r="1120" ht="15.75" customHeight="1">
      <c r="A1120" s="12">
        <v>44715.0</v>
      </c>
      <c r="B1120" s="2">
        <v>410.54</v>
      </c>
      <c r="C1120" s="3">
        <v>44626.0</v>
      </c>
      <c r="D1120" s="4" t="str">
        <f t="array" ref="D1120">XLOOKUP(Hoja5!A1120,Agregado!B1512:B2628,Agregado!G1120:G2628)</f>
        <v>#N/A</v>
      </c>
    </row>
    <row r="1121" ht="15.75" customHeight="1">
      <c r="A1121" s="12">
        <v>44718.0</v>
      </c>
      <c r="B1121" s="2">
        <v>411.79</v>
      </c>
      <c r="C1121" s="3">
        <v>44718.0</v>
      </c>
      <c r="D1121" s="4" t="str">
        <f t="array" ref="D1121">XLOOKUP(Hoja5!A1121,Agregado!B1512:B2629,Agregado!G1121:G2629)</f>
        <v>#N/A</v>
      </c>
    </row>
    <row r="1122" ht="15.75" customHeight="1">
      <c r="A1122" s="12">
        <v>44719.0</v>
      </c>
      <c r="B1122" s="2">
        <v>415.74</v>
      </c>
      <c r="C1122" s="3">
        <v>44748.0</v>
      </c>
      <c r="D1122" s="4" t="str">
        <f t="array" ref="D1122">XLOOKUP(Hoja5!A1122,Agregado!B1512:B2630,Agregado!G1122:G2630)</f>
        <v>#N/A</v>
      </c>
    </row>
    <row r="1123" ht="15.75" customHeight="1">
      <c r="A1123" s="12">
        <v>44720.0</v>
      </c>
      <c r="B1123" s="2">
        <v>411.22</v>
      </c>
      <c r="C1123" s="3">
        <v>44779.0</v>
      </c>
      <c r="D1123" s="4" t="str">
        <f t="array" ref="D1123">XLOOKUP(Hoja5!A1123,Agregado!B1512:B2631,Agregado!G1123:G2631)</f>
        <v>#N/A</v>
      </c>
    </row>
    <row r="1124" ht="15.75" customHeight="1">
      <c r="A1124" s="12">
        <v>44721.0</v>
      </c>
      <c r="B1124" s="2">
        <v>401.44</v>
      </c>
      <c r="C1124" s="3">
        <v>44810.0</v>
      </c>
      <c r="D1124" s="4" t="str">
        <f t="array" ref="D1124">XLOOKUP(Hoja5!A1124,Agregado!B1512:B2632,Agregado!G1124:G2632)</f>
        <v>#N/A</v>
      </c>
    </row>
    <row r="1125" ht="15.75" customHeight="1">
      <c r="A1125" s="12">
        <v>44722.0</v>
      </c>
      <c r="B1125" s="2">
        <v>389.8</v>
      </c>
      <c r="C1125" s="3">
        <v>44840.0</v>
      </c>
      <c r="D1125" s="4" t="str">
        <f t="array" ref="D1125">XLOOKUP(Hoja5!A1125,Agregado!B1512:B2633,Agregado!G1125:G2633)</f>
        <v>#N/A</v>
      </c>
    </row>
    <row r="1126" ht="15.75" customHeight="1">
      <c r="A1126" s="12">
        <v>44725.0</v>
      </c>
      <c r="B1126" s="2">
        <v>375.0</v>
      </c>
      <c r="C1126" s="3" t="s">
        <v>671</v>
      </c>
      <c r="D1126" s="4" t="str">
        <f t="array" ref="D1126">XLOOKUP(Hoja5!A1126,Agregado!B1512:B2634,Agregado!G1126:G2634)</f>
        <v>#N/A</v>
      </c>
    </row>
    <row r="1127" ht="15.75" customHeight="1">
      <c r="A1127" s="12">
        <v>44726.0</v>
      </c>
      <c r="B1127" s="2">
        <v>373.87</v>
      </c>
      <c r="C1127" s="3" t="s">
        <v>672</v>
      </c>
      <c r="D1127" s="4" t="str">
        <f t="array" ref="D1127">XLOOKUP(Hoja5!A1127,Agregado!B1512:B2635,Agregado!G1127:G2635)</f>
        <v>#N/A</v>
      </c>
    </row>
    <row r="1128" ht="15.75" customHeight="1">
      <c r="A1128" s="12">
        <v>44727.0</v>
      </c>
      <c r="B1128" s="2">
        <v>379.2</v>
      </c>
      <c r="C1128" s="3" t="s">
        <v>673</v>
      </c>
      <c r="D1128" s="4" t="str">
        <f t="array" ref="D1128">XLOOKUP(Hoja5!A1128,Agregado!B1512:B2636,Agregado!G1128:G2636)</f>
        <v>#N/A</v>
      </c>
    </row>
    <row r="1129" ht="15.75" customHeight="1">
      <c r="A1129" s="12">
        <v>44728.0</v>
      </c>
      <c r="B1129" s="2">
        <v>366.65</v>
      </c>
      <c r="C1129" s="3" t="s">
        <v>674</v>
      </c>
      <c r="D1129" s="4" t="str">
        <f t="array" ref="D1129">XLOOKUP(Hoja5!A1129,Agregado!B1512:B2637,Agregado!G1129:G2637)</f>
        <v>#N/A</v>
      </c>
    </row>
    <row r="1130" ht="15.75" customHeight="1">
      <c r="A1130" s="12">
        <v>44729.0</v>
      </c>
      <c r="B1130" s="2">
        <v>365.86</v>
      </c>
      <c r="C1130" s="3" t="s">
        <v>675</v>
      </c>
      <c r="D1130" s="4" t="str">
        <f t="array" ref="D1130">XLOOKUP(Hoja5!A1130,Agregado!B1512:B2638,Agregado!G1130:G2638)</f>
        <v>#N/A</v>
      </c>
    </row>
    <row r="1131" ht="15.75" customHeight="1">
      <c r="A1131" s="3">
        <v>44002.0</v>
      </c>
      <c r="B1131" s="3"/>
      <c r="C1131" s="3" t="s">
        <v>676</v>
      </c>
      <c r="D1131" s="4" t="str">
        <f t="array" ref="D1131">XLOOKUP(Hoja5!A1131,Agregado!B1512:B2639,Agregado!G1131:G2639)</f>
        <v>#N/A</v>
      </c>
    </row>
    <row r="1132" ht="15.75" customHeight="1">
      <c r="A1132" s="12">
        <v>44733.0</v>
      </c>
      <c r="B1132" s="2">
        <v>375.07</v>
      </c>
      <c r="C1132" s="3" t="s">
        <v>677</v>
      </c>
      <c r="D1132" s="4" t="str">
        <f t="array" ref="D1132">XLOOKUP(Hoja5!A1132,Agregado!B1512:B2640,Agregado!G1132:G2640)</f>
        <v>#N/A</v>
      </c>
    </row>
    <row r="1133" ht="15.75" customHeight="1">
      <c r="A1133" s="12">
        <v>44734.0</v>
      </c>
      <c r="B1133" s="2">
        <v>374.39</v>
      </c>
      <c r="C1133" s="3" t="s">
        <v>678</v>
      </c>
      <c r="D1133" s="4" t="str">
        <f t="array" ref="D1133">XLOOKUP(Hoja5!A1133,Agregado!B1512:B2641,Agregado!G1133:G2641)</f>
        <v>#N/A</v>
      </c>
    </row>
    <row r="1134" ht="15.75" customHeight="1">
      <c r="A1134" s="12">
        <v>44735.0</v>
      </c>
      <c r="B1134" s="2">
        <v>378.06</v>
      </c>
      <c r="C1134" s="3" t="s">
        <v>679</v>
      </c>
      <c r="D1134" s="4" t="str">
        <f t="array" ref="D1134">XLOOKUP(Hoja5!A1134,Agregado!B1512:B2642,Agregado!G1134:G2642)</f>
        <v>#N/A</v>
      </c>
    </row>
    <row r="1135" ht="15.75" customHeight="1">
      <c r="A1135" s="12">
        <v>44736.0</v>
      </c>
      <c r="B1135" s="2">
        <v>390.08</v>
      </c>
      <c r="C1135" s="3" t="s">
        <v>680</v>
      </c>
      <c r="D1135" s="4" t="str">
        <f t="array" ref="D1135">XLOOKUP(Hoja5!A1135,Agregado!B1512:B2643,Agregado!G1135:G2643)</f>
        <v>#N/A</v>
      </c>
    </row>
    <row r="1136" ht="15.75" customHeight="1">
      <c r="A1136" s="12">
        <v>44739.0</v>
      </c>
      <c r="B1136" s="2">
        <v>388.59</v>
      </c>
      <c r="C1136" s="3" t="s">
        <v>681</v>
      </c>
      <c r="D1136" s="4" t="str">
        <f t="array" ref="D1136">XLOOKUP(Hoja5!A1136,Agregado!B1512:B2644,Agregado!G1136:G2644)</f>
        <v>#N/A</v>
      </c>
    </row>
    <row r="1137" ht="15.75" customHeight="1">
      <c r="A1137" s="12">
        <v>44740.0</v>
      </c>
      <c r="B1137" s="2">
        <v>380.65</v>
      </c>
      <c r="C1137" s="3" t="s">
        <v>682</v>
      </c>
      <c r="D1137" s="4" t="str">
        <f t="array" ref="D1137">XLOOKUP(Hoja5!A1137,Agregado!B1512:B2645,Agregado!G1137:G2645)</f>
        <v>#N/A</v>
      </c>
    </row>
    <row r="1138" ht="15.75" customHeight="1">
      <c r="A1138" s="12">
        <v>44741.0</v>
      </c>
      <c r="B1138" s="2">
        <v>380.34</v>
      </c>
      <c r="C1138" s="3" t="s">
        <v>683</v>
      </c>
      <c r="D1138" s="4" t="str">
        <f t="array" ref="D1138">XLOOKUP(Hoja5!A1138,Agregado!B1512:B2646,Agregado!G1138:G2646)</f>
        <v>#N/A</v>
      </c>
    </row>
    <row r="1139" ht="15.75" customHeight="1">
      <c r="A1139" s="12">
        <v>44742.0</v>
      </c>
      <c r="B1139" s="2">
        <v>377.25</v>
      </c>
      <c r="C1139" s="3" t="s">
        <v>684</v>
      </c>
      <c r="D1139" s="4" t="str">
        <f t="array" ref="D1139">XLOOKUP(Hoja5!A1139,Agregado!B1512:B2647,Agregado!G1139:G2647)</f>
        <v>#N/A</v>
      </c>
    </row>
    <row r="1140" ht="15.75" customHeight="1">
      <c r="A1140" s="12">
        <v>44743.0</v>
      </c>
      <c r="B1140" s="2">
        <v>381.24</v>
      </c>
      <c r="C1140" s="3">
        <v>44568.0</v>
      </c>
      <c r="D1140" s="4" t="str">
        <f t="array" ref="D1140">XLOOKUP(Hoja5!A1140,Agregado!B1512:B2648,Agregado!G1140:G2648)</f>
        <v>#N/A</v>
      </c>
    </row>
    <row r="1141" ht="15.75" customHeight="1">
      <c r="A1141" s="12">
        <v>44747.0</v>
      </c>
      <c r="B1141" s="2">
        <v>381.96</v>
      </c>
      <c r="C1141" s="3">
        <v>44688.0</v>
      </c>
      <c r="D1141" s="4" t="str">
        <f t="array" ref="D1141">XLOOKUP(Hoja5!A1141,Agregado!B1512:B2649,Agregado!G1141:G2649)</f>
        <v>#N/A</v>
      </c>
    </row>
    <row r="1142" ht="15.75" customHeight="1">
      <c r="A1142" s="12">
        <v>44748.0</v>
      </c>
      <c r="B1142" s="2">
        <v>383.25</v>
      </c>
      <c r="C1142" s="3">
        <v>44719.0</v>
      </c>
      <c r="D1142" s="4" t="str">
        <f t="array" ref="D1142">XLOOKUP(Hoja5!A1142,Agregado!B1512:B2650,Agregado!G1142:G2650)</f>
        <v>#N/A</v>
      </c>
    </row>
    <row r="1143" ht="15.75" customHeight="1">
      <c r="A1143" s="12">
        <v>44749.0</v>
      </c>
      <c r="B1143" s="2">
        <v>388.99</v>
      </c>
      <c r="C1143" s="3">
        <v>44749.0</v>
      </c>
      <c r="D1143" s="4" t="str">
        <f t="array" ref="D1143">XLOOKUP(Hoja5!A1143,Agregado!B1512:B2651,Agregado!G1143:G2651)</f>
        <v>#N/A</v>
      </c>
    </row>
    <row r="1144" ht="15.75" customHeight="1">
      <c r="A1144" s="12">
        <v>44750.0</v>
      </c>
      <c r="B1144" s="2">
        <v>388.67</v>
      </c>
      <c r="C1144" s="3">
        <v>44780.0</v>
      </c>
      <c r="D1144" s="4" t="str">
        <f t="array" ref="D1144">XLOOKUP(Hoja5!A1144,Agregado!B1512:B2652,Agregado!G1144:G2652)</f>
        <v>#N/A</v>
      </c>
    </row>
    <row r="1145" ht="15.75" customHeight="1">
      <c r="A1145" s="12">
        <v>44753.0</v>
      </c>
      <c r="B1145" s="2">
        <v>384.23</v>
      </c>
      <c r="C1145" s="3">
        <v>44872.0</v>
      </c>
      <c r="D1145" s="4" t="str">
        <f t="array" ref="D1145">XLOOKUP(Hoja5!A1145,Agregado!B1512:B2653,Agregado!G1145:G2653)</f>
        <v>#N/A</v>
      </c>
    </row>
    <row r="1146" ht="15.75" customHeight="1">
      <c r="A1146" s="12">
        <v>44754.0</v>
      </c>
      <c r="B1146" s="2">
        <v>380.83</v>
      </c>
      <c r="C1146" s="3">
        <v>44902.0</v>
      </c>
      <c r="D1146" s="4" t="str">
        <f t="array" ref="D1146">XLOOKUP(Hoja5!A1146,Agregado!B1512:B2654,Agregado!G1146:G2654)</f>
        <v>#N/A</v>
      </c>
    </row>
    <row r="1147" ht="15.75" customHeight="1">
      <c r="A1147" s="12">
        <v>44755.0</v>
      </c>
      <c r="B1147" s="2">
        <v>378.83</v>
      </c>
      <c r="C1147" s="3" t="s">
        <v>685</v>
      </c>
      <c r="D1147" s="4" t="str">
        <f t="array" ref="D1147">XLOOKUP(Hoja5!A1147,Agregado!B1512:B2655,Agregado!G1147:G2655)</f>
        <v>#N/A</v>
      </c>
    </row>
    <row r="1148" ht="15.75" customHeight="1">
      <c r="A1148" s="12">
        <v>44756.0</v>
      </c>
      <c r="B1148" s="2">
        <v>377.91</v>
      </c>
      <c r="C1148" s="3" t="s">
        <v>686</v>
      </c>
      <c r="D1148" s="4" t="str">
        <f t="array" ref="D1148">XLOOKUP(Hoja5!A1148,Agregado!B1512:B2656,Agregado!G1148:G2656)</f>
        <v>#N/A</v>
      </c>
    </row>
    <row r="1149" ht="15.75" customHeight="1">
      <c r="A1149" s="12">
        <v>44757.0</v>
      </c>
      <c r="B1149" s="2">
        <v>385.13</v>
      </c>
      <c r="C1149" s="3" t="s">
        <v>687</v>
      </c>
      <c r="D1149" s="4" t="str">
        <f t="array" ref="D1149">XLOOKUP(Hoja5!A1149,Agregado!B1512:B2657,Agregado!G1149:G2657)</f>
        <v>#N/A</v>
      </c>
    </row>
    <row r="1150" ht="15.75" customHeight="1">
      <c r="A1150" s="12">
        <v>44760.0</v>
      </c>
      <c r="B1150" s="2">
        <v>381.95</v>
      </c>
      <c r="C1150" s="3" t="s">
        <v>688</v>
      </c>
      <c r="D1150" s="4" t="str">
        <f t="array" ref="D1150">XLOOKUP(Hoja5!A1150,Agregado!B1512:B2658,Agregado!G1150:G2658)</f>
        <v>#N/A</v>
      </c>
    </row>
    <row r="1151" ht="15.75" customHeight="1">
      <c r="A1151" s="12">
        <v>44761.0</v>
      </c>
      <c r="B1151" s="2">
        <v>392.27</v>
      </c>
      <c r="C1151" s="3" t="s">
        <v>689</v>
      </c>
      <c r="D1151" s="4" t="str">
        <f t="array" ref="D1151">XLOOKUP(Hoja5!A1151,Agregado!B1512:B2659,Agregado!G1151:G2659)</f>
        <v>#N/A</v>
      </c>
    </row>
    <row r="1152" ht="15.75" customHeight="1">
      <c r="A1152" s="12">
        <v>44762.0</v>
      </c>
      <c r="B1152" s="2">
        <v>394.77</v>
      </c>
      <c r="C1152" s="3" t="s">
        <v>690</v>
      </c>
      <c r="D1152" s="4" t="str">
        <f t="array" ref="D1152">XLOOKUP(Hoja5!A1152,Agregado!B1512:B2660,Agregado!G1152:G2660)</f>
        <v>#N/A</v>
      </c>
    </row>
    <row r="1153" ht="15.75" customHeight="1">
      <c r="A1153" s="12">
        <v>44763.0</v>
      </c>
      <c r="B1153" s="2">
        <v>398.79</v>
      </c>
      <c r="C1153" s="3" t="s">
        <v>691</v>
      </c>
      <c r="D1153" s="4" t="str">
        <f t="array" ref="D1153">XLOOKUP(Hoja5!A1153,Agregado!B1512:B2661,Agregado!G1153:G2661)</f>
        <v>#N/A</v>
      </c>
    </row>
    <row r="1154" ht="15.75" customHeight="1">
      <c r="A1154" s="12">
        <v>44764.0</v>
      </c>
      <c r="B1154" s="2">
        <v>395.09</v>
      </c>
      <c r="C1154" s="3" t="s">
        <v>692</v>
      </c>
      <c r="D1154" s="4" t="str">
        <f t="array" ref="D1154">XLOOKUP(Hoja5!A1154,Agregado!B1512:B2662,Agregado!G1154:G2662)</f>
        <v>#N/A</v>
      </c>
    </row>
    <row r="1155" ht="15.75" customHeight="1">
      <c r="A1155" s="12">
        <v>44767.0</v>
      </c>
      <c r="B1155" s="2">
        <v>395.57</v>
      </c>
      <c r="C1155" s="3" t="s">
        <v>693</v>
      </c>
      <c r="D1155" s="4" t="str">
        <f t="array" ref="D1155">XLOOKUP(Hoja5!A1155,Agregado!B1512:B2663,Agregado!G1155:G2663)</f>
        <v>#N/A</v>
      </c>
    </row>
    <row r="1156" ht="15.75" customHeight="1">
      <c r="A1156" s="12">
        <v>44768.0</v>
      </c>
      <c r="B1156" s="2">
        <v>390.89</v>
      </c>
      <c r="C1156" s="3" t="s">
        <v>694</v>
      </c>
      <c r="D1156" s="4" t="str">
        <f t="array" ref="D1156">XLOOKUP(Hoja5!A1156,Agregado!B1512:B2664,Agregado!G1156:G2664)</f>
        <v>#N/A</v>
      </c>
    </row>
    <row r="1157" ht="15.75" customHeight="1">
      <c r="A1157" s="12">
        <v>44769.0</v>
      </c>
      <c r="B1157" s="2">
        <v>401.04</v>
      </c>
      <c r="C1157" s="3" t="s">
        <v>695</v>
      </c>
      <c r="D1157" s="4" t="str">
        <f t="array" ref="D1157">XLOOKUP(Hoja5!A1157,Agregado!B1512:B2665,Agregado!G1157:G2665)</f>
        <v>#N/A</v>
      </c>
    </row>
    <row r="1158" ht="15.75" customHeight="1">
      <c r="A1158" s="12">
        <v>44770.0</v>
      </c>
      <c r="B1158" s="2">
        <v>406.07</v>
      </c>
      <c r="C1158" s="3" t="s">
        <v>696</v>
      </c>
      <c r="D1158" s="4" t="str">
        <f t="array" ref="D1158">XLOOKUP(Hoja5!A1158,Agregado!B1512:B2666,Agregado!G1158:G2666)</f>
        <v>#N/A</v>
      </c>
    </row>
    <row r="1159" ht="15.75" customHeight="1">
      <c r="A1159" s="12">
        <v>44771.0</v>
      </c>
      <c r="B1159" s="2">
        <v>411.99</v>
      </c>
      <c r="C1159" s="3" t="s">
        <v>697</v>
      </c>
      <c r="D1159" s="4" t="str">
        <f t="array" ref="D1159">XLOOKUP(Hoja5!A1159,Agregado!B1512:B2667,Agregado!G1159:G2667)</f>
        <v>#N/A</v>
      </c>
    </row>
    <row r="1160" ht="15.75" customHeight="1">
      <c r="A1160" s="12">
        <v>44774.0</v>
      </c>
      <c r="B1160" s="2">
        <v>410.77</v>
      </c>
      <c r="C1160" s="3">
        <v>44569.0</v>
      </c>
      <c r="D1160" s="4" t="str">
        <f t="array" ref="D1160">XLOOKUP(Hoja5!A1160,Agregado!B1512:B2668,Agregado!G1160:G2668)</f>
        <v>#N/A</v>
      </c>
    </row>
    <row r="1161" ht="15.75" customHeight="1">
      <c r="A1161" s="12">
        <v>44775.0</v>
      </c>
      <c r="B1161" s="2">
        <v>408.06</v>
      </c>
      <c r="C1161" s="3">
        <v>44600.0</v>
      </c>
      <c r="D1161" s="4" t="str">
        <f t="array" ref="D1161">XLOOKUP(Hoja5!A1161,Agregado!B1512:B2669,Agregado!G1161:G2669)</f>
        <v>#N/A</v>
      </c>
    </row>
    <row r="1162" ht="15.75" customHeight="1">
      <c r="A1162" s="12">
        <v>44776.0</v>
      </c>
      <c r="B1162" s="2">
        <v>414.45</v>
      </c>
      <c r="C1162" s="3">
        <v>44628.0</v>
      </c>
      <c r="D1162" s="4" t="str">
        <f t="array" ref="D1162">XLOOKUP(Hoja5!A1162,Agregado!B1512:B2670,Agregado!G1162:G2670)</f>
        <v>#N/A</v>
      </c>
    </row>
    <row r="1163" ht="15.75" customHeight="1">
      <c r="A1163" s="12">
        <v>44777.0</v>
      </c>
      <c r="B1163" s="2">
        <v>414.17</v>
      </c>
      <c r="C1163" s="3">
        <v>44659.0</v>
      </c>
      <c r="D1163" s="4" t="str">
        <f t="array" ref="D1163">XLOOKUP(Hoja5!A1163,Agregado!B1512:B2671,Agregado!G1163:G2671)</f>
        <v>#N/A</v>
      </c>
    </row>
    <row r="1164" ht="15.75" customHeight="1">
      <c r="A1164" s="12">
        <v>44778.0</v>
      </c>
      <c r="B1164" s="2">
        <v>413.47</v>
      </c>
      <c r="C1164" s="3">
        <v>44689.0</v>
      </c>
      <c r="D1164" s="4" t="str">
        <f t="array" ref="D1164">XLOOKUP(Hoja5!A1164,Agregado!B1512:B2672,Agregado!G1164:G2672)</f>
        <v>#N/A</v>
      </c>
    </row>
    <row r="1165" ht="15.75" customHeight="1">
      <c r="A1165" s="12">
        <v>44781.0</v>
      </c>
      <c r="B1165" s="2">
        <v>412.99</v>
      </c>
      <c r="C1165" s="3">
        <v>44781.0</v>
      </c>
      <c r="D1165" s="4" t="str">
        <f t="array" ref="D1165">XLOOKUP(Hoja5!A1165,Agregado!B1512:B2673,Agregado!G1165:G2673)</f>
        <v>#N/A</v>
      </c>
    </row>
    <row r="1166" ht="15.75" customHeight="1">
      <c r="A1166" s="12">
        <v>44782.0</v>
      </c>
      <c r="B1166" s="2">
        <v>411.35</v>
      </c>
      <c r="C1166" s="3">
        <v>44812.0</v>
      </c>
      <c r="D1166" s="4" t="str">
        <f t="array" ref="D1166">XLOOKUP(Hoja5!A1166,Agregado!B1512:B2674,Agregado!G1166:G2674)</f>
        <v>#N/A</v>
      </c>
    </row>
    <row r="1167" ht="15.75" customHeight="1">
      <c r="A1167" s="12">
        <v>44783.0</v>
      </c>
      <c r="B1167" s="2">
        <v>419.99</v>
      </c>
      <c r="C1167" s="3">
        <v>44842.0</v>
      </c>
      <c r="D1167" s="4" t="str">
        <f t="array" ref="D1167">XLOOKUP(Hoja5!A1167,Agregado!B1512:B2675,Agregado!G1167:G2675)</f>
        <v>#N/A</v>
      </c>
    </row>
    <row r="1168" ht="15.75" customHeight="1">
      <c r="A1168" s="12">
        <v>44784.0</v>
      </c>
      <c r="B1168" s="2">
        <v>419.99</v>
      </c>
      <c r="C1168" s="3">
        <v>44873.0</v>
      </c>
      <c r="D1168" s="4" t="str">
        <f t="array" ref="D1168">XLOOKUP(Hoja5!A1168,Agregado!B1512:B2676,Agregado!G1168:G2676)</f>
        <v>#N/A</v>
      </c>
    </row>
    <row r="1169" ht="15.75" customHeight="1">
      <c r="A1169" s="12">
        <v>44785.0</v>
      </c>
      <c r="B1169" s="2">
        <v>427.1</v>
      </c>
      <c r="C1169" s="3">
        <v>44903.0</v>
      </c>
      <c r="D1169" s="4" t="str">
        <f t="array" ref="D1169">XLOOKUP(Hoja5!A1169,Agregado!B1512:B2677,Agregado!G1169:G2677)</f>
        <v>#N/A</v>
      </c>
    </row>
    <row r="1170" ht="15.75" customHeight="1">
      <c r="A1170" s="12">
        <v>44788.0</v>
      </c>
      <c r="B1170" s="2">
        <v>428.86</v>
      </c>
      <c r="C1170" s="3" t="s">
        <v>698</v>
      </c>
      <c r="D1170" s="4" t="str">
        <f t="array" ref="D1170">XLOOKUP(Hoja5!A1170,Agregado!B1512:B2678,Agregado!G1170:G2678)</f>
        <v>#N/A</v>
      </c>
    </row>
    <row r="1171" ht="15.75" customHeight="1">
      <c r="A1171" s="12">
        <v>44789.0</v>
      </c>
      <c r="B1171" s="2">
        <v>429.7</v>
      </c>
      <c r="C1171" s="3" t="s">
        <v>699</v>
      </c>
      <c r="D1171" s="4" t="str">
        <f t="array" ref="D1171">XLOOKUP(Hoja5!A1171,Agregado!B1512:B2679,Agregado!G1171:G2679)</f>
        <v>#N/A</v>
      </c>
    </row>
    <row r="1172" ht="15.75" customHeight="1">
      <c r="A1172" s="12">
        <v>44790.0</v>
      </c>
      <c r="B1172" s="2">
        <v>426.65</v>
      </c>
      <c r="C1172" s="3" t="s">
        <v>700</v>
      </c>
      <c r="D1172" s="4" t="str">
        <f t="array" ref="D1172">XLOOKUP(Hoja5!A1172,Agregado!B1512:B2680,Agregado!G1172:G2680)</f>
        <v>#N/A</v>
      </c>
    </row>
    <row r="1173" ht="15.75" customHeight="1">
      <c r="A1173" s="12">
        <v>44791.0</v>
      </c>
      <c r="B1173" s="2">
        <v>427.89</v>
      </c>
      <c r="C1173" s="3" t="s">
        <v>701</v>
      </c>
      <c r="D1173" s="4" t="str">
        <f t="array" ref="D1173">XLOOKUP(Hoja5!A1173,Agregado!B1512:B2681,Agregado!G1173:G2681)</f>
        <v>#N/A</v>
      </c>
    </row>
    <row r="1174" ht="15.75" customHeight="1">
      <c r="A1174" s="12">
        <v>44792.0</v>
      </c>
      <c r="B1174" s="2">
        <v>422.14</v>
      </c>
      <c r="C1174" s="3" t="s">
        <v>702</v>
      </c>
      <c r="D1174" s="4" t="str">
        <f t="array" ref="D1174">XLOOKUP(Hoja5!A1174,Agregado!B1512:B2682,Agregado!G1174:G2682)</f>
        <v>#N/A</v>
      </c>
    </row>
    <row r="1175" ht="15.75" customHeight="1">
      <c r="A1175" s="12">
        <v>44795.0</v>
      </c>
      <c r="B1175" s="2">
        <v>413.35</v>
      </c>
      <c r="C1175" s="3" t="s">
        <v>703</v>
      </c>
      <c r="D1175" s="4" t="str">
        <f t="array" ref="D1175">XLOOKUP(Hoja5!A1175,Agregado!B1512:B2683,Agregado!G1175:G2683)</f>
        <v>#N/A</v>
      </c>
    </row>
    <row r="1176" ht="15.75" customHeight="1">
      <c r="A1176" s="12">
        <v>44796.0</v>
      </c>
      <c r="B1176" s="2">
        <v>412.35</v>
      </c>
      <c r="C1176" s="3" t="s">
        <v>704</v>
      </c>
      <c r="D1176" s="4" t="str">
        <f t="array" ref="D1176">XLOOKUP(Hoja5!A1176,Agregado!B1512:B2684,Agregado!G1176:G2684)</f>
        <v>#N/A</v>
      </c>
    </row>
    <row r="1177" ht="15.75" customHeight="1">
      <c r="A1177" s="12">
        <v>44797.0</v>
      </c>
      <c r="B1177" s="2">
        <v>413.67</v>
      </c>
      <c r="C1177" s="3" t="s">
        <v>705</v>
      </c>
      <c r="D1177" s="4" t="str">
        <f t="array" ref="D1177">XLOOKUP(Hoja5!A1177,Agregado!B1512:B2685,Agregado!G1177:G2685)</f>
        <v>#N/A</v>
      </c>
    </row>
    <row r="1178" ht="15.75" customHeight="1">
      <c r="A1178" s="12">
        <v>44798.0</v>
      </c>
      <c r="B1178" s="2">
        <v>419.51</v>
      </c>
      <c r="C1178" s="3" t="s">
        <v>706</v>
      </c>
      <c r="D1178" s="4" t="str">
        <f t="array" ref="D1178">XLOOKUP(Hoja5!A1178,Agregado!B1512:B2686,Agregado!G1178:G2686)</f>
        <v>#N/A</v>
      </c>
    </row>
    <row r="1179" ht="15.75" customHeight="1">
      <c r="A1179" s="12">
        <v>44799.0</v>
      </c>
      <c r="B1179" s="2">
        <v>405.31</v>
      </c>
      <c r="C1179" s="3" t="s">
        <v>707</v>
      </c>
      <c r="D1179" s="4" t="str">
        <f t="array" ref="D1179">XLOOKUP(Hoja5!A1179,Agregado!B1512:B2687,Agregado!G1179:G2687)</f>
        <v>#N/A</v>
      </c>
    </row>
    <row r="1180" ht="15.75" customHeight="1">
      <c r="A1180" s="12">
        <v>44802.0</v>
      </c>
      <c r="B1180" s="2">
        <v>402.63</v>
      </c>
      <c r="C1180" s="3" t="s">
        <v>708</v>
      </c>
      <c r="D1180" s="4" t="str">
        <f t="array" ref="D1180">XLOOKUP(Hoja5!A1180,Agregado!B1512:B2688,Agregado!G1180:G2688)</f>
        <v>#N/A</v>
      </c>
    </row>
    <row r="1181" ht="15.75" customHeight="1">
      <c r="A1181" s="12">
        <v>44803.0</v>
      </c>
      <c r="B1181" s="2">
        <v>398.21</v>
      </c>
      <c r="C1181" s="3" t="s">
        <v>709</v>
      </c>
      <c r="D1181" s="4" t="str">
        <f t="array" ref="D1181">XLOOKUP(Hoja5!A1181,Agregado!B1512:B2689,Agregado!G1181:G2689)</f>
        <v>#N/A</v>
      </c>
    </row>
    <row r="1182" ht="15.75" customHeight="1">
      <c r="A1182" s="12">
        <v>44804.0</v>
      </c>
      <c r="B1182" s="2">
        <v>395.18</v>
      </c>
      <c r="C1182" s="3" t="s">
        <v>710</v>
      </c>
      <c r="D1182" s="4" t="str">
        <f t="array" ref="D1182">XLOOKUP(Hoja5!A1182,Agregado!B1512:B2690,Agregado!G1182:G2690)</f>
        <v>#N/A</v>
      </c>
    </row>
    <row r="1183" ht="15.75" customHeight="1">
      <c r="A1183" s="12">
        <v>44805.0</v>
      </c>
      <c r="B1183" s="2">
        <v>396.42</v>
      </c>
      <c r="C1183" s="3">
        <v>44570.0</v>
      </c>
      <c r="D1183" s="4" t="str">
        <f t="array" ref="D1183">XLOOKUP(Hoja5!A1183,Agregado!B1512:B2691,Agregado!G1183:G2691)</f>
        <v>#N/A</v>
      </c>
    </row>
    <row r="1184" ht="15.75" customHeight="1">
      <c r="A1184" s="12">
        <v>44806.0</v>
      </c>
      <c r="B1184" s="2">
        <v>392.24</v>
      </c>
      <c r="C1184" s="3">
        <v>44601.0</v>
      </c>
      <c r="D1184" s="4" t="str">
        <f t="array" ref="D1184">XLOOKUP(Hoja5!A1184,Agregado!B1512:B2692,Agregado!G1184:G2692)</f>
        <v>#N/A</v>
      </c>
    </row>
    <row r="1185" ht="15.75" customHeight="1">
      <c r="A1185" s="12">
        <v>44810.0</v>
      </c>
      <c r="B1185" s="2">
        <v>390.76</v>
      </c>
      <c r="C1185" s="3">
        <v>44721.0</v>
      </c>
      <c r="D1185" s="4" t="str">
        <f t="array" ref="D1185">XLOOKUP(Hoja5!A1185,Agregado!B1512:B2693,Agregado!G1185:G2693)</f>
        <v>#N/A</v>
      </c>
    </row>
    <row r="1186" ht="15.75" customHeight="1">
      <c r="A1186" s="12">
        <v>44811.0</v>
      </c>
      <c r="B1186" s="2">
        <v>397.78</v>
      </c>
      <c r="C1186" s="3">
        <v>44751.0</v>
      </c>
      <c r="D1186" s="4" t="str">
        <f t="array" ref="D1186">XLOOKUP(Hoja5!A1186,Agregado!B1512:B2694,Agregado!G1186:G2694)</f>
        <v>#N/A</v>
      </c>
    </row>
    <row r="1187" ht="15.75" customHeight="1">
      <c r="A1187" s="12">
        <v>44812.0</v>
      </c>
      <c r="B1187" s="2">
        <v>400.38</v>
      </c>
      <c r="C1187" s="3">
        <v>44782.0</v>
      </c>
      <c r="D1187" s="4" t="str">
        <f t="array" ref="D1187">XLOOKUP(Hoja5!A1187,Agregado!B1512:B2695,Agregado!G1187:G2695)</f>
        <v>#N/A</v>
      </c>
    </row>
    <row r="1188" ht="15.75" customHeight="1">
      <c r="A1188" s="12">
        <v>44813.0</v>
      </c>
      <c r="B1188" s="2">
        <v>406.6</v>
      </c>
      <c r="C1188" s="3">
        <v>44813.0</v>
      </c>
      <c r="D1188" s="4" t="str">
        <f t="array" ref="D1188">XLOOKUP(Hoja5!A1188,Agregado!B1512:B2696,Agregado!G1188:G2696)</f>
        <v>#N/A</v>
      </c>
    </row>
    <row r="1189" ht="15.75" customHeight="1">
      <c r="A1189" s="12">
        <v>44816.0</v>
      </c>
      <c r="B1189" s="2">
        <v>410.97</v>
      </c>
      <c r="C1189" s="3">
        <v>44904.0</v>
      </c>
      <c r="D1189" s="4" t="str">
        <f t="array" ref="D1189">XLOOKUP(Hoja5!A1189,Agregado!B1512:B2697,Agregado!G1189:G2697)</f>
        <v>#N/A</v>
      </c>
    </row>
    <row r="1190" ht="15.75" customHeight="1">
      <c r="A1190" s="12">
        <v>44817.0</v>
      </c>
      <c r="B1190" s="2">
        <v>393.1</v>
      </c>
      <c r="C1190" s="3" t="s">
        <v>711</v>
      </c>
      <c r="D1190" s="4" t="str">
        <f t="array" ref="D1190">XLOOKUP(Hoja5!A1190,Agregado!B1512:B2698,Agregado!G1190:G2698)</f>
        <v>#N/A</v>
      </c>
    </row>
    <row r="1191" ht="15.75" customHeight="1">
      <c r="A1191" s="12">
        <v>44818.0</v>
      </c>
      <c r="B1191" s="2">
        <v>394.6</v>
      </c>
      <c r="C1191" s="3" t="s">
        <v>712</v>
      </c>
      <c r="D1191" s="4" t="str">
        <f t="array" ref="D1191">XLOOKUP(Hoja5!A1191,Agregado!B1512:B2699,Agregado!G1191:G2699)</f>
        <v>#N/A</v>
      </c>
    </row>
    <row r="1192" ht="15.75" customHeight="1">
      <c r="A1192" s="12">
        <v>44819.0</v>
      </c>
      <c r="B1192" s="2">
        <v>390.12</v>
      </c>
      <c r="C1192" s="3" t="s">
        <v>713</v>
      </c>
      <c r="D1192" s="4" t="str">
        <f t="array" ref="D1192">XLOOKUP(Hoja5!A1192,Agregado!B1512:B2700,Agregado!G1192:G2700)</f>
        <v>#N/A</v>
      </c>
    </row>
    <row r="1193" ht="15.75" customHeight="1">
      <c r="A1193" s="12">
        <v>44820.0</v>
      </c>
      <c r="B1193" s="2">
        <v>385.56</v>
      </c>
      <c r="C1193" s="3" t="s">
        <v>714</v>
      </c>
      <c r="D1193" s="4" t="str">
        <f t="array" ref="D1193">XLOOKUP(Hoja5!A1193,Agregado!B1512:B2701,Agregado!G1193:G2701)</f>
        <v>#N/A</v>
      </c>
    </row>
    <row r="1194" ht="15.75" customHeight="1">
      <c r="A1194" s="12">
        <v>44823.0</v>
      </c>
      <c r="B1194" s="2">
        <v>388.55</v>
      </c>
      <c r="C1194" s="3" t="s">
        <v>715</v>
      </c>
      <c r="D1194" s="4" t="str">
        <f t="array" ref="D1194">XLOOKUP(Hoja5!A1194,Agregado!B1512:B2702,Agregado!G1194:G2702)</f>
        <v>#N/A</v>
      </c>
    </row>
    <row r="1195" ht="15.75" customHeight="1">
      <c r="A1195" s="12">
        <v>44824.0</v>
      </c>
      <c r="B1195" s="2">
        <v>384.09</v>
      </c>
      <c r="C1195" s="3" t="s">
        <v>716</v>
      </c>
      <c r="D1195" s="4" t="str">
        <f t="array" ref="D1195">XLOOKUP(Hoja5!A1195,Agregado!B1512:B2703,Agregado!G1195:G2703)</f>
        <v>#N/A</v>
      </c>
    </row>
    <row r="1196" ht="15.75" customHeight="1">
      <c r="A1196" s="12">
        <v>44825.0</v>
      </c>
      <c r="B1196" s="2">
        <v>377.39</v>
      </c>
      <c r="C1196" s="3" t="s">
        <v>717</v>
      </c>
      <c r="D1196" s="4" t="str">
        <f t="array" ref="D1196">XLOOKUP(Hoja5!A1196,Agregado!B1512:B2704,Agregado!G1196:G2704)</f>
        <v>#N/A</v>
      </c>
    </row>
    <row r="1197" ht="15.75" customHeight="1">
      <c r="A1197" s="12">
        <v>44826.0</v>
      </c>
      <c r="B1197" s="2">
        <v>374.22</v>
      </c>
      <c r="C1197" s="3" t="s">
        <v>718</v>
      </c>
      <c r="D1197" s="4" t="str">
        <f t="array" ref="D1197">XLOOKUP(Hoja5!A1197,Agregado!B1512:B2705,Agregado!G1197:G2705)</f>
        <v>#N/A</v>
      </c>
    </row>
    <row r="1198" ht="15.75" customHeight="1">
      <c r="A1198" s="12">
        <v>44827.0</v>
      </c>
      <c r="B1198" s="2">
        <v>367.95</v>
      </c>
      <c r="C1198" s="3" t="s">
        <v>719</v>
      </c>
      <c r="D1198" s="4" t="str">
        <f t="array" ref="D1198">XLOOKUP(Hoja5!A1198,Agregado!B1512:B2706,Agregado!G1198:G2706)</f>
        <v>#N/A</v>
      </c>
    </row>
    <row r="1199" ht="15.75" customHeight="1">
      <c r="A1199" s="12">
        <v>44830.0</v>
      </c>
      <c r="B1199" s="2">
        <v>364.31</v>
      </c>
      <c r="C1199" s="3" t="s">
        <v>720</v>
      </c>
      <c r="D1199" s="4" t="str">
        <f t="array" ref="D1199">XLOOKUP(Hoja5!A1199,Agregado!B1512:B2707,Agregado!G1199:G2707)</f>
        <v>#N/A</v>
      </c>
    </row>
    <row r="1200" ht="15.75" customHeight="1">
      <c r="A1200" s="12">
        <v>44831.0</v>
      </c>
      <c r="B1200" s="2">
        <v>363.38</v>
      </c>
      <c r="C1200" s="3" t="s">
        <v>721</v>
      </c>
      <c r="D1200" s="4" t="str">
        <f t="array" ref="D1200">XLOOKUP(Hoja5!A1200,Agregado!B1512:B2708,Agregado!G1200:G2708)</f>
        <v>#N/A</v>
      </c>
    </row>
    <row r="1201" ht="15.75" customHeight="1">
      <c r="A1201" s="12">
        <v>44832.0</v>
      </c>
      <c r="B1201" s="2">
        <v>370.53</v>
      </c>
      <c r="C1201" s="3" t="s">
        <v>722</v>
      </c>
      <c r="D1201" s="4" t="str">
        <f t="array" ref="D1201">XLOOKUP(Hoja5!A1201,Agregado!B1512:B2709,Agregado!G1201:G2709)</f>
        <v>#N/A</v>
      </c>
    </row>
    <row r="1202" ht="15.75" customHeight="1">
      <c r="A1202" s="12">
        <v>44833.0</v>
      </c>
      <c r="B1202" s="2">
        <v>362.79</v>
      </c>
      <c r="C1202" s="3" t="s">
        <v>723</v>
      </c>
      <c r="D1202" s="4" t="str">
        <f t="array" ref="D1202">XLOOKUP(Hoja5!A1202,Agregado!B1512:B2710,Agregado!G1202:G2710)</f>
        <v>#N/A</v>
      </c>
    </row>
    <row r="1203" ht="15.75" customHeight="1">
      <c r="A1203" s="12">
        <v>44834.0</v>
      </c>
      <c r="B1203" s="2">
        <v>357.18</v>
      </c>
      <c r="C1203" s="3" t="s">
        <v>724</v>
      </c>
      <c r="D1203" s="4" t="str">
        <f t="array" ref="D1203">XLOOKUP(Hoja5!A1203,Agregado!B1512:B2711,Agregado!G1203:G2711)</f>
        <v>#N/A</v>
      </c>
    </row>
    <row r="1204" ht="15.75" customHeight="1">
      <c r="A1204" s="12">
        <v>44837.0</v>
      </c>
      <c r="B1204" s="2">
        <v>366.61</v>
      </c>
      <c r="C1204" s="3">
        <v>44630.0</v>
      </c>
      <c r="D1204" s="4" t="str">
        <f t="array" ref="D1204">XLOOKUP(Hoja5!A1204,Agregado!B1512:B2712,Agregado!G1204:G2712)</f>
        <v>#N/A</v>
      </c>
    </row>
    <row r="1205" ht="15.75" customHeight="1">
      <c r="A1205" s="12">
        <v>44838.0</v>
      </c>
      <c r="B1205" s="2">
        <v>377.97</v>
      </c>
      <c r="C1205" s="3">
        <v>44661.0</v>
      </c>
      <c r="D1205" s="4" t="str">
        <f t="array" ref="D1205">XLOOKUP(Hoja5!A1205,Agregado!B1512:B2713,Agregado!G1205:G2713)</f>
        <v>#N/A</v>
      </c>
    </row>
    <row r="1206" ht="15.75" customHeight="1">
      <c r="A1206" s="12">
        <v>44839.0</v>
      </c>
      <c r="B1206" s="2">
        <v>377.09</v>
      </c>
      <c r="C1206" s="3">
        <v>44691.0</v>
      </c>
      <c r="D1206" s="4" t="str">
        <f t="array" ref="D1206">XLOOKUP(Hoja5!A1206,Agregado!B1512:B2714,Agregado!G1206:G2714)</f>
        <v>#N/A</v>
      </c>
    </row>
    <row r="1207" ht="15.75" customHeight="1">
      <c r="A1207" s="12">
        <v>44840.0</v>
      </c>
      <c r="B1207" s="2">
        <v>373.2</v>
      </c>
      <c r="C1207" s="3">
        <v>44722.0</v>
      </c>
      <c r="D1207" s="4" t="str">
        <f t="array" ref="D1207">XLOOKUP(Hoja5!A1207,Agregado!B1512:B2715,Agregado!G1207:G2715)</f>
        <v>#N/A</v>
      </c>
    </row>
    <row r="1208" ht="15.75" customHeight="1">
      <c r="A1208" s="12">
        <v>44841.0</v>
      </c>
      <c r="B1208" s="2">
        <v>362.79</v>
      </c>
      <c r="C1208" s="3">
        <v>44752.0</v>
      </c>
      <c r="D1208" s="4" t="str">
        <f t="array" ref="D1208">XLOOKUP(Hoja5!A1208,Agregado!B1512:B2716,Agregado!G1208:G2716)</f>
        <v>#N/A</v>
      </c>
    </row>
    <row r="1209" ht="15.75" customHeight="1">
      <c r="A1209" s="12">
        <v>44844.0</v>
      </c>
      <c r="B1209" s="2">
        <v>360.02</v>
      </c>
      <c r="C1209" s="3">
        <v>44844.0</v>
      </c>
      <c r="D1209" s="4" t="str">
        <f t="array" ref="D1209">XLOOKUP(Hoja5!A1209,Agregado!B1512:B2717,Agregado!G1209:G2717)</f>
        <v>#N/A</v>
      </c>
    </row>
    <row r="1210" ht="15.75" customHeight="1">
      <c r="A1210" s="12">
        <v>44845.0</v>
      </c>
      <c r="B1210" s="2">
        <v>357.74</v>
      </c>
      <c r="C1210" s="3">
        <v>44875.0</v>
      </c>
      <c r="D1210" s="4" t="str">
        <f t="array" ref="D1210">XLOOKUP(Hoja5!A1210,Agregado!B1512:B2718,Agregado!G1210:G2718)</f>
        <v>#N/A</v>
      </c>
    </row>
    <row r="1211" ht="15.75" customHeight="1">
      <c r="A1211" s="12">
        <v>44846.0</v>
      </c>
      <c r="B1211" s="2">
        <v>356.56</v>
      </c>
      <c r="C1211" s="3">
        <v>44905.0</v>
      </c>
      <c r="D1211" s="4" t="str">
        <f t="array" ref="D1211">XLOOKUP(Hoja5!A1211,Agregado!B1512:B2719,Agregado!G1211:G2719)</f>
        <v>#N/A</v>
      </c>
    </row>
    <row r="1212" ht="15.75" customHeight="1">
      <c r="A1212" s="12">
        <v>44847.0</v>
      </c>
      <c r="B1212" s="2">
        <v>365.97</v>
      </c>
      <c r="C1212" s="3" t="s">
        <v>725</v>
      </c>
      <c r="D1212" s="4" t="str">
        <f t="array" ref="D1212">XLOOKUP(Hoja5!A1212,Agregado!B1512:B2720,Agregado!G1212:G2720)</f>
        <v>#N/A</v>
      </c>
    </row>
    <row r="1213" ht="15.75" customHeight="1">
      <c r="A1213" s="12">
        <v>44848.0</v>
      </c>
      <c r="B1213" s="2">
        <v>357.63</v>
      </c>
      <c r="C1213" s="3" t="s">
        <v>726</v>
      </c>
      <c r="D1213" s="4" t="str">
        <f t="array" ref="D1213">XLOOKUP(Hoja5!A1213,Agregado!B1512:B2721,Agregado!G1213:G2721)</f>
        <v>#N/A</v>
      </c>
    </row>
    <row r="1214" ht="15.75" customHeight="1">
      <c r="A1214" s="12">
        <v>44851.0</v>
      </c>
      <c r="B1214" s="2">
        <v>366.82</v>
      </c>
      <c r="C1214" s="3" t="s">
        <v>727</v>
      </c>
      <c r="D1214" s="4" t="str">
        <f t="array" ref="D1214">XLOOKUP(Hoja5!A1214,Agregado!B1512:B2722,Agregado!G1214:G2722)</f>
        <v>#N/A</v>
      </c>
    </row>
    <row r="1215" ht="15.75" customHeight="1">
      <c r="A1215" s="12">
        <v>44852.0</v>
      </c>
      <c r="B1215" s="2">
        <v>371.13</v>
      </c>
      <c r="C1215" s="3" t="s">
        <v>728</v>
      </c>
      <c r="D1215" s="4" t="str">
        <f t="array" ref="D1215">XLOOKUP(Hoja5!A1215,Agregado!B1512:B2723,Agregado!G1215:G2723)</f>
        <v>#N/A</v>
      </c>
    </row>
    <row r="1216" ht="15.75" customHeight="1">
      <c r="A1216" s="12">
        <v>44853.0</v>
      </c>
      <c r="B1216" s="2">
        <v>368.5</v>
      </c>
      <c r="C1216" s="3" t="s">
        <v>729</v>
      </c>
      <c r="D1216" s="4" t="str">
        <f t="array" ref="D1216">XLOOKUP(Hoja5!A1216,Agregado!B1512:B2724,Agregado!G1216:G2724)</f>
        <v>#N/A</v>
      </c>
    </row>
    <row r="1217" ht="15.75" customHeight="1">
      <c r="A1217" s="12">
        <v>44854.0</v>
      </c>
      <c r="B1217" s="2">
        <v>365.41</v>
      </c>
      <c r="C1217" s="3" t="s">
        <v>730</v>
      </c>
      <c r="D1217" s="4" t="str">
        <f t="array" ref="D1217">XLOOKUP(Hoja5!A1217,Agregado!B1512:B2725,Agregado!G1217:G2725)</f>
        <v>#N/A</v>
      </c>
    </row>
    <row r="1218" ht="15.75" customHeight="1">
      <c r="A1218" s="12">
        <v>44855.0</v>
      </c>
      <c r="B1218" s="2">
        <v>374.29</v>
      </c>
      <c r="C1218" s="3" t="s">
        <v>731</v>
      </c>
      <c r="D1218" s="4" t="str">
        <f t="array" ref="D1218">XLOOKUP(Hoja5!A1218,Agregado!B1512:B2726,Agregado!G1218:G2726)</f>
        <v>#N/A</v>
      </c>
    </row>
    <row r="1219" ht="15.75" customHeight="1">
      <c r="A1219" s="12">
        <v>44858.0</v>
      </c>
      <c r="B1219" s="2">
        <v>378.87</v>
      </c>
      <c r="C1219" s="3" t="s">
        <v>732</v>
      </c>
      <c r="D1219" s="4" t="str">
        <f t="array" ref="D1219">XLOOKUP(Hoja5!A1219,Agregado!B1512:B2727,Agregado!G1219:G2727)</f>
        <v>#N/A</v>
      </c>
    </row>
    <row r="1220" ht="15.75" customHeight="1">
      <c r="A1220" s="12">
        <v>44859.0</v>
      </c>
      <c r="B1220" s="2">
        <v>384.92</v>
      </c>
      <c r="C1220" s="3" t="s">
        <v>733</v>
      </c>
      <c r="D1220" s="4" t="str">
        <f t="array" ref="D1220">XLOOKUP(Hoja5!A1220,Agregado!B1512:B2728,Agregado!G1220:G2728)</f>
        <v>#N/A</v>
      </c>
    </row>
    <row r="1221" ht="15.75" customHeight="1">
      <c r="A1221" s="12">
        <v>44860.0</v>
      </c>
      <c r="B1221" s="2">
        <v>382.02</v>
      </c>
      <c r="C1221" s="3" t="s">
        <v>734</v>
      </c>
      <c r="D1221" s="4" t="str">
        <f t="array" ref="D1221">XLOOKUP(Hoja5!A1221,Agregado!B1512:B2729,Agregado!G1221:G2729)</f>
        <v>#N/A</v>
      </c>
    </row>
    <row r="1222" ht="15.75" customHeight="1">
      <c r="A1222" s="12">
        <v>44861.0</v>
      </c>
      <c r="B1222" s="2">
        <v>379.98</v>
      </c>
      <c r="C1222" s="3" t="s">
        <v>735</v>
      </c>
      <c r="D1222" s="4" t="str">
        <f t="array" ref="D1222">XLOOKUP(Hoja5!A1222,Agregado!B1512:B2730,Agregado!G1222:G2730)</f>
        <v>#N/A</v>
      </c>
    </row>
    <row r="1223" ht="15.75" customHeight="1">
      <c r="A1223" s="12">
        <v>44862.0</v>
      </c>
      <c r="B1223" s="2">
        <v>389.02</v>
      </c>
      <c r="C1223" s="3" t="s">
        <v>736</v>
      </c>
      <c r="D1223" s="4" t="str">
        <f t="array" ref="D1223">XLOOKUP(Hoja5!A1223,Agregado!B1512:B2731,Agregado!G1223:G2731)</f>
        <v>#N/A</v>
      </c>
    </row>
    <row r="1224" ht="15.75" customHeight="1">
      <c r="A1224" s="12">
        <v>44865.0</v>
      </c>
      <c r="B1224" s="2">
        <v>386.21</v>
      </c>
      <c r="C1224" s="3" t="s">
        <v>737</v>
      </c>
      <c r="D1224" s="4" t="str">
        <f t="array" ref="D1224">XLOOKUP(Hoja5!A1224,Agregado!B1512:B2732,Agregado!G1224:G2732)</f>
        <v>#N/A</v>
      </c>
    </row>
    <row r="1225" ht="15.75" customHeight="1">
      <c r="A1225" s="12">
        <v>44866.0</v>
      </c>
      <c r="B1225" s="2">
        <v>384.52</v>
      </c>
      <c r="C1225" s="3">
        <v>44572.0</v>
      </c>
      <c r="D1225" s="4" t="str">
        <f t="array" ref="D1225">XLOOKUP(Hoja5!A1225,Agregado!B1512:B2733,Agregado!G1225:G2733)</f>
        <v>#N/A</v>
      </c>
    </row>
    <row r="1226" ht="15.75" customHeight="1">
      <c r="A1226" s="12">
        <v>44867.0</v>
      </c>
      <c r="B1226" s="2">
        <v>374.87</v>
      </c>
      <c r="C1226" s="3">
        <v>44603.0</v>
      </c>
      <c r="D1226" s="4" t="str">
        <f t="array" ref="D1226">XLOOKUP(Hoja5!A1226,Agregado!B1512:B2734,Agregado!G1226:G2734)</f>
        <v>#N/A</v>
      </c>
    </row>
    <row r="1227" ht="15.75" customHeight="1">
      <c r="A1227" s="12">
        <v>44868.0</v>
      </c>
      <c r="B1227" s="2">
        <v>371.01</v>
      </c>
      <c r="C1227" s="3">
        <v>44631.0</v>
      </c>
      <c r="D1227" s="4" t="str">
        <f t="array" ref="D1227">XLOOKUP(Hoja5!A1227,Agregado!B1512:B2735,Agregado!G1227:G2735)</f>
        <v>#N/A</v>
      </c>
    </row>
    <row r="1228" ht="15.75" customHeight="1">
      <c r="A1228" s="12">
        <v>44869.0</v>
      </c>
      <c r="B1228" s="2">
        <v>376.35</v>
      </c>
      <c r="C1228" s="3">
        <v>44662.0</v>
      </c>
      <c r="D1228" s="4" t="str">
        <f t="array" ref="D1228">XLOOKUP(Hoja5!A1228,Agregado!B1512:B2736,Agregado!G1228:G2736)</f>
        <v>#N/A</v>
      </c>
    </row>
    <row r="1229" ht="15.75" customHeight="1">
      <c r="A1229" s="12">
        <v>44872.0</v>
      </c>
      <c r="B1229" s="2">
        <v>379.95</v>
      </c>
      <c r="C1229" s="3">
        <v>44753.0</v>
      </c>
      <c r="D1229" s="4" t="str">
        <f t="array" ref="D1229">XLOOKUP(Hoja5!A1229,Agregado!B1512:B2737,Agregado!G1229:G2737)</f>
        <v>#N/A</v>
      </c>
    </row>
    <row r="1230" ht="15.75" customHeight="1">
      <c r="A1230" s="12">
        <v>44873.0</v>
      </c>
      <c r="B1230" s="2">
        <v>382.0</v>
      </c>
      <c r="C1230" s="3">
        <v>44784.0</v>
      </c>
      <c r="D1230" s="4" t="str">
        <f t="array" ref="D1230">XLOOKUP(Hoja5!A1230,Agregado!B1512:B2738,Agregado!G1230:G2738)</f>
        <v>#N/A</v>
      </c>
    </row>
    <row r="1231" ht="15.75" customHeight="1">
      <c r="A1231" s="12">
        <v>44874.0</v>
      </c>
      <c r="B1231" s="2">
        <v>374.13</v>
      </c>
      <c r="C1231" s="3">
        <v>44815.0</v>
      </c>
      <c r="D1231" s="4" t="str">
        <f t="array" ref="D1231">XLOOKUP(Hoja5!A1231,Agregado!B1512:B2739,Agregado!G1231:G2739)</f>
        <v>#N/A</v>
      </c>
    </row>
    <row r="1232" ht="15.75" customHeight="1">
      <c r="A1232" s="12">
        <v>44875.0</v>
      </c>
      <c r="B1232" s="2">
        <v>394.69</v>
      </c>
      <c r="C1232" s="3">
        <v>44845.0</v>
      </c>
      <c r="D1232" s="4" t="str">
        <f t="array" ref="D1232">XLOOKUP(Hoja5!A1232,Agregado!B1512:B2740,Agregado!G1232:G2740)</f>
        <v>#N/A</v>
      </c>
    </row>
    <row r="1233" ht="15.75" customHeight="1">
      <c r="A1233" s="12">
        <v>44876.0</v>
      </c>
      <c r="B1233" s="2">
        <v>398.51</v>
      </c>
      <c r="C1233" s="3">
        <v>44876.0</v>
      </c>
      <c r="D1233" s="4" t="str">
        <f t="array" ref="D1233">XLOOKUP(Hoja5!A1233,Agregado!B1512:B2741,Agregado!G1233:G2741)</f>
        <v>#N/A</v>
      </c>
    </row>
    <row r="1234" ht="15.75" customHeight="1">
      <c r="A1234" s="12">
        <v>44879.0</v>
      </c>
      <c r="B1234" s="2">
        <v>395.12</v>
      </c>
      <c r="C1234" s="3" t="s">
        <v>738</v>
      </c>
      <c r="D1234" s="4" t="str">
        <f t="array" ref="D1234">XLOOKUP(Hoja5!A1234,Agregado!B1512:B2742,Agregado!G1234:G2742)</f>
        <v>#N/A</v>
      </c>
    </row>
    <row r="1235" ht="15.75" customHeight="1">
      <c r="A1235" s="12">
        <v>44880.0</v>
      </c>
      <c r="B1235" s="2">
        <v>398.49</v>
      </c>
      <c r="C1235" s="3" t="s">
        <v>739</v>
      </c>
      <c r="D1235" s="4" t="str">
        <f t="array" ref="D1235">XLOOKUP(Hoja5!A1235,Agregado!B1512:B2743,Agregado!G1235:G2743)</f>
        <v>#N/A</v>
      </c>
    </row>
    <row r="1236" ht="15.75" customHeight="1">
      <c r="A1236" s="12">
        <v>44881.0</v>
      </c>
      <c r="B1236" s="2">
        <v>395.45</v>
      </c>
      <c r="C1236" s="3" t="s">
        <v>740</v>
      </c>
      <c r="D1236" s="4" t="str">
        <f t="array" ref="D1236">XLOOKUP(Hoja5!A1236,Agregado!B1512:B2744,Agregado!G1236:G2744)</f>
        <v>#N/A</v>
      </c>
    </row>
    <row r="1237" ht="15.75" customHeight="1">
      <c r="A1237" s="12">
        <v>44882.0</v>
      </c>
      <c r="B1237" s="2">
        <v>394.24</v>
      </c>
      <c r="C1237" s="3" t="s">
        <v>741</v>
      </c>
      <c r="D1237" s="4" t="str">
        <f t="array" ref="D1237">XLOOKUP(Hoja5!A1237,Agregado!B1512:B2745,Agregado!G1237:G2745)</f>
        <v>#N/A</v>
      </c>
    </row>
    <row r="1238" ht="15.75" customHeight="1">
      <c r="A1238" s="12">
        <v>44883.0</v>
      </c>
      <c r="B1238" s="2">
        <v>396.03</v>
      </c>
      <c r="C1238" s="3" t="s">
        <v>742</v>
      </c>
      <c r="D1238" s="4" t="str">
        <f t="array" ref="D1238">XLOOKUP(Hoja5!A1238,Agregado!B1512:B2746,Agregado!G1238:G2746)</f>
        <v>#N/A</v>
      </c>
    </row>
    <row r="1239" ht="15.75" customHeight="1">
      <c r="A1239" s="12">
        <v>44886.0</v>
      </c>
      <c r="B1239" s="2">
        <v>394.59</v>
      </c>
      <c r="C1239" s="3" t="s">
        <v>743</v>
      </c>
      <c r="D1239" s="4" t="str">
        <f t="array" ref="D1239">XLOOKUP(Hoja5!A1239,Agregado!B1512:B2747,Agregado!G1239:G2747)</f>
        <v>#N/A</v>
      </c>
    </row>
    <row r="1240" ht="15.75" customHeight="1">
      <c r="A1240" s="12">
        <v>44887.0</v>
      </c>
      <c r="B1240" s="2">
        <v>399.9</v>
      </c>
      <c r="C1240" s="3" t="s">
        <v>744</v>
      </c>
      <c r="D1240" s="4" t="str">
        <f t="array" ref="D1240">XLOOKUP(Hoja5!A1240,Agregado!B1512:B2748,Agregado!G1240:G2748)</f>
        <v>#N/A</v>
      </c>
    </row>
    <row r="1241" ht="15.75" customHeight="1">
      <c r="A1241" s="12">
        <v>44888.0</v>
      </c>
      <c r="B1241" s="2">
        <v>402.42</v>
      </c>
      <c r="C1241" s="3" t="s">
        <v>745</v>
      </c>
      <c r="D1241" s="4" t="str">
        <f t="array" ref="D1241">XLOOKUP(Hoja5!A1241,Agregado!B1512:B2749,Agregado!G1241:G2749)</f>
        <v>#N/A</v>
      </c>
    </row>
    <row r="1242" ht="15.75" customHeight="1">
      <c r="A1242" s="12">
        <v>44890.0</v>
      </c>
      <c r="B1242" s="2">
        <v>402.33</v>
      </c>
      <c r="C1242" s="3" t="s">
        <v>746</v>
      </c>
      <c r="D1242" s="4" t="str">
        <f t="array" ref="D1242">XLOOKUP(Hoja5!A1242,Agregado!B1512:B2750,Agregado!G1242:G2750)</f>
        <v>#N/A</v>
      </c>
    </row>
    <row r="1243" ht="15.75" customHeight="1">
      <c r="A1243" s="12">
        <v>44893.0</v>
      </c>
      <c r="B1243" s="2">
        <v>395.91</v>
      </c>
      <c r="C1243" s="3" t="s">
        <v>747</v>
      </c>
      <c r="D1243" s="4" t="str">
        <f t="array" ref="D1243">XLOOKUP(Hoja5!A1243,Agregado!B1512:B2751,Agregado!G1243:G2751)</f>
        <v>#N/A</v>
      </c>
    </row>
    <row r="1244" ht="15.75" customHeight="1">
      <c r="A1244" s="12">
        <v>44894.0</v>
      </c>
      <c r="B1244" s="2">
        <v>395.23</v>
      </c>
      <c r="C1244" s="3" t="s">
        <v>748</v>
      </c>
      <c r="D1244" s="4" t="str">
        <f t="array" ref="D1244">XLOOKUP(Hoja5!A1244,Agregado!B1512:B2752,Agregado!G1244:G2752)</f>
        <v>#N/A</v>
      </c>
    </row>
    <row r="1245" ht="15.75" customHeight="1">
      <c r="A1245" s="12">
        <v>44895.0</v>
      </c>
      <c r="B1245" s="2">
        <v>407.68</v>
      </c>
      <c r="C1245" s="3" t="s">
        <v>749</v>
      </c>
      <c r="D1245" s="4" t="str">
        <f t="array" ref="D1245">XLOOKUP(Hoja5!A1245,Agregado!B1512:B2753,Agregado!G1245:G2753)</f>
        <v>#N/A</v>
      </c>
    </row>
    <row r="1246" ht="15.75" customHeight="1">
      <c r="A1246" s="12">
        <v>44896.0</v>
      </c>
      <c r="B1246" s="2">
        <v>407.38</v>
      </c>
      <c r="C1246" s="3">
        <v>44573.0</v>
      </c>
      <c r="D1246" s="4" t="str">
        <f t="array" ref="D1246">XLOOKUP(Hoja5!A1246,Agregado!B1512:B2754,Agregado!G1246:G2754)</f>
        <v>#N/A</v>
      </c>
    </row>
    <row r="1247" ht="15.75" customHeight="1">
      <c r="A1247" s="12">
        <v>44897.0</v>
      </c>
      <c r="B1247" s="2">
        <v>406.91</v>
      </c>
      <c r="C1247" s="3">
        <v>44604.0</v>
      </c>
      <c r="D1247" s="4" t="str">
        <f t="array" ref="D1247">XLOOKUP(Hoja5!A1247,Agregado!B1512:B2755,Agregado!G1247:G2755)</f>
        <v>#N/A</v>
      </c>
    </row>
    <row r="1248" ht="15.75" customHeight="1">
      <c r="A1248" s="12">
        <v>44900.0</v>
      </c>
      <c r="B1248" s="2">
        <v>399.59</v>
      </c>
      <c r="C1248" s="3">
        <v>44693.0</v>
      </c>
      <c r="D1248" s="4" t="str">
        <f t="array" ref="D1248">XLOOKUP(Hoja5!A1248,Agregado!B1512:B2756,Agregado!G1248:G2756)</f>
        <v>#N/A</v>
      </c>
    </row>
    <row r="1249" ht="15.75" customHeight="1">
      <c r="A1249" s="12">
        <v>44901.0</v>
      </c>
      <c r="B1249" s="2">
        <v>393.83</v>
      </c>
      <c r="C1249" s="3">
        <v>44724.0</v>
      </c>
      <c r="D1249" s="4" t="str">
        <f t="array" ref="D1249">XLOOKUP(Hoja5!A1249,Agregado!B1512:B2757,Agregado!G1249:G2757)</f>
        <v>#N/A</v>
      </c>
    </row>
    <row r="1250" ht="15.75" customHeight="1">
      <c r="A1250" s="12">
        <v>44902.0</v>
      </c>
      <c r="B1250" s="2">
        <v>393.16</v>
      </c>
      <c r="C1250" s="3">
        <v>44754.0</v>
      </c>
      <c r="D1250" s="4" t="str">
        <f t="array" ref="D1250">XLOOKUP(Hoja5!A1250,Agregado!B1512:B2758,Agregado!G1250:G2758)</f>
        <v>#N/A</v>
      </c>
    </row>
    <row r="1251" ht="15.75" customHeight="1">
      <c r="A1251" s="12">
        <v>44903.0</v>
      </c>
      <c r="B1251" s="2">
        <v>396.24</v>
      </c>
      <c r="C1251" s="3">
        <v>44785.0</v>
      </c>
      <c r="D1251" s="4" t="str">
        <f t="array" ref="D1251">XLOOKUP(Hoja5!A1251,Agregado!B1512:B2759,Agregado!G1251:G2759)</f>
        <v>#N/A</v>
      </c>
    </row>
    <row r="1252" ht="15.75" customHeight="1">
      <c r="A1252" s="12">
        <v>44904.0</v>
      </c>
      <c r="B1252" s="2">
        <v>393.28</v>
      </c>
      <c r="C1252" s="3">
        <v>44816.0</v>
      </c>
      <c r="D1252" s="4" t="str">
        <f t="array" ref="D1252">XLOOKUP(Hoja5!A1252,Agregado!B1512:B2760,Agregado!G1252:G2760)</f>
        <v>#N/A</v>
      </c>
    </row>
    <row r="1253" ht="15.75" customHeight="1">
      <c r="A1253" s="12">
        <v>44907.0</v>
      </c>
      <c r="B1253" s="2">
        <v>398.95</v>
      </c>
      <c r="C1253" s="3">
        <v>44907.0</v>
      </c>
      <c r="D1253" s="4" t="str">
        <f t="array" ref="D1253">XLOOKUP(Hoja5!A1253,Agregado!B1512:B2761,Agregado!G1253:G2761)</f>
        <v>#N/A</v>
      </c>
    </row>
    <row r="1254" ht="15.75" customHeight="1">
      <c r="A1254" s="12">
        <v>44908.0</v>
      </c>
      <c r="B1254" s="2">
        <v>401.97</v>
      </c>
      <c r="C1254" s="3" t="s">
        <v>750</v>
      </c>
      <c r="D1254" s="4" t="str">
        <f t="array" ref="D1254">XLOOKUP(Hoja5!A1254,Agregado!B1512:B2762,Agregado!G1254:G2762)</f>
        <v>#N/A</v>
      </c>
    </row>
    <row r="1255" ht="15.75" customHeight="1">
      <c r="A1255" s="12">
        <v>44909.0</v>
      </c>
      <c r="B1255" s="2">
        <v>399.4</v>
      </c>
      <c r="C1255" s="3" t="s">
        <v>751</v>
      </c>
      <c r="D1255" s="4" t="str">
        <f t="array" ref="D1255">XLOOKUP(Hoja5!A1255,Agregado!B1512:B2763,Agregado!G1255:G2763)</f>
        <v>#N/A</v>
      </c>
    </row>
    <row r="1256" ht="15.75" customHeight="1">
      <c r="A1256" s="12">
        <v>44910.0</v>
      </c>
      <c r="B1256" s="2">
        <v>389.63</v>
      </c>
      <c r="C1256" s="3" t="s">
        <v>752</v>
      </c>
      <c r="D1256" s="4" t="str">
        <f t="array" ref="D1256">XLOOKUP(Hoja5!A1256,Agregado!B1512:B2764,Agregado!G1256:G2764)</f>
        <v>#N/A</v>
      </c>
    </row>
    <row r="1257" ht="15.75" customHeight="1">
      <c r="A1257" s="12">
        <v>44911.0</v>
      </c>
      <c r="B1257" s="2">
        <v>383.27</v>
      </c>
      <c r="C1257" s="3" t="s">
        <v>753</v>
      </c>
      <c r="D1257" s="4" t="str">
        <f t="array" ref="D1257">XLOOKUP(Hoja5!A1257,Agregado!B1512:B2765,Agregado!G1257:G2765)</f>
        <v>#N/A</v>
      </c>
    </row>
    <row r="1258" ht="15.75" customHeight="1">
      <c r="A1258" s="12">
        <v>44914.0</v>
      </c>
      <c r="B1258" s="2">
        <v>380.02</v>
      </c>
      <c r="C1258" s="3" t="s">
        <v>754</v>
      </c>
      <c r="D1258" s="4" t="str">
        <f t="array" ref="D1258">XLOOKUP(Hoja5!A1258,Agregado!B1512:B2766,Agregado!G1258:G2766)</f>
        <v>#N/A</v>
      </c>
    </row>
    <row r="1259" ht="15.75" customHeight="1">
      <c r="A1259" s="12">
        <v>44915.0</v>
      </c>
      <c r="B1259" s="2">
        <v>380.54</v>
      </c>
      <c r="C1259" s="3" t="s">
        <v>755</v>
      </c>
      <c r="D1259" s="4" t="str">
        <f t="array" ref="D1259">XLOOKUP(Hoja5!A1259,Agregado!B1512:B2767,Agregado!G1259:G2767)</f>
        <v>#N/A</v>
      </c>
    </row>
    <row r="1260" ht="15.75" customHeight="1">
      <c r="A1260" s="12">
        <v>44916.0</v>
      </c>
      <c r="B1260" s="2">
        <v>386.23</v>
      </c>
      <c r="C1260" s="3" t="s">
        <v>756</v>
      </c>
      <c r="D1260" s="4" t="str">
        <f t="array" ref="D1260">XLOOKUP(Hoja5!A1260,Agregado!B1512:B2768,Agregado!G1260:G2768)</f>
        <v>#N/A</v>
      </c>
    </row>
    <row r="1261" ht="15.75" customHeight="1">
      <c r="A1261" s="12">
        <v>44917.0</v>
      </c>
      <c r="B1261" s="2">
        <v>380.72</v>
      </c>
      <c r="C1261" s="3" t="s">
        <v>757</v>
      </c>
      <c r="D1261" s="4" t="str">
        <f t="array" ref="D1261">XLOOKUP(Hoja5!A1261,Agregado!B1512:B2769,Agregado!G1261:G2769)</f>
        <v>#N/A</v>
      </c>
    </row>
    <row r="1262" ht="15.75" customHeight="1">
      <c r="A1262" s="12">
        <v>44918.0</v>
      </c>
      <c r="B1262" s="2">
        <v>382.91</v>
      </c>
      <c r="C1262" s="3" t="s">
        <v>758</v>
      </c>
      <c r="D1262" s="4" t="str">
        <f t="array" ref="D1262">XLOOKUP(Hoja5!A1262,Agregado!B1512:B2770,Agregado!G1262:G2770)</f>
        <v>#N/A</v>
      </c>
    </row>
    <row r="1263" ht="15.75" customHeight="1">
      <c r="A1263" s="12">
        <v>44922.0</v>
      </c>
      <c r="B1263" s="2">
        <v>381.4</v>
      </c>
      <c r="C1263" s="3" t="s">
        <v>759</v>
      </c>
      <c r="D1263" s="4" t="str">
        <f t="array" ref="D1263">XLOOKUP(Hoja5!A1263,Agregado!B1512:B2771,Agregado!G1263:G2771)</f>
        <v>#N/A</v>
      </c>
    </row>
    <row r="1264" ht="15.75" customHeight="1">
      <c r="A1264" s="12">
        <v>44923.0</v>
      </c>
      <c r="B1264" s="2">
        <v>376.66</v>
      </c>
      <c r="C1264" s="3" t="s">
        <v>760</v>
      </c>
      <c r="D1264" s="4" t="str">
        <f t="array" ref="D1264">XLOOKUP(Hoja5!A1264,Agregado!B1512:B2772,Agregado!G1264:G2772)</f>
        <v>#N/A</v>
      </c>
    </row>
    <row r="1265" ht="15.75" customHeight="1">
      <c r="A1265" s="12">
        <v>44924.0</v>
      </c>
      <c r="B1265" s="2">
        <v>383.44</v>
      </c>
      <c r="C1265" s="3" t="s">
        <v>761</v>
      </c>
      <c r="D1265" s="4" t="str">
        <f t="array" ref="D1265">XLOOKUP(Hoja5!A1265,Agregado!B1512:B2773,Agregado!G1265:G2773)</f>
        <v>#N/A</v>
      </c>
    </row>
    <row r="1266" ht="15.75" customHeight="1">
      <c r="A1266" s="12">
        <v>44925.0</v>
      </c>
      <c r="B1266" s="2">
        <v>382.43</v>
      </c>
      <c r="D1266" s="4" t="str">
        <f t="array" ref="D1266">XLOOKUP(Hoja5!A1266,Agregado!B1512:B2774,Agregado!G1266:G2774)</f>
        <v>#N/A</v>
      </c>
    </row>
    <row r="1267" ht="15.75" customHeight="1">
      <c r="A1267" s="12">
        <v>44929.0</v>
      </c>
      <c r="B1267" s="2">
        <v>380.82</v>
      </c>
      <c r="C1267" s="3">
        <v>44986.0</v>
      </c>
      <c r="D1267" s="4" t="str">
        <f t="array" ref="D1267">XLOOKUP(Hoja5!A1267,Agregado!B1512:B2775,Agregado!G1267:G2775)</f>
        <v>#N/A</v>
      </c>
    </row>
    <row r="1268" ht="15.75" customHeight="1">
      <c r="A1268" s="12">
        <v>44930.0</v>
      </c>
      <c r="B1268" s="2">
        <v>383.76</v>
      </c>
      <c r="C1268" s="3">
        <v>45017.0</v>
      </c>
      <c r="D1268" s="4" t="str">
        <f t="array" ref="D1268">XLOOKUP(Hoja5!A1268,Agregado!B1512:B2776,Agregado!G1268:G2776)</f>
        <v>#N/A</v>
      </c>
    </row>
    <row r="1269" ht="15.75" customHeight="1">
      <c r="A1269" s="12">
        <v>44931.0</v>
      </c>
      <c r="B1269" s="2">
        <v>379.38</v>
      </c>
      <c r="C1269" s="3">
        <v>45047.0</v>
      </c>
      <c r="D1269" s="4" t="str">
        <f t="array" ref="D1269">XLOOKUP(Hoja5!A1269,Agregado!B1512:B2777,Agregado!G1269:G2777)</f>
        <v>#N/A</v>
      </c>
    </row>
    <row r="1270" ht="15.75" customHeight="1">
      <c r="A1270" s="12">
        <v>44932.0</v>
      </c>
      <c r="B1270" s="2">
        <v>388.08</v>
      </c>
      <c r="C1270" s="3">
        <v>45078.0</v>
      </c>
      <c r="D1270" s="4" t="str">
        <f t="array" ref="D1270">XLOOKUP(Hoja5!A1270,Agregado!B1512:B2778,Agregado!G1270:G2778)</f>
        <v>#N/A</v>
      </c>
    </row>
    <row r="1271" ht="15.75" customHeight="1">
      <c r="A1271" s="12">
        <v>44935.0</v>
      </c>
      <c r="B1271" s="2">
        <v>387.86</v>
      </c>
      <c r="C1271" s="3">
        <v>45170.0</v>
      </c>
      <c r="D1271" s="4" t="str">
        <f t="array" ref="D1271">XLOOKUP(Hoja5!A1271,Agregado!B1512:B2779,Agregado!G1271:G2779)</f>
        <v>#N/A</v>
      </c>
    </row>
    <row r="1272" ht="15.75" customHeight="1">
      <c r="A1272" s="12">
        <v>44936.0</v>
      </c>
      <c r="B1272" s="2">
        <v>390.58</v>
      </c>
      <c r="C1272" s="3">
        <v>45200.0</v>
      </c>
      <c r="D1272" s="4" t="str">
        <f t="array" ref="D1272">XLOOKUP(Hoja5!A1272,Agregado!B1512:B2780,Agregado!G1272:G2780)</f>
        <v>#N/A</v>
      </c>
    </row>
    <row r="1273" ht="15.75" customHeight="1">
      <c r="A1273" s="12">
        <v>44937.0</v>
      </c>
      <c r="B1273" s="2">
        <v>395.52</v>
      </c>
      <c r="C1273" s="3">
        <v>45231.0</v>
      </c>
      <c r="D1273" s="4" t="str">
        <f t="array" ref="D1273">XLOOKUP(Hoja5!A1273,Agregado!B1512:B2781,Agregado!G1273:G2781)</f>
        <v>#N/A</v>
      </c>
    </row>
    <row r="1274" ht="15.75" customHeight="1">
      <c r="A1274" s="12">
        <v>44938.0</v>
      </c>
      <c r="B1274" s="2">
        <v>396.96</v>
      </c>
      <c r="C1274" s="3">
        <v>45261.0</v>
      </c>
      <c r="D1274" s="4" t="str">
        <f t="array" ref="D1274">XLOOKUP(Hoja5!A1274,Agregado!B1512:B2782,Agregado!G1274:G2782)</f>
        <v>#N/A</v>
      </c>
    </row>
    <row r="1275" ht="15.75" customHeight="1">
      <c r="A1275" s="12">
        <v>44939.0</v>
      </c>
      <c r="B1275" s="2">
        <v>398.5</v>
      </c>
      <c r="C1275" s="3" t="s">
        <v>762</v>
      </c>
      <c r="D1275" s="4" t="str">
        <f t="array" ref="D1275">XLOOKUP(Hoja5!A1275,Agregado!B1512:B2783,Agregado!G1275:G2783)</f>
        <v>#N/A</v>
      </c>
    </row>
    <row r="1276" ht="15.75" customHeight="1">
      <c r="A1276" s="12">
        <v>44943.0</v>
      </c>
      <c r="B1276" s="2">
        <v>397.77</v>
      </c>
      <c r="C1276" s="3" t="s">
        <v>763</v>
      </c>
      <c r="D1276" s="4" t="str">
        <f t="array" ref="D1276">XLOOKUP(Hoja5!A1276,Agregado!B1512:B2784,Agregado!G1276:G2784)</f>
        <v>#N/A</v>
      </c>
    </row>
    <row r="1277" ht="15.75" customHeight="1">
      <c r="A1277" s="12">
        <v>44944.0</v>
      </c>
      <c r="B1277" s="2">
        <v>391.49</v>
      </c>
      <c r="C1277" s="3" t="s">
        <v>764</v>
      </c>
      <c r="D1277" s="4" t="str">
        <f t="array" ref="D1277">XLOOKUP(Hoja5!A1277,Agregado!B1512:B2785,Agregado!G1277:G2785)</f>
        <v>#N/A</v>
      </c>
    </row>
    <row r="1278" ht="15.75" customHeight="1">
      <c r="A1278" s="12">
        <v>44945.0</v>
      </c>
      <c r="B1278" s="2">
        <v>388.64</v>
      </c>
      <c r="C1278" s="3" t="s">
        <v>765</v>
      </c>
      <c r="D1278" s="4" t="str">
        <f t="array" ref="D1278">XLOOKUP(Hoja5!A1278,Agregado!B1512:B2786,Agregado!G1278:G2786)</f>
        <v>#N/A</v>
      </c>
    </row>
    <row r="1279" ht="15.75" customHeight="1">
      <c r="A1279" s="12">
        <v>44946.0</v>
      </c>
      <c r="B1279" s="2">
        <v>395.88</v>
      </c>
      <c r="C1279" s="3" t="s">
        <v>766</v>
      </c>
      <c r="D1279" s="4" t="str">
        <f t="array" ref="D1279">XLOOKUP(Hoja5!A1279,Agregado!B1512:B2787,Agregado!G1279:G2787)</f>
        <v>#N/A</v>
      </c>
    </row>
    <row r="1280" ht="15.75" customHeight="1">
      <c r="A1280" s="12">
        <v>44949.0</v>
      </c>
      <c r="B1280" s="2">
        <v>400.63</v>
      </c>
      <c r="C1280" s="3" t="s">
        <v>767</v>
      </c>
      <c r="D1280" s="4" t="str">
        <f t="array" ref="D1280">XLOOKUP(Hoja5!A1280,Agregado!B1512:B2788,Agregado!G1280:G2788)</f>
        <v>#N/A</v>
      </c>
    </row>
    <row r="1281" ht="15.75" customHeight="1">
      <c r="A1281" s="12">
        <v>44950.0</v>
      </c>
      <c r="B1281" s="2">
        <v>400.2</v>
      </c>
      <c r="C1281" s="3" t="s">
        <v>768</v>
      </c>
      <c r="D1281" s="4" t="str">
        <f t="array" ref="D1281">XLOOKUP(Hoja5!A1281,Agregado!B1512:B2789,Agregado!G1281:G2789)</f>
        <v>#N/A</v>
      </c>
    </row>
    <row r="1282" ht="15.75" customHeight="1">
      <c r="A1282" s="12">
        <v>44951.0</v>
      </c>
      <c r="B1282" s="2">
        <v>400.35</v>
      </c>
      <c r="C1282" s="3" t="s">
        <v>769</v>
      </c>
      <c r="D1282" s="4" t="str">
        <f t="array" ref="D1282">XLOOKUP(Hoja5!A1282,Agregado!B1512:B2790,Agregado!G1282:G2790)</f>
        <v>#N/A</v>
      </c>
    </row>
    <row r="1283" ht="15.75" customHeight="1">
      <c r="A1283" s="12">
        <v>44952.0</v>
      </c>
      <c r="B1283" s="2">
        <v>404.75</v>
      </c>
      <c r="C1283" s="3" t="s">
        <v>770</v>
      </c>
      <c r="D1283" s="4" t="str">
        <f t="array" ref="D1283">XLOOKUP(Hoja5!A1283,Agregado!B1512:B2791,Agregado!G1283:G2791)</f>
        <v>#N/A</v>
      </c>
    </row>
    <row r="1284" ht="15.75" customHeight="1">
      <c r="A1284" s="12">
        <v>44953.0</v>
      </c>
      <c r="B1284" s="2">
        <v>405.68</v>
      </c>
      <c r="C1284" s="3" t="s">
        <v>771</v>
      </c>
      <c r="D1284" s="4" t="str">
        <f t="array" ref="D1284">XLOOKUP(Hoja5!A1284,Agregado!B1512:B2792,Agregado!G1284:G2792)</f>
        <v>#N/A</v>
      </c>
    </row>
    <row r="1285" ht="15.75" customHeight="1">
      <c r="A1285" s="12">
        <v>44956.0</v>
      </c>
      <c r="B1285" s="2">
        <v>400.59</v>
      </c>
      <c r="C1285" s="3" t="s">
        <v>772</v>
      </c>
      <c r="D1285" s="4" t="str">
        <f t="array" ref="D1285">XLOOKUP(Hoja5!A1285,Agregado!B1512:B2793,Agregado!G1285:G2793)</f>
        <v>#N/A</v>
      </c>
    </row>
    <row r="1286" ht="15.75" customHeight="1">
      <c r="A1286" s="12">
        <v>44957.0</v>
      </c>
      <c r="B1286" s="2">
        <v>406.48</v>
      </c>
      <c r="C1286" s="3" t="s">
        <v>773</v>
      </c>
      <c r="D1286" s="4" t="str">
        <f t="array" ref="D1286">XLOOKUP(Hoja5!A1286,Agregado!B1512:B2794,Agregado!G1286:G2794)</f>
        <v>#N/A</v>
      </c>
    </row>
    <row r="1287" ht="15.75" customHeight="1">
      <c r="A1287" s="12">
        <v>44958.0</v>
      </c>
      <c r="B1287" s="2">
        <v>410.8</v>
      </c>
      <c r="C1287" s="3">
        <v>44928.0</v>
      </c>
      <c r="D1287" s="4" t="str">
        <f t="array" ref="D1287">XLOOKUP(Hoja5!A1287,Agregado!B1512:B2795,Agregado!G1287:G2795)</f>
        <v>#N/A</v>
      </c>
    </row>
    <row r="1288" ht="15.75" customHeight="1">
      <c r="A1288" s="12">
        <v>44959.0</v>
      </c>
      <c r="B1288" s="2">
        <v>416.78</v>
      </c>
      <c r="C1288" s="3">
        <v>44959.0</v>
      </c>
      <c r="D1288" s="4" t="str">
        <f t="array" ref="D1288">XLOOKUP(Hoja5!A1288,Agregado!B1512:B2796,Agregado!G1288:G2796)</f>
        <v>#N/A</v>
      </c>
    </row>
    <row r="1289" ht="15.75" customHeight="1">
      <c r="A1289" s="12">
        <v>44960.0</v>
      </c>
      <c r="B1289" s="2">
        <v>412.35</v>
      </c>
      <c r="C1289" s="3">
        <v>44987.0</v>
      </c>
      <c r="D1289" s="4" t="str">
        <f t="array" ref="D1289">XLOOKUP(Hoja5!A1289,Agregado!B1512:B2797,Agregado!G1289:G2797)</f>
        <v>#N/A</v>
      </c>
    </row>
    <row r="1290" ht="15.75" customHeight="1">
      <c r="A1290" s="12">
        <v>44963.0</v>
      </c>
      <c r="B1290" s="2">
        <v>409.83</v>
      </c>
      <c r="C1290" s="3">
        <v>45079.0</v>
      </c>
      <c r="D1290" s="4" t="str">
        <f t="array" ref="D1290">XLOOKUP(Hoja5!A1290,Agregado!B1512:B2798,Agregado!G1290:G2798)</f>
        <v>#N/A</v>
      </c>
    </row>
    <row r="1291" ht="15.75" customHeight="1">
      <c r="A1291" s="12">
        <v>44964.0</v>
      </c>
      <c r="B1291" s="2">
        <v>415.19</v>
      </c>
      <c r="C1291" s="3">
        <v>45109.0</v>
      </c>
      <c r="D1291" s="4" t="str">
        <f t="array" ref="D1291">XLOOKUP(Hoja5!A1291,Agregado!B1512:B2799,Agregado!G1291:G2799)</f>
        <v>#N/A</v>
      </c>
    </row>
    <row r="1292" ht="15.75" customHeight="1">
      <c r="A1292" s="12">
        <v>44965.0</v>
      </c>
      <c r="B1292" s="2">
        <v>410.65</v>
      </c>
      <c r="C1292" s="3">
        <v>45140.0</v>
      </c>
      <c r="D1292" s="4" t="str">
        <f t="array" ref="D1292">XLOOKUP(Hoja5!A1292,Agregado!B1512:B2800,Agregado!G1292:G2800)</f>
        <v>#N/A</v>
      </c>
    </row>
    <row r="1293" ht="15.75" customHeight="1">
      <c r="A1293" s="12">
        <v>44966.0</v>
      </c>
      <c r="B1293" s="2">
        <v>407.09</v>
      </c>
      <c r="C1293" s="3">
        <v>45171.0</v>
      </c>
      <c r="D1293" s="4" t="str">
        <f t="array" ref="D1293">XLOOKUP(Hoja5!A1293,Agregado!B1512:B2801,Agregado!G1293:G2801)</f>
        <v>#N/A</v>
      </c>
    </row>
    <row r="1294" ht="15.75" customHeight="1">
      <c r="A1294" s="12">
        <v>44967.0</v>
      </c>
      <c r="B1294" s="2">
        <v>408.04</v>
      </c>
      <c r="C1294" s="3">
        <v>45201.0</v>
      </c>
      <c r="D1294" s="4" t="str">
        <f t="array" ref="D1294">XLOOKUP(Hoja5!A1294,Agregado!B1512:B2802,Agregado!G1294:G2802)</f>
        <v>#N/A</v>
      </c>
    </row>
    <row r="1295" ht="15.75" customHeight="1">
      <c r="A1295" s="12">
        <v>44970.0</v>
      </c>
      <c r="B1295" s="2">
        <v>412.83</v>
      </c>
      <c r="C1295" s="3" t="s">
        <v>774</v>
      </c>
      <c r="D1295" s="4" t="str">
        <f t="array" ref="D1295">XLOOKUP(Hoja5!A1295,Agregado!B1512:B2803,Agregado!G1295:G2803)</f>
        <v>#N/A</v>
      </c>
    </row>
    <row r="1296" ht="15.75" customHeight="1">
      <c r="A1296" s="12">
        <v>44971.0</v>
      </c>
      <c r="B1296" s="2">
        <v>412.64</v>
      </c>
      <c r="C1296" s="3" t="s">
        <v>775</v>
      </c>
      <c r="D1296" s="4" t="str">
        <f t="array" ref="D1296">XLOOKUP(Hoja5!A1296,Agregado!B1512:B2804,Agregado!G1296:G2804)</f>
        <v>#N/A</v>
      </c>
    </row>
    <row r="1297" ht="15.75" customHeight="1">
      <c r="A1297" s="12">
        <v>44972.0</v>
      </c>
      <c r="B1297" s="2">
        <v>413.98</v>
      </c>
      <c r="C1297" s="3" t="s">
        <v>776</v>
      </c>
      <c r="D1297" s="4" t="str">
        <f t="array" ref="D1297">XLOOKUP(Hoja5!A1297,Agregado!B1512:B2805,Agregado!G1297:G2805)</f>
        <v>#N/A</v>
      </c>
    </row>
    <row r="1298" ht="15.75" customHeight="1">
      <c r="A1298" s="12">
        <v>44973.0</v>
      </c>
      <c r="B1298" s="2">
        <v>408.28</v>
      </c>
      <c r="C1298" s="3" t="s">
        <v>777</v>
      </c>
      <c r="D1298" s="4" t="str">
        <f t="array" ref="D1298">XLOOKUP(Hoja5!A1298,Agregado!B1512:B2806,Agregado!G1298:G2806)</f>
        <v>#N/A</v>
      </c>
    </row>
    <row r="1299" ht="15.75" customHeight="1">
      <c r="A1299" s="12">
        <v>44974.0</v>
      </c>
      <c r="B1299" s="2">
        <v>407.26</v>
      </c>
      <c r="C1299" s="3" t="s">
        <v>778</v>
      </c>
      <c r="D1299" s="4" t="str">
        <f t="array" ref="D1299">XLOOKUP(Hoja5!A1299,Agregado!B1512:B2807,Agregado!G1299:G2807)</f>
        <v>#N/A</v>
      </c>
    </row>
    <row r="1300" ht="15.75" customHeight="1">
      <c r="A1300" s="12">
        <v>44978.0</v>
      </c>
      <c r="B1300" s="2">
        <v>399.09</v>
      </c>
      <c r="C1300" s="3" t="s">
        <v>779</v>
      </c>
      <c r="D1300" s="4" t="str">
        <f t="array" ref="D1300">XLOOKUP(Hoja5!A1300,Agregado!B1512:B2808,Agregado!G1300:G2808)</f>
        <v>#N/A</v>
      </c>
    </row>
    <row r="1301" ht="15.75" customHeight="1">
      <c r="A1301" s="12">
        <v>44979.0</v>
      </c>
      <c r="B1301" s="2">
        <v>398.54</v>
      </c>
      <c r="C1301" s="3" t="s">
        <v>780</v>
      </c>
      <c r="D1301" s="4" t="str">
        <f t="array" ref="D1301">XLOOKUP(Hoja5!A1301,Agregado!B1512:B2809,Agregado!G1301:G2809)</f>
        <v>#N/A</v>
      </c>
    </row>
    <row r="1302" ht="15.75" customHeight="1">
      <c r="A1302" s="12">
        <v>44980.0</v>
      </c>
      <c r="B1302" s="2">
        <v>400.66</v>
      </c>
      <c r="C1302" s="3" t="s">
        <v>781</v>
      </c>
      <c r="D1302" s="4" t="str">
        <f t="array" ref="D1302">XLOOKUP(Hoja5!A1302,Agregado!B1512:B2810,Agregado!G1302:G2810)</f>
        <v>#N/A</v>
      </c>
    </row>
    <row r="1303" ht="15.75" customHeight="1">
      <c r="A1303" s="12">
        <v>44981.0</v>
      </c>
      <c r="B1303" s="2">
        <v>396.38</v>
      </c>
      <c r="C1303" s="3" t="s">
        <v>782</v>
      </c>
      <c r="D1303" s="4" t="str">
        <f t="array" ref="D1303">XLOOKUP(Hoja5!A1303,Agregado!B1512:B2811,Agregado!G1303:G2811)</f>
        <v>#N/A</v>
      </c>
    </row>
    <row r="1304" ht="15.75" customHeight="1">
      <c r="A1304" s="12">
        <v>44984.0</v>
      </c>
      <c r="B1304" s="2">
        <v>397.73</v>
      </c>
      <c r="C1304" s="3" t="s">
        <v>783</v>
      </c>
      <c r="D1304" s="4" t="str">
        <f t="array" ref="D1304">XLOOKUP(Hoja5!A1304,Agregado!B1512:B2812,Agregado!G1304:G2812)</f>
        <v>#N/A</v>
      </c>
    </row>
    <row r="1305" ht="15.75" customHeight="1">
      <c r="A1305" s="12">
        <v>44985.0</v>
      </c>
      <c r="B1305" s="2">
        <v>396.26</v>
      </c>
      <c r="C1305" s="3" t="s">
        <v>784</v>
      </c>
      <c r="D1305" s="4" t="str">
        <f t="array" ref="D1305">XLOOKUP(Hoja5!A1305,Agregado!B1512:B2813,Agregado!G1305:G2813)</f>
        <v>#N/A</v>
      </c>
    </row>
    <row r="1306" ht="15.75" customHeight="1">
      <c r="A1306" s="12">
        <v>44986.0</v>
      </c>
      <c r="B1306" s="2">
        <v>394.74</v>
      </c>
      <c r="C1306" s="3">
        <v>44929.0</v>
      </c>
      <c r="D1306" s="4" t="str">
        <f t="array" ref="D1306">XLOOKUP(Hoja5!A1306,Agregado!B1512:B2814,Agregado!G1306:G2814)</f>
        <v>#N/A</v>
      </c>
    </row>
    <row r="1307" ht="15.75" customHeight="1">
      <c r="A1307" s="12">
        <v>44987.0</v>
      </c>
      <c r="B1307" s="2">
        <v>397.81</v>
      </c>
      <c r="C1307" s="3">
        <v>44960.0</v>
      </c>
      <c r="D1307" s="4" t="str">
        <f t="array" ref="D1307">XLOOKUP(Hoja5!A1307,Agregado!B1512:B2815,Agregado!G1307:G2815)</f>
        <v>#N/A</v>
      </c>
    </row>
    <row r="1308" ht="15.75" customHeight="1">
      <c r="A1308" s="12">
        <v>44988.0</v>
      </c>
      <c r="B1308" s="2">
        <v>404.19</v>
      </c>
      <c r="C1308" s="3">
        <v>44988.0</v>
      </c>
      <c r="D1308" s="4" t="str">
        <f t="array" ref="D1308">XLOOKUP(Hoja5!A1308,Agregado!B1512:B2816,Agregado!G1308:G2816)</f>
        <v>#N/A</v>
      </c>
    </row>
    <row r="1309" ht="15.75" customHeight="1">
      <c r="A1309" s="12">
        <v>44991.0</v>
      </c>
      <c r="B1309" s="2">
        <v>404.47</v>
      </c>
      <c r="C1309" s="3">
        <v>45080.0</v>
      </c>
      <c r="D1309" s="4" t="str">
        <f t="array" ref="D1309">XLOOKUP(Hoja5!A1309,Agregado!B1512:B2817,Agregado!G1309:G2817)</f>
        <v>#N/A</v>
      </c>
    </row>
    <row r="1310" ht="15.75" customHeight="1">
      <c r="A1310" s="12">
        <v>44992.0</v>
      </c>
      <c r="B1310" s="2">
        <v>398.27</v>
      </c>
      <c r="C1310" s="3">
        <v>45110.0</v>
      </c>
      <c r="D1310" s="4" t="str">
        <f t="array" ref="D1310">XLOOKUP(Hoja5!A1310,Agregado!B1512:B2818,Agregado!G1310:G2818)</f>
        <v>#N/A</v>
      </c>
    </row>
    <row r="1311" ht="15.75" customHeight="1">
      <c r="A1311" s="12">
        <v>44993.0</v>
      </c>
      <c r="B1311" s="2">
        <v>398.92</v>
      </c>
      <c r="C1311" s="3">
        <v>45141.0</v>
      </c>
      <c r="D1311" s="4" t="str">
        <f t="array" ref="D1311">XLOOKUP(Hoja5!A1311,Agregado!B1512:B2819,Agregado!G1311:G2819)</f>
        <v>#N/A</v>
      </c>
    </row>
    <row r="1312" ht="15.75" customHeight="1">
      <c r="A1312" s="12">
        <v>44994.0</v>
      </c>
      <c r="B1312" s="2">
        <v>391.56</v>
      </c>
      <c r="C1312" s="3">
        <v>45172.0</v>
      </c>
      <c r="D1312" s="4" t="str">
        <f t="array" ref="D1312">XLOOKUP(Hoja5!A1312,Agregado!B1512:B2820,Agregado!G1312:G2820)</f>
        <v>#N/A</v>
      </c>
    </row>
    <row r="1313" ht="15.75" customHeight="1">
      <c r="A1313" s="12">
        <v>44995.0</v>
      </c>
      <c r="B1313" s="2">
        <v>385.91</v>
      </c>
      <c r="C1313" s="3">
        <v>45202.0</v>
      </c>
      <c r="D1313" s="4" t="str">
        <f t="array" ref="D1313">XLOOKUP(Hoja5!A1313,Agregado!B1512:B2821,Agregado!G1313:G2821)</f>
        <v>#N/A</v>
      </c>
    </row>
    <row r="1314" ht="15.75" customHeight="1">
      <c r="A1314" s="12">
        <v>44998.0</v>
      </c>
      <c r="B1314" s="2">
        <v>385.36</v>
      </c>
      <c r="C1314" s="3" t="s">
        <v>785</v>
      </c>
      <c r="D1314" s="4" t="str">
        <f t="array" ref="D1314">XLOOKUP(Hoja5!A1314,Agregado!B1512:B2822,Agregado!G1314:G2822)</f>
        <v>#N/A</v>
      </c>
    </row>
    <row r="1315" ht="15.75" customHeight="1">
      <c r="A1315" s="12">
        <v>44999.0</v>
      </c>
      <c r="B1315" s="2">
        <v>391.73</v>
      </c>
      <c r="C1315" s="3" t="s">
        <v>786</v>
      </c>
      <c r="D1315" s="4" t="str">
        <f t="array" ref="D1315">XLOOKUP(Hoja5!A1315,Agregado!B1512:B2823,Agregado!G1315:G2823)</f>
        <v>#N/A</v>
      </c>
    </row>
    <row r="1316" ht="15.75" customHeight="1">
      <c r="A1316" s="12">
        <v>45000.0</v>
      </c>
      <c r="B1316" s="2">
        <v>389.28</v>
      </c>
      <c r="C1316" s="3" t="s">
        <v>787</v>
      </c>
      <c r="D1316" s="4" t="str">
        <f t="array" ref="D1316">XLOOKUP(Hoja5!A1316,Agregado!B1512:B2824,Agregado!G1316:G2824)</f>
        <v>#N/A</v>
      </c>
    </row>
    <row r="1317" ht="15.75" customHeight="1">
      <c r="A1317" s="12">
        <v>45001.0</v>
      </c>
      <c r="B1317" s="2">
        <v>396.11</v>
      </c>
      <c r="C1317" s="3" t="s">
        <v>788</v>
      </c>
      <c r="D1317" s="4" t="str">
        <f t="array" ref="D1317">XLOOKUP(Hoja5!A1317,Agregado!B1512:B2825,Agregado!G1317:G2825)</f>
        <v>#N/A</v>
      </c>
    </row>
    <row r="1318" ht="15.75" customHeight="1">
      <c r="A1318" s="12">
        <v>45002.0</v>
      </c>
      <c r="B1318" s="2">
        <v>389.99</v>
      </c>
      <c r="C1318" s="3" t="s">
        <v>789</v>
      </c>
      <c r="D1318" s="4" t="str">
        <f t="array" ref="D1318">XLOOKUP(Hoja5!A1318,Agregado!B1512:B2826,Agregado!G1318:G2826)</f>
        <v>#N/A</v>
      </c>
    </row>
    <row r="1319" ht="15.75" customHeight="1">
      <c r="A1319" s="12">
        <v>45005.0</v>
      </c>
      <c r="B1319" s="2">
        <v>393.74</v>
      </c>
      <c r="C1319" s="3" t="s">
        <v>790</v>
      </c>
      <c r="D1319" s="4" t="str">
        <f t="array" ref="D1319">XLOOKUP(Hoja5!A1319,Agregado!B1512:B2827,Agregado!G1319:G2827)</f>
        <v>#N/A</v>
      </c>
    </row>
    <row r="1320" ht="15.75" customHeight="1">
      <c r="A1320" s="12">
        <v>45006.0</v>
      </c>
      <c r="B1320" s="2">
        <v>398.91</v>
      </c>
      <c r="C1320" s="3" t="s">
        <v>791</v>
      </c>
      <c r="D1320" s="4" t="str">
        <f t="array" ref="D1320">XLOOKUP(Hoja5!A1320,Agregado!B1512:B2828,Agregado!G1320:G2828)</f>
        <v>#N/A</v>
      </c>
    </row>
    <row r="1321" ht="15.75" customHeight="1">
      <c r="A1321" s="12">
        <v>45007.0</v>
      </c>
      <c r="B1321" s="2">
        <v>392.11</v>
      </c>
      <c r="C1321" s="3" t="s">
        <v>792</v>
      </c>
      <c r="D1321" s="4" t="str">
        <f t="array" ref="D1321">XLOOKUP(Hoja5!A1321,Agregado!B1512:B2829,Agregado!G1321:G2829)</f>
        <v>#N/A</v>
      </c>
    </row>
    <row r="1322" ht="15.75" customHeight="1">
      <c r="A1322" s="12">
        <v>45008.0</v>
      </c>
      <c r="B1322" s="2">
        <v>393.17</v>
      </c>
      <c r="C1322" s="3" t="s">
        <v>793</v>
      </c>
      <c r="D1322" s="4" t="str">
        <f t="array" ref="D1322">XLOOKUP(Hoja5!A1322,Agregado!B1512:B2830,Agregado!G1322:G2830)</f>
        <v>#N/A</v>
      </c>
    </row>
    <row r="1323" ht="15.75" customHeight="1">
      <c r="A1323" s="12">
        <v>45009.0</v>
      </c>
      <c r="B1323" s="2">
        <v>395.75</v>
      </c>
      <c r="C1323" s="3" t="s">
        <v>794</v>
      </c>
      <c r="D1323" s="4" t="str">
        <f t="array" ref="D1323">XLOOKUP(Hoja5!A1323,Agregado!B1512:B2831,Agregado!G1323:G2831)</f>
        <v>#N/A</v>
      </c>
    </row>
    <row r="1324" ht="15.75" customHeight="1">
      <c r="A1324" s="12">
        <v>45012.0</v>
      </c>
      <c r="B1324" s="2">
        <v>396.49</v>
      </c>
      <c r="C1324" s="3" t="s">
        <v>795</v>
      </c>
      <c r="D1324" s="4" t="str">
        <f t="array" ref="D1324">XLOOKUP(Hoja5!A1324,Agregado!B1512:B2832,Agregado!G1324:G2832)</f>
        <v>#N/A</v>
      </c>
    </row>
    <row r="1325" ht="15.75" customHeight="1">
      <c r="A1325" s="12">
        <v>45013.0</v>
      </c>
      <c r="B1325" s="2">
        <v>395.6</v>
      </c>
      <c r="C1325" s="3" t="s">
        <v>796</v>
      </c>
      <c r="D1325" s="4" t="str">
        <f t="array" ref="D1325">XLOOKUP(Hoja5!A1325,Agregado!B1512:B2833,Agregado!G1325:G2833)</f>
        <v>#N/A</v>
      </c>
    </row>
    <row r="1326" ht="15.75" customHeight="1">
      <c r="A1326" s="12">
        <v>45014.0</v>
      </c>
      <c r="B1326" s="2">
        <v>401.35</v>
      </c>
      <c r="C1326" s="3" t="s">
        <v>797</v>
      </c>
      <c r="D1326" s="4" t="str">
        <f t="array" ref="D1326">XLOOKUP(Hoja5!A1326,Agregado!B1512:B2834,Agregado!G1326:G2834)</f>
        <v>#N/A</v>
      </c>
    </row>
    <row r="1327" ht="15.75" customHeight="1">
      <c r="A1327" s="12">
        <v>45015.0</v>
      </c>
      <c r="B1327" s="2">
        <v>403.7</v>
      </c>
      <c r="C1327" s="3" t="s">
        <v>798</v>
      </c>
      <c r="D1327" s="4" t="str">
        <f t="array" ref="D1327">XLOOKUP(Hoja5!A1327,Agregado!B1512:B2835,Agregado!G1327:G2835)</f>
        <v>#N/A</v>
      </c>
    </row>
    <row r="1328" ht="15.75" customHeight="1">
      <c r="A1328" s="12">
        <v>45016.0</v>
      </c>
      <c r="B1328" s="2">
        <v>409.39</v>
      </c>
      <c r="C1328" s="3" t="s">
        <v>799</v>
      </c>
      <c r="D1328" s="4" t="str">
        <f t="array" ref="D1328">XLOOKUP(Hoja5!A1328,Agregado!B1512:B2836,Agregado!G1328:G2836)</f>
        <v>#N/A</v>
      </c>
    </row>
    <row r="1329" ht="15.75" customHeight="1">
      <c r="A1329" s="12">
        <v>45019.0</v>
      </c>
      <c r="B1329" s="2">
        <v>410.95</v>
      </c>
      <c r="C1329" s="3">
        <v>44989.0</v>
      </c>
      <c r="D1329" s="4" t="str">
        <f t="array" ref="D1329">XLOOKUP(Hoja5!A1329,Agregado!B1512:B2837,Agregado!G1329:G2837)</f>
        <v>#N/A</v>
      </c>
    </row>
    <row r="1330" ht="15.75" customHeight="1">
      <c r="A1330" s="12">
        <v>45020.0</v>
      </c>
      <c r="B1330" s="2">
        <v>408.67</v>
      </c>
      <c r="C1330" s="3">
        <v>45020.0</v>
      </c>
      <c r="D1330" s="4" t="str">
        <f t="array" ref="D1330">XLOOKUP(Hoja5!A1330,Agregado!B1512:B2838,Agregado!G1330:G2838)</f>
        <v>#N/A</v>
      </c>
    </row>
    <row r="1331" ht="15.75" customHeight="1">
      <c r="A1331" s="12">
        <v>45021.0</v>
      </c>
      <c r="B1331" s="2">
        <v>407.6</v>
      </c>
      <c r="C1331" s="3">
        <v>45050.0</v>
      </c>
      <c r="D1331" s="4" t="str">
        <f t="array" ref="D1331">XLOOKUP(Hoja5!A1331,Agregado!B1512:B2839,Agregado!G1331:G2839)</f>
        <v>#N/A</v>
      </c>
    </row>
    <row r="1332" ht="15.75" customHeight="1">
      <c r="A1332" s="12">
        <v>45022.0</v>
      </c>
      <c r="B1332" s="2">
        <v>409.19</v>
      </c>
      <c r="C1332" s="3">
        <v>45081.0</v>
      </c>
      <c r="D1332" s="4" t="str">
        <f t="array" ref="D1332">XLOOKUP(Hoja5!A1332,Agregado!B1512:B2840,Agregado!G1332:G2840)</f>
        <v>#N/A</v>
      </c>
    </row>
    <row r="1333" ht="15.75" customHeight="1">
      <c r="A1333" s="12">
        <v>45026.0</v>
      </c>
      <c r="B1333" s="2">
        <v>409.61</v>
      </c>
      <c r="C1333" s="3">
        <v>45203.0</v>
      </c>
      <c r="D1333" s="4" t="str">
        <f t="array" ref="D1333">XLOOKUP(Hoja5!A1333,Agregado!B1512:B2841,Agregado!G1333:G2841)</f>
        <v>#N/A</v>
      </c>
    </row>
    <row r="1334" ht="15.75" customHeight="1">
      <c r="A1334" s="12">
        <v>45027.0</v>
      </c>
      <c r="B1334" s="2">
        <v>409.72</v>
      </c>
      <c r="C1334" s="3">
        <v>45234.0</v>
      </c>
      <c r="D1334" s="4" t="str">
        <f t="array" ref="D1334">XLOOKUP(Hoja5!A1334,Agregado!B1512:B2842,Agregado!G1334:G2842)</f>
        <v>#N/A</v>
      </c>
    </row>
    <row r="1335" ht="15.75" customHeight="1">
      <c r="A1335" s="12">
        <v>45028.0</v>
      </c>
      <c r="B1335" s="2">
        <v>408.05</v>
      </c>
      <c r="C1335" s="3">
        <v>45264.0</v>
      </c>
      <c r="D1335" s="4" t="str">
        <f t="array" ref="D1335">XLOOKUP(Hoja5!A1335,Agregado!B1512:B2843,Agregado!G1335:G2843)</f>
        <v>#N/A</v>
      </c>
    </row>
    <row r="1336" ht="15.75" customHeight="1">
      <c r="A1336" s="12">
        <v>45029.0</v>
      </c>
      <c r="B1336" s="2">
        <v>413.47</v>
      </c>
      <c r="C1336" s="3" t="s">
        <v>800</v>
      </c>
      <c r="D1336" s="4" t="str">
        <f t="array" ref="D1336">XLOOKUP(Hoja5!A1336,Agregado!B1512:B2844,Agregado!G1336:G2844)</f>
        <v>#N/A</v>
      </c>
    </row>
    <row r="1337" ht="15.75" customHeight="1">
      <c r="A1337" s="12">
        <v>45030.0</v>
      </c>
      <c r="B1337" s="2">
        <v>412.46</v>
      </c>
      <c r="C1337" s="3" t="s">
        <v>801</v>
      </c>
      <c r="D1337" s="4" t="str">
        <f t="array" ref="D1337">XLOOKUP(Hoja5!A1337,Agregado!B1512:B2845,Agregado!G1337:G2845)</f>
        <v>#N/A</v>
      </c>
    </row>
    <row r="1338" ht="15.75" customHeight="1">
      <c r="A1338" s="12">
        <v>45033.0</v>
      </c>
      <c r="B1338" s="2">
        <v>413.94</v>
      </c>
      <c r="C1338" s="3" t="s">
        <v>802</v>
      </c>
      <c r="D1338" s="4" t="str">
        <f t="array" ref="D1338">XLOOKUP(Hoja5!A1338,Agregado!B1512:B2846,Agregado!G1338:G2846)</f>
        <v>#N/A</v>
      </c>
    </row>
    <row r="1339" ht="15.75" customHeight="1">
      <c r="A1339" s="12">
        <v>45034.0</v>
      </c>
      <c r="B1339" s="2">
        <v>414.21</v>
      </c>
      <c r="C1339" s="3" t="s">
        <v>803</v>
      </c>
      <c r="D1339" s="4" t="str">
        <f t="array" ref="D1339">XLOOKUP(Hoja5!A1339,Agregado!B1512:B2847,Agregado!G1339:G2847)</f>
        <v>#N/A</v>
      </c>
    </row>
    <row r="1340" ht="15.75" customHeight="1">
      <c r="A1340" s="12">
        <v>45035.0</v>
      </c>
      <c r="B1340" s="2">
        <v>414.14</v>
      </c>
      <c r="C1340" s="3" t="s">
        <v>804</v>
      </c>
      <c r="D1340" s="4" t="str">
        <f t="array" ref="D1340">XLOOKUP(Hoja5!A1340,Agregado!B1512:B2848,Agregado!G1340:G2848)</f>
        <v>#N/A</v>
      </c>
    </row>
    <row r="1341" ht="15.75" customHeight="1">
      <c r="A1341" s="12">
        <v>45036.0</v>
      </c>
      <c r="B1341" s="2">
        <v>411.88</v>
      </c>
      <c r="C1341" s="3" t="s">
        <v>805</v>
      </c>
      <c r="D1341" s="4" t="str">
        <f t="array" ref="D1341">XLOOKUP(Hoja5!A1341,Agregado!B1512:B2849,Agregado!G1341:G2849)</f>
        <v>#N/A</v>
      </c>
    </row>
    <row r="1342" ht="15.75" customHeight="1">
      <c r="A1342" s="12">
        <v>45037.0</v>
      </c>
      <c r="B1342" s="2">
        <v>412.2</v>
      </c>
      <c r="C1342" s="3" t="s">
        <v>806</v>
      </c>
      <c r="D1342" s="4" t="str">
        <f t="array" ref="D1342">XLOOKUP(Hoja5!A1342,Agregado!B1512:B2850,Agregado!G1342:G2850)</f>
        <v>#N/A</v>
      </c>
    </row>
    <row r="1343" ht="15.75" customHeight="1">
      <c r="A1343" s="12">
        <v>45040.0</v>
      </c>
      <c r="B1343" s="2">
        <v>412.63</v>
      </c>
      <c r="C1343" s="3" t="s">
        <v>807</v>
      </c>
      <c r="D1343" s="4" t="str">
        <f t="array" ref="D1343">XLOOKUP(Hoja5!A1343,Agregado!B1512:B2851,Agregado!G1343:G2851)</f>
        <v>#N/A</v>
      </c>
    </row>
    <row r="1344" ht="15.75" customHeight="1">
      <c r="A1344" s="12">
        <v>45041.0</v>
      </c>
      <c r="B1344" s="2">
        <v>406.08</v>
      </c>
      <c r="C1344" s="3" t="s">
        <v>808</v>
      </c>
      <c r="D1344" s="4" t="str">
        <f t="array" ref="D1344">XLOOKUP(Hoja5!A1344,Agregado!B1512:B2852,Agregado!G1344:G2852)</f>
        <v>#N/A</v>
      </c>
    </row>
    <row r="1345" ht="15.75" customHeight="1">
      <c r="A1345" s="12">
        <v>45042.0</v>
      </c>
      <c r="B1345" s="2">
        <v>404.36</v>
      </c>
      <c r="C1345" s="3" t="s">
        <v>809</v>
      </c>
      <c r="D1345" s="4" t="str">
        <f t="array" ref="D1345">XLOOKUP(Hoja5!A1345,Agregado!B1512:B2853,Agregado!G1345:G2853)</f>
        <v>#N/A</v>
      </c>
    </row>
    <row r="1346" ht="15.75" customHeight="1">
      <c r="A1346" s="12">
        <v>45043.0</v>
      </c>
      <c r="B1346" s="2">
        <v>412.41</v>
      </c>
      <c r="C1346" s="3" t="s">
        <v>810</v>
      </c>
      <c r="D1346" s="4" t="str">
        <f t="array" ref="D1346">XLOOKUP(Hoja5!A1346,Agregado!B1512:B2854,Agregado!G1346:G2854)</f>
        <v>#N/A</v>
      </c>
    </row>
    <row r="1347" ht="15.75" customHeight="1">
      <c r="A1347" s="12">
        <v>45044.0</v>
      </c>
      <c r="B1347" s="2">
        <v>415.93</v>
      </c>
      <c r="C1347" s="3" t="s">
        <v>811</v>
      </c>
      <c r="D1347" s="4" t="str">
        <f t="array" ref="D1347">XLOOKUP(Hoja5!A1347,Agregado!B1512:B2855,Agregado!G1347:G2855)</f>
        <v>#N/A</v>
      </c>
    </row>
    <row r="1348" ht="15.75" customHeight="1">
      <c r="A1348" s="12">
        <v>45047.0</v>
      </c>
      <c r="B1348" s="2">
        <v>415.51</v>
      </c>
      <c r="C1348" s="3">
        <v>44931.0</v>
      </c>
      <c r="D1348" s="4" t="str">
        <f t="array" ref="D1348">XLOOKUP(Hoja5!A1348,Agregado!B1512:B2856,Agregado!G1348:G2856)</f>
        <v>#N/A</v>
      </c>
    </row>
    <row r="1349" ht="15.75" customHeight="1">
      <c r="A1349" s="12">
        <v>45048.0</v>
      </c>
      <c r="B1349" s="2">
        <v>410.84</v>
      </c>
      <c r="C1349" s="3">
        <v>44962.0</v>
      </c>
      <c r="D1349" s="4" t="str">
        <f t="array" ref="D1349">XLOOKUP(Hoja5!A1349,Agregado!B1512:B2857,Agregado!G1349:G2857)</f>
        <v>#N/A</v>
      </c>
    </row>
    <row r="1350" ht="15.75" customHeight="1">
      <c r="A1350" s="12">
        <v>45049.0</v>
      </c>
      <c r="B1350" s="2">
        <v>408.02</v>
      </c>
      <c r="C1350" s="3">
        <v>44990.0</v>
      </c>
      <c r="D1350" s="4" t="str">
        <f t="array" ref="D1350">XLOOKUP(Hoja5!A1350,Agregado!B1512:B2858,Agregado!G1350:G2858)</f>
        <v>#N/A</v>
      </c>
    </row>
    <row r="1351" ht="15.75" customHeight="1">
      <c r="A1351" s="12">
        <v>45050.0</v>
      </c>
      <c r="B1351" s="2">
        <v>405.13</v>
      </c>
      <c r="C1351" s="3">
        <v>45021.0</v>
      </c>
      <c r="D1351" s="4" t="str">
        <f t="array" ref="D1351">XLOOKUP(Hoja5!A1351,Agregado!B1512:B2859,Agregado!G1351:G2859)</f>
        <v>#N/A</v>
      </c>
    </row>
    <row r="1352" ht="15.75" customHeight="1">
      <c r="A1352" s="12">
        <v>45051.0</v>
      </c>
      <c r="B1352" s="2">
        <v>412.63</v>
      </c>
      <c r="C1352" s="3">
        <v>45051.0</v>
      </c>
      <c r="D1352" s="4" t="str">
        <f t="array" ref="D1352">XLOOKUP(Hoja5!A1352,Agregado!B1512:B2860,Agregado!G1352:G2860)</f>
        <v>#N/A</v>
      </c>
    </row>
    <row r="1353" ht="15.75" customHeight="1">
      <c r="A1353" s="12">
        <v>45054.0</v>
      </c>
      <c r="B1353" s="2">
        <v>412.74</v>
      </c>
      <c r="C1353" s="3">
        <v>45143.0</v>
      </c>
      <c r="D1353" s="4" t="str">
        <f t="array" ref="D1353">XLOOKUP(Hoja5!A1353,Agregado!B1512:B2861,Agregado!G1353:G2861)</f>
        <v>#N/A</v>
      </c>
    </row>
    <row r="1354" ht="15.75" customHeight="1">
      <c r="A1354" s="12">
        <v>45055.0</v>
      </c>
      <c r="B1354" s="2">
        <v>410.93</v>
      </c>
      <c r="C1354" s="3">
        <v>45174.0</v>
      </c>
      <c r="D1354" s="4" t="str">
        <f t="array" ref="D1354">XLOOKUP(Hoja5!A1354,Agregado!B1512:B2862,Agregado!G1354:G2862)</f>
        <v>#N/A</v>
      </c>
    </row>
    <row r="1355" ht="15.75" customHeight="1">
      <c r="A1355" s="12">
        <v>45056.0</v>
      </c>
      <c r="B1355" s="2">
        <v>412.85</v>
      </c>
      <c r="C1355" s="3">
        <v>45204.0</v>
      </c>
      <c r="D1355" s="4" t="str">
        <f t="array" ref="D1355">XLOOKUP(Hoja5!A1355,Agregado!B1512:B2863,Agregado!G1355:G2863)</f>
        <v>#N/A</v>
      </c>
    </row>
    <row r="1356" ht="15.75" customHeight="1">
      <c r="A1356" s="12">
        <v>45057.0</v>
      </c>
      <c r="B1356" s="2">
        <v>412.13</v>
      </c>
      <c r="C1356" s="3">
        <v>45235.0</v>
      </c>
      <c r="D1356" s="4" t="str">
        <f t="array" ref="D1356">XLOOKUP(Hoja5!A1356,Agregado!B1512:B2864,Agregado!G1356:G2864)</f>
        <v>#N/A</v>
      </c>
    </row>
    <row r="1357" ht="15.75" customHeight="1">
      <c r="A1357" s="12">
        <v>45058.0</v>
      </c>
      <c r="B1357" s="2">
        <v>411.59</v>
      </c>
      <c r="C1357" s="3">
        <v>45265.0</v>
      </c>
      <c r="D1357" s="4" t="str">
        <f t="array" ref="D1357">XLOOKUP(Hoja5!A1357,Agregado!B1512:B2865,Agregado!G1357:G2865)</f>
        <v>#N/A</v>
      </c>
    </row>
    <row r="1358" ht="15.75" customHeight="1">
      <c r="A1358" s="12">
        <v>45061.0</v>
      </c>
      <c r="B1358" s="2">
        <v>413.01</v>
      </c>
      <c r="C1358" s="3" t="s">
        <v>812</v>
      </c>
      <c r="D1358" s="4" t="str">
        <f t="array" ref="D1358">XLOOKUP(Hoja5!A1358,Agregado!B1512:B2866,Agregado!G1358:G2866)</f>
        <v>#N/A</v>
      </c>
    </row>
    <row r="1359" ht="15.75" customHeight="1">
      <c r="A1359" s="12">
        <v>45062.0</v>
      </c>
      <c r="B1359" s="2">
        <v>410.25</v>
      </c>
      <c r="C1359" s="3" t="s">
        <v>813</v>
      </c>
      <c r="D1359" s="4" t="str">
        <f t="array" ref="D1359">XLOOKUP(Hoja5!A1359,Agregado!B1512:B2867,Agregado!G1359:G2867)</f>
        <v>#N/A</v>
      </c>
    </row>
    <row r="1360" ht="15.75" customHeight="1">
      <c r="A1360" s="12">
        <v>45063.0</v>
      </c>
      <c r="B1360" s="2">
        <v>415.23</v>
      </c>
      <c r="C1360" s="3" t="s">
        <v>814</v>
      </c>
      <c r="D1360" s="4" t="str">
        <f t="array" ref="D1360">XLOOKUP(Hoja5!A1360,Agregado!B1512:B2868,Agregado!G1360:G2868)</f>
        <v>#N/A</v>
      </c>
    </row>
    <row r="1361" ht="15.75" customHeight="1">
      <c r="A1361" s="12">
        <v>45064.0</v>
      </c>
      <c r="B1361" s="2">
        <v>419.23</v>
      </c>
      <c r="C1361" s="3" t="s">
        <v>815</v>
      </c>
      <c r="D1361" s="4" t="str">
        <f t="array" ref="D1361">XLOOKUP(Hoja5!A1361,Agregado!B1512:B2869,Agregado!G1361:G2869)</f>
        <v>#N/A</v>
      </c>
    </row>
    <row r="1362" ht="15.75" customHeight="1">
      <c r="A1362" s="12">
        <v>45065.0</v>
      </c>
      <c r="B1362" s="2">
        <v>418.62</v>
      </c>
      <c r="C1362" s="3" t="s">
        <v>816</v>
      </c>
      <c r="D1362" s="4" t="str">
        <f t="array" ref="D1362">XLOOKUP(Hoja5!A1362,Agregado!B1512:B2870,Agregado!G1362:G2870)</f>
        <v>#N/A</v>
      </c>
    </row>
    <row r="1363" ht="15.75" customHeight="1">
      <c r="A1363" s="12">
        <v>45068.0</v>
      </c>
      <c r="B1363" s="2">
        <v>418.79</v>
      </c>
      <c r="C1363" s="3" t="s">
        <v>817</v>
      </c>
      <c r="D1363" s="4" t="str">
        <f t="array" ref="D1363">XLOOKUP(Hoja5!A1363,Agregado!B1512:B2871,Agregado!G1363:G2871)</f>
        <v>#N/A</v>
      </c>
    </row>
    <row r="1364" ht="15.75" customHeight="1">
      <c r="A1364" s="12">
        <v>45069.0</v>
      </c>
      <c r="B1364" s="2">
        <v>414.09</v>
      </c>
      <c r="C1364" s="3" t="s">
        <v>818</v>
      </c>
      <c r="D1364" s="4" t="str">
        <f t="array" ref="D1364">XLOOKUP(Hoja5!A1364,Agregado!B1512:B2872,Agregado!G1364:G2872)</f>
        <v>#N/A</v>
      </c>
    </row>
    <row r="1365" ht="15.75" customHeight="1">
      <c r="A1365" s="12">
        <v>45070.0</v>
      </c>
      <c r="B1365" s="2">
        <v>411.09</v>
      </c>
      <c r="C1365" s="3" t="s">
        <v>819</v>
      </c>
      <c r="D1365" s="4" t="str">
        <f t="array" ref="D1365">XLOOKUP(Hoja5!A1365,Agregado!B1512:B2873,Agregado!G1365:G2873)</f>
        <v>#N/A</v>
      </c>
    </row>
    <row r="1366" ht="15.75" customHeight="1">
      <c r="A1366" s="12">
        <v>45071.0</v>
      </c>
      <c r="B1366" s="2">
        <v>414.65</v>
      </c>
      <c r="C1366" s="3" t="s">
        <v>820</v>
      </c>
      <c r="D1366" s="4" t="str">
        <f t="array" ref="D1366">XLOOKUP(Hoja5!A1366,Agregado!B1512:B2874,Agregado!G1366:G2874)</f>
        <v>#N/A</v>
      </c>
    </row>
    <row r="1367" ht="15.75" customHeight="1">
      <c r="A1367" s="12">
        <v>45072.0</v>
      </c>
      <c r="B1367" s="2">
        <v>420.02</v>
      </c>
      <c r="C1367" s="3" t="s">
        <v>821</v>
      </c>
      <c r="D1367" s="4" t="str">
        <f t="array" ref="D1367">XLOOKUP(Hoja5!A1367,Agregado!B1512:B2875,Agregado!G1367:G2875)</f>
        <v>#N/A</v>
      </c>
    </row>
    <row r="1368" ht="15.75" customHeight="1">
      <c r="A1368" s="12">
        <v>45076.0</v>
      </c>
      <c r="B1368" s="2">
        <v>420.18</v>
      </c>
      <c r="C1368" s="3" t="s">
        <v>822</v>
      </c>
      <c r="D1368" s="4" t="str">
        <f t="array" ref="D1368">XLOOKUP(Hoja5!A1368,Agregado!B1512:B2876,Agregado!G1368:G2876)</f>
        <v>#N/A</v>
      </c>
    </row>
    <row r="1369" ht="15.75" customHeight="1">
      <c r="A1369" s="12">
        <v>45077.0</v>
      </c>
      <c r="B1369" s="2">
        <v>417.85</v>
      </c>
      <c r="C1369" s="3" t="s">
        <v>823</v>
      </c>
      <c r="D1369" s="4" t="str">
        <f t="array" ref="D1369">XLOOKUP(Hoja5!A1369,Agregado!B1512:B2877,Agregado!G1369:G2877)</f>
        <v>#N/A</v>
      </c>
    </row>
    <row r="1370" ht="15.75" customHeight="1">
      <c r="A1370" s="12">
        <v>45078.0</v>
      </c>
      <c r="B1370" s="2">
        <v>421.82</v>
      </c>
      <c r="C1370" s="3">
        <v>44932.0</v>
      </c>
      <c r="D1370" s="4" t="str">
        <f t="array" ref="D1370">XLOOKUP(Hoja5!A1370,Agregado!B1512:B2878,Agregado!G1370:G2878)</f>
        <v>#N/A</v>
      </c>
    </row>
    <row r="1371" ht="15.75" customHeight="1">
      <c r="A1371" s="12">
        <v>45079.0</v>
      </c>
      <c r="B1371" s="2">
        <v>427.92</v>
      </c>
      <c r="C1371" s="3">
        <v>44963.0</v>
      </c>
      <c r="D1371" s="4" t="str">
        <f t="array" ref="D1371">XLOOKUP(Hoja5!A1371,Agregado!B1512:B2879,Agregado!G1371:G2879)</f>
        <v>#N/A</v>
      </c>
    </row>
    <row r="1372" ht="15.75" customHeight="1">
      <c r="A1372" s="12">
        <v>45082.0</v>
      </c>
      <c r="B1372" s="2">
        <v>427.1</v>
      </c>
      <c r="C1372" s="3">
        <v>45052.0</v>
      </c>
      <c r="D1372" s="4" t="str">
        <f t="array" ref="D1372">XLOOKUP(Hoja5!A1372,Agregado!B1512:B2880,Agregado!G1372:G2880)</f>
        <v>#N/A</v>
      </c>
    </row>
    <row r="1373" ht="15.75" customHeight="1">
      <c r="A1373" s="12">
        <v>45083.0</v>
      </c>
      <c r="B1373" s="2">
        <v>428.03</v>
      </c>
      <c r="C1373" s="3">
        <v>45083.0</v>
      </c>
      <c r="D1373" s="4" t="str">
        <f t="array" ref="D1373">XLOOKUP(Hoja5!A1373,Agregado!B1512:B2881,Agregado!G1373:G2881)</f>
        <v>#N/A</v>
      </c>
    </row>
    <row r="1374" ht="15.75" customHeight="1">
      <c r="A1374" s="12">
        <v>45084.0</v>
      </c>
      <c r="B1374" s="2">
        <v>426.55</v>
      </c>
      <c r="C1374" s="3">
        <v>45113.0</v>
      </c>
      <c r="D1374" s="4" t="str">
        <f t="array" ref="D1374">XLOOKUP(Hoja5!A1374,Agregado!B1512:B2882,Agregado!G1374:G2882)</f>
        <v>#N/A</v>
      </c>
    </row>
    <row r="1375" ht="15.75" customHeight="1">
      <c r="A1375" s="12">
        <v>45085.0</v>
      </c>
      <c r="B1375" s="2">
        <v>429.13</v>
      </c>
      <c r="C1375" s="3">
        <v>45144.0</v>
      </c>
      <c r="D1375" s="4" t="str">
        <f t="array" ref="D1375">XLOOKUP(Hoja5!A1375,Agregado!B1512:B2883,Agregado!G1375:G2883)</f>
        <v>#N/A</v>
      </c>
    </row>
    <row r="1376" ht="15.75" customHeight="1">
      <c r="A1376" s="12">
        <v>45086.0</v>
      </c>
      <c r="B1376" s="2">
        <v>429.9</v>
      </c>
      <c r="C1376" s="3">
        <v>45175.0</v>
      </c>
      <c r="D1376" s="4" t="str">
        <f t="array" ref="D1376">XLOOKUP(Hoja5!A1376,Agregado!B1512:B2884,Agregado!G1376:G2884)</f>
        <v>#N/A</v>
      </c>
    </row>
    <row r="1377" ht="15.75" customHeight="1">
      <c r="A1377" s="12">
        <v>45089.0</v>
      </c>
      <c r="B1377" s="2">
        <v>433.8</v>
      </c>
      <c r="C1377" s="3">
        <v>45266.0</v>
      </c>
      <c r="D1377" s="4" t="str">
        <f t="array" ref="D1377">XLOOKUP(Hoja5!A1377,Agregado!B1512:B2885,Agregado!G1377:G2885)</f>
        <v>#N/A</v>
      </c>
    </row>
    <row r="1378" ht="15.75" customHeight="1">
      <c r="A1378" s="12">
        <v>45090.0</v>
      </c>
      <c r="B1378" s="2">
        <v>436.66</v>
      </c>
      <c r="C1378" s="3" t="s">
        <v>824</v>
      </c>
      <c r="D1378" s="4" t="str">
        <f t="array" ref="D1378">XLOOKUP(Hoja5!A1378,Agregado!B1512:B2886,Agregado!G1378:G2886)</f>
        <v>#N/A</v>
      </c>
    </row>
    <row r="1379" ht="15.75" customHeight="1">
      <c r="A1379" s="12">
        <v>45091.0</v>
      </c>
      <c r="B1379" s="2">
        <v>437.18</v>
      </c>
      <c r="C1379" s="3" t="s">
        <v>825</v>
      </c>
      <c r="D1379" s="4" t="str">
        <f t="array" ref="D1379">XLOOKUP(Hoja5!A1379,Agregado!B1512:B2887,Agregado!G1379:G2887)</f>
        <v>#N/A</v>
      </c>
    </row>
    <row r="1380" ht="15.75" customHeight="1">
      <c r="A1380" s="12">
        <v>45092.0</v>
      </c>
      <c r="B1380" s="2">
        <v>442.6</v>
      </c>
      <c r="C1380" s="3" t="s">
        <v>826</v>
      </c>
      <c r="D1380" s="4" t="str">
        <f t="array" ref="D1380">XLOOKUP(Hoja5!A1380,Agregado!B1512:B2888,Agregado!G1380:G2888)</f>
        <v>#N/A</v>
      </c>
    </row>
    <row r="1381" ht="15.75" customHeight="1">
      <c r="A1381" s="12">
        <v>45093.0</v>
      </c>
      <c r="B1381" s="2">
        <v>439.46</v>
      </c>
      <c r="C1381" s="3" t="s">
        <v>827</v>
      </c>
      <c r="D1381" s="4" t="str">
        <f t="array" ref="D1381">XLOOKUP(Hoja5!A1381,Agregado!B1512:B2889,Agregado!G1381:G2889)</f>
        <v>#N/A</v>
      </c>
    </row>
    <row r="1382" ht="15.75" customHeight="1">
      <c r="C1382" s="3" t="s">
        <v>828</v>
      </c>
      <c r="D1382" s="4" t="str">
        <f t="array" ref="D1382">XLOOKUP(Hoja5!A1382,Agregado!B1512:B2890,Agregado!G1382:G2890)</f>
        <v>#N/A</v>
      </c>
    </row>
    <row r="1383" ht="15.75" customHeight="1">
      <c r="A1383" s="12">
        <v>45097.0</v>
      </c>
      <c r="B1383" s="2">
        <v>437.18</v>
      </c>
      <c r="C1383" s="3" t="s">
        <v>829</v>
      </c>
      <c r="D1383" s="4" t="str">
        <f t="array" ref="D1383">XLOOKUP(Hoja5!A1383,Agregado!B1512:B2891,Agregado!G1383:G2891)</f>
        <v>#N/A</v>
      </c>
    </row>
    <row r="1384" ht="15.75" customHeight="1">
      <c r="A1384" s="12">
        <v>45098.0</v>
      </c>
      <c r="B1384" s="2">
        <v>434.94</v>
      </c>
      <c r="C1384" s="3" t="s">
        <v>830</v>
      </c>
      <c r="D1384" s="4" t="str">
        <f t="array" ref="D1384">XLOOKUP(Hoja5!A1384,Agregado!B1512:B2892,Agregado!G1384:G2892)</f>
        <v>#N/A</v>
      </c>
    </row>
    <row r="1385" ht="15.75" customHeight="1">
      <c r="A1385" s="12">
        <v>45099.0</v>
      </c>
      <c r="B1385" s="2">
        <v>436.51</v>
      </c>
      <c r="C1385" s="3" t="s">
        <v>831</v>
      </c>
      <c r="D1385" s="4" t="str">
        <f t="array" ref="D1385">XLOOKUP(Hoja5!A1385,Agregado!B1512:B2893,Agregado!G1385:G2893)</f>
        <v>#N/A</v>
      </c>
    </row>
    <row r="1386" ht="15.75" customHeight="1">
      <c r="A1386" s="12">
        <v>45100.0</v>
      </c>
      <c r="B1386" s="2">
        <v>433.21</v>
      </c>
      <c r="C1386" s="3" t="s">
        <v>832</v>
      </c>
      <c r="D1386" s="4" t="str">
        <f t="array" ref="D1386">XLOOKUP(Hoja5!A1386,Agregado!B1512:B2894,Agregado!G1386:G2894)</f>
        <v>#N/A</v>
      </c>
    </row>
    <row r="1387" ht="15.75" customHeight="1">
      <c r="A1387" s="12">
        <v>45103.0</v>
      </c>
      <c r="B1387" s="2">
        <v>431.44</v>
      </c>
      <c r="C1387" s="3" t="s">
        <v>833</v>
      </c>
      <c r="D1387" s="4" t="str">
        <f t="array" ref="D1387">XLOOKUP(Hoja5!A1387,Agregado!B1512:B2895,Agregado!G1387:G2895)</f>
        <v>#N/A</v>
      </c>
    </row>
    <row r="1388" ht="15.75" customHeight="1">
      <c r="A1388" s="12">
        <v>45104.0</v>
      </c>
      <c r="B1388" s="2">
        <v>436.17</v>
      </c>
      <c r="C1388" s="3" t="s">
        <v>834</v>
      </c>
      <c r="D1388" s="4" t="str">
        <f t="array" ref="D1388">XLOOKUP(Hoja5!A1388,Agregado!B1512:B2896,Agregado!G1388:G2896)</f>
        <v>#N/A</v>
      </c>
    </row>
    <row r="1389" ht="15.75" customHeight="1">
      <c r="A1389" s="12">
        <v>45105.0</v>
      </c>
      <c r="B1389" s="2">
        <v>436.39</v>
      </c>
      <c r="C1389" s="3" t="s">
        <v>835</v>
      </c>
      <c r="D1389" s="4" t="str">
        <f t="array" ref="D1389">XLOOKUP(Hoja5!A1389,Agregado!B1512:B2897,Agregado!G1389:G2897)</f>
        <v>#N/A</v>
      </c>
    </row>
    <row r="1390" ht="15.75" customHeight="1">
      <c r="A1390" s="12">
        <v>45106.0</v>
      </c>
      <c r="B1390" s="2">
        <v>438.11</v>
      </c>
      <c r="C1390" s="3" t="s">
        <v>836</v>
      </c>
      <c r="D1390" s="4" t="str">
        <f t="array" ref="D1390">XLOOKUP(Hoja5!A1390,Agregado!B1512:B2898,Agregado!G1390:G2898)</f>
        <v>#N/A</v>
      </c>
    </row>
    <row r="1391" ht="15.75" customHeight="1">
      <c r="A1391" s="12">
        <v>45107.0</v>
      </c>
      <c r="B1391" s="2">
        <v>443.28</v>
      </c>
      <c r="C1391" s="3" t="s">
        <v>837</v>
      </c>
      <c r="D1391" s="4" t="str">
        <f t="array" ref="D1391">XLOOKUP(Hoja5!A1391,Agregado!B1512:B2899,Agregado!G1391:G2899)</f>
        <v>#N/A</v>
      </c>
    </row>
    <row r="1392" ht="15.75" customHeight="1">
      <c r="A1392" s="12">
        <v>45110.0</v>
      </c>
      <c r="B1392" s="2">
        <v>443.79</v>
      </c>
      <c r="C1392" s="3">
        <v>44992.0</v>
      </c>
      <c r="D1392" s="4" t="str">
        <f t="array" ref="D1392">XLOOKUP(Hoja5!A1392,Agregado!B1512:B2900,Agregado!G1392:G2900)</f>
        <v>#N/A</v>
      </c>
    </row>
    <row r="1393" ht="15.75" customHeight="1">
      <c r="A1393" s="12">
        <v>45112.0</v>
      </c>
      <c r="B1393" s="2">
        <v>443.13</v>
      </c>
      <c r="C1393" s="3">
        <v>45053.0</v>
      </c>
      <c r="D1393" s="4" t="str">
        <f t="array" ref="D1393">XLOOKUP(Hoja5!A1393,Agregado!B1512:B2901,Agregado!G1393:G2901)</f>
        <v>#N/A</v>
      </c>
    </row>
    <row r="1394" ht="15.75" customHeight="1">
      <c r="A1394" s="12">
        <v>45113.0</v>
      </c>
      <c r="B1394" s="2">
        <v>439.66</v>
      </c>
      <c r="C1394" s="3">
        <v>45084.0</v>
      </c>
      <c r="D1394" s="4" t="str">
        <f t="array" ref="D1394">XLOOKUP(Hoja5!A1394,Agregado!B1512:B2902,Agregado!G1394:G2902)</f>
        <v>#N/A</v>
      </c>
    </row>
    <row r="1395" ht="15.75" customHeight="1">
      <c r="A1395" s="12">
        <v>45114.0</v>
      </c>
      <c r="B1395" s="2">
        <v>438.55</v>
      </c>
      <c r="C1395" s="3">
        <v>45114.0</v>
      </c>
      <c r="D1395" s="4" t="str">
        <f t="array" ref="D1395">XLOOKUP(Hoja5!A1395,Agregado!B1512:B2903,Agregado!G1395:G2903)</f>
        <v>#N/A</v>
      </c>
    </row>
    <row r="1396" ht="15.75" customHeight="1">
      <c r="A1396" s="12">
        <v>45117.0</v>
      </c>
      <c r="B1396" s="2">
        <v>439.66</v>
      </c>
      <c r="C1396" s="3">
        <v>45206.0</v>
      </c>
      <c r="D1396" s="4" t="str">
        <f t="array" ref="D1396">XLOOKUP(Hoja5!A1396,Agregado!B1512:B2904,Agregado!G1396:G2904)</f>
        <v>#N/A</v>
      </c>
    </row>
    <row r="1397" ht="15.75" customHeight="1">
      <c r="A1397" s="12">
        <v>45118.0</v>
      </c>
      <c r="B1397" s="2">
        <v>442.46</v>
      </c>
      <c r="C1397" s="3">
        <v>45237.0</v>
      </c>
      <c r="D1397" s="4" t="str">
        <f t="array" ref="D1397">XLOOKUP(Hoja5!A1397,Agregado!B1512:B2905,Agregado!G1397:G2905)</f>
        <v>#N/A</v>
      </c>
    </row>
    <row r="1398" ht="15.75" customHeight="1">
      <c r="A1398" s="12">
        <v>45119.0</v>
      </c>
      <c r="B1398" s="2">
        <v>446.02</v>
      </c>
      <c r="C1398" s="3">
        <v>45267.0</v>
      </c>
      <c r="D1398" s="4" t="str">
        <f t="array" ref="D1398">XLOOKUP(Hoja5!A1398,Agregado!B1512:B2906,Agregado!G1398:G2906)</f>
        <v>#N/A</v>
      </c>
    </row>
    <row r="1399" ht="15.75" customHeight="1">
      <c r="A1399" s="12">
        <v>45120.0</v>
      </c>
      <c r="B1399" s="2">
        <v>449.56</v>
      </c>
      <c r="C1399" s="3" t="s">
        <v>838</v>
      </c>
      <c r="D1399" s="4" t="str">
        <f t="array" ref="D1399">XLOOKUP(Hoja5!A1399,Agregado!B1512:B2907,Agregado!G1399:G2907)</f>
        <v>#N/A</v>
      </c>
    </row>
    <row r="1400" ht="15.75" customHeight="1">
      <c r="A1400" s="12">
        <v>45121.0</v>
      </c>
      <c r="B1400" s="2">
        <v>449.28</v>
      </c>
      <c r="C1400" s="3" t="s">
        <v>839</v>
      </c>
      <c r="D1400" s="4" t="str">
        <f t="array" ref="D1400">XLOOKUP(Hoja5!A1400,Agregado!B1512:B2908,Agregado!G1400:G2908)</f>
        <v>#N/A</v>
      </c>
    </row>
    <row r="1401" ht="15.75" customHeight="1">
      <c r="A1401" s="12">
        <v>45124.0</v>
      </c>
      <c r="B1401" s="2">
        <v>450.84</v>
      </c>
      <c r="C1401" s="3" t="s">
        <v>840</v>
      </c>
      <c r="D1401" s="4" t="str">
        <f t="array" ref="D1401">XLOOKUP(Hoja5!A1401,Agregado!B1512:B2909,Agregado!G1401:G2909)</f>
        <v>#N/A</v>
      </c>
    </row>
    <row r="1402" ht="15.75" customHeight="1">
      <c r="A1402" s="12">
        <v>45125.0</v>
      </c>
      <c r="B1402" s="2">
        <v>454.19</v>
      </c>
      <c r="C1402" s="3" t="s">
        <v>841</v>
      </c>
      <c r="D1402" s="4" t="str">
        <f t="array" ref="D1402">XLOOKUP(Hoja5!A1402,Agregado!B1512:B2910,Agregado!G1402:G2910)</f>
        <v>#N/A</v>
      </c>
    </row>
    <row r="1403" ht="15.75" customHeight="1">
      <c r="A1403" s="12">
        <v>45126.0</v>
      </c>
      <c r="B1403" s="2">
        <v>455.2</v>
      </c>
      <c r="C1403" s="3" t="s">
        <v>842</v>
      </c>
      <c r="D1403" s="4" t="str">
        <f t="array" ref="D1403">XLOOKUP(Hoja5!A1403,Agregado!B1512:B2911,Agregado!G1403:G2911)</f>
        <v>#N/A</v>
      </c>
    </row>
    <row r="1404" ht="15.75" customHeight="1">
      <c r="A1404" s="12">
        <v>45127.0</v>
      </c>
      <c r="B1404" s="2">
        <v>452.18</v>
      </c>
      <c r="C1404" s="3" t="s">
        <v>843</v>
      </c>
      <c r="D1404" s="4" t="str">
        <f t="array" ref="D1404">XLOOKUP(Hoja5!A1404,Agregado!B1512:B2912,Agregado!G1404:G2912)</f>
        <v>#N/A</v>
      </c>
    </row>
    <row r="1405" ht="15.75" customHeight="1">
      <c r="A1405" s="12">
        <v>45128.0</v>
      </c>
      <c r="B1405" s="2">
        <v>452.18</v>
      </c>
      <c r="C1405" s="3" t="s">
        <v>844</v>
      </c>
      <c r="D1405" s="4" t="str">
        <f t="array" ref="D1405">XLOOKUP(Hoja5!A1405,Agregado!B1512:B2913,Agregado!G1405:G2913)</f>
        <v>#N/A</v>
      </c>
    </row>
    <row r="1406" ht="15.75" customHeight="1">
      <c r="A1406" s="12">
        <v>45131.0</v>
      </c>
      <c r="B1406" s="2">
        <v>454.2</v>
      </c>
      <c r="C1406" s="3" t="s">
        <v>845</v>
      </c>
      <c r="D1406" s="4" t="str">
        <f t="array" ref="D1406">XLOOKUP(Hoja5!A1406,Agregado!B1512:B2914,Agregado!G1406:G2914)</f>
        <v>#N/A</v>
      </c>
    </row>
    <row r="1407" ht="15.75" customHeight="1">
      <c r="A1407" s="12">
        <v>45132.0</v>
      </c>
      <c r="B1407" s="2">
        <v>455.44</v>
      </c>
      <c r="C1407" s="3" t="s">
        <v>846</v>
      </c>
      <c r="D1407" s="4" t="str">
        <f t="array" ref="D1407">XLOOKUP(Hoja5!A1407,Agregado!B1512:B2915,Agregado!G1407:G2915)</f>
        <v>#N/A</v>
      </c>
    </row>
    <row r="1408" ht="15.75" customHeight="1">
      <c r="A1408" s="12">
        <v>45133.0</v>
      </c>
      <c r="B1408" s="2">
        <v>455.51</v>
      </c>
      <c r="C1408" s="3" t="s">
        <v>847</v>
      </c>
      <c r="D1408" s="4" t="str">
        <f t="array" ref="D1408">XLOOKUP(Hoja5!A1408,Agregado!B1512:B2916,Agregado!G1408:G2916)</f>
        <v>#N/A</v>
      </c>
    </row>
    <row r="1409" ht="15.75" customHeight="1">
      <c r="A1409" s="12">
        <v>45134.0</v>
      </c>
      <c r="B1409" s="2">
        <v>452.49</v>
      </c>
      <c r="C1409" s="3" t="s">
        <v>848</v>
      </c>
      <c r="D1409" s="4" t="str">
        <f t="array" ref="D1409">XLOOKUP(Hoja5!A1409,Agregado!B1512:B2917,Agregado!G1409:G2917)</f>
        <v>#N/A</v>
      </c>
    </row>
    <row r="1410" ht="15.75" customHeight="1">
      <c r="A1410" s="12">
        <v>45135.0</v>
      </c>
      <c r="B1410" s="2">
        <v>456.92</v>
      </c>
      <c r="C1410" s="3" t="s">
        <v>849</v>
      </c>
      <c r="D1410" s="4" t="str">
        <f t="array" ref="D1410">XLOOKUP(Hoja5!A1410,Agregado!B1512:B2918,Agregado!G1410:G2918)</f>
        <v>#N/A</v>
      </c>
    </row>
    <row r="1411" ht="15.75" customHeight="1">
      <c r="A1411" s="12">
        <v>45138.0</v>
      </c>
      <c r="B1411" s="2">
        <v>457.79</v>
      </c>
      <c r="C1411" s="3" t="s">
        <v>850</v>
      </c>
      <c r="D1411" s="4" t="str">
        <f t="array" ref="D1411">XLOOKUP(Hoja5!A1411,Agregado!B1512:B2919,Agregado!G1411:G2919)</f>
        <v>#N/A</v>
      </c>
    </row>
    <row r="1412" ht="15.75" customHeight="1">
      <c r="A1412" s="12">
        <v>45139.0</v>
      </c>
      <c r="B1412" s="2">
        <v>456.48</v>
      </c>
      <c r="C1412" s="3">
        <v>44934.0</v>
      </c>
      <c r="D1412" s="4" t="str">
        <f t="array" ref="D1412">XLOOKUP(Hoja5!A1412,Agregado!B1512:B2920,Agregado!G1412:G2920)</f>
        <v>#N/A</v>
      </c>
    </row>
    <row r="1413" ht="15.75" customHeight="1">
      <c r="A1413" s="12">
        <v>45140.0</v>
      </c>
      <c r="B1413" s="2">
        <v>450.13</v>
      </c>
      <c r="C1413" s="3">
        <v>44965.0</v>
      </c>
      <c r="D1413" s="4" t="str">
        <f t="array" ref="D1413">XLOOKUP(Hoja5!A1413,Agregado!B1512:B2921,Agregado!G1413:G2921)</f>
        <v>#N/A</v>
      </c>
    </row>
    <row r="1414" ht="15.75" customHeight="1">
      <c r="A1414" s="12">
        <v>45141.0</v>
      </c>
      <c r="B1414" s="2">
        <v>448.84</v>
      </c>
      <c r="C1414" s="3">
        <v>44993.0</v>
      </c>
      <c r="D1414" s="4" t="str">
        <f t="array" ref="D1414">XLOOKUP(Hoja5!A1414,Agregado!B1512:B2922,Agregado!G1414:G2922)</f>
        <v>#N/A</v>
      </c>
    </row>
    <row r="1415" ht="15.75" customHeight="1">
      <c r="A1415" s="12">
        <v>45142.0</v>
      </c>
      <c r="B1415" s="2">
        <v>446.81</v>
      </c>
      <c r="C1415" s="3">
        <v>45024.0</v>
      </c>
      <c r="D1415" s="4" t="str">
        <f t="array" ref="D1415">XLOOKUP(Hoja5!A1415,Agregado!B1512:B2923,Agregado!G1415:G2923)</f>
        <v>#N/A</v>
      </c>
    </row>
    <row r="1416" ht="15.75" customHeight="1">
      <c r="A1416" s="12">
        <v>45145.0</v>
      </c>
      <c r="B1416" s="2">
        <v>450.71</v>
      </c>
      <c r="C1416" s="3">
        <v>45115.0</v>
      </c>
      <c r="D1416" s="4" t="str">
        <f t="array" ref="D1416">XLOOKUP(Hoja5!A1416,Agregado!B1512:B2924,Agregado!G1416:G2924)</f>
        <v>#N/A</v>
      </c>
    </row>
    <row r="1417" ht="15.75" customHeight="1">
      <c r="A1417" s="12">
        <v>45146.0</v>
      </c>
      <c r="B1417" s="2">
        <v>448.75</v>
      </c>
      <c r="C1417" s="3">
        <v>45146.0</v>
      </c>
      <c r="D1417" s="4" t="str">
        <f t="array" ref="D1417">XLOOKUP(Hoja5!A1417,Agregado!B1512:B2925,Agregado!G1417:G2925)</f>
        <v>#N/A</v>
      </c>
    </row>
    <row r="1418" ht="15.75" customHeight="1">
      <c r="A1418" s="12">
        <v>45147.0</v>
      </c>
      <c r="B1418" s="2">
        <v>445.75</v>
      </c>
      <c r="C1418" s="3">
        <v>45177.0</v>
      </c>
      <c r="D1418" s="4" t="str">
        <f t="array" ref="D1418">XLOOKUP(Hoja5!A1418,Agregado!B1512:B2926,Agregado!G1418:G2926)</f>
        <v>#N/A</v>
      </c>
    </row>
    <row r="1419" ht="15.75" customHeight="1">
      <c r="A1419" s="12">
        <v>45148.0</v>
      </c>
      <c r="B1419" s="2">
        <v>445.91</v>
      </c>
      <c r="C1419" s="3">
        <v>45207.0</v>
      </c>
      <c r="D1419" s="4" t="str">
        <f t="array" ref="D1419">XLOOKUP(Hoja5!A1419,Agregado!B1512:B2927,Agregado!G1419:G2927)</f>
        <v>#N/A</v>
      </c>
    </row>
    <row r="1420" ht="15.75" customHeight="1">
      <c r="A1420" s="12">
        <v>45149.0</v>
      </c>
      <c r="B1420" s="2">
        <v>445.65</v>
      </c>
      <c r="C1420" s="3">
        <v>45238.0</v>
      </c>
      <c r="D1420" s="4" t="str">
        <f t="array" ref="D1420">XLOOKUP(Hoja5!A1420,Agregado!B1512:B2928,Agregado!G1420:G2928)</f>
        <v>#N/A</v>
      </c>
    </row>
    <row r="1421" ht="15.75" customHeight="1">
      <c r="A1421" s="12">
        <v>45152.0</v>
      </c>
      <c r="B1421" s="2">
        <v>448.11</v>
      </c>
      <c r="C1421" s="3" t="s">
        <v>851</v>
      </c>
      <c r="D1421" s="4" t="str">
        <f t="array" ref="D1421">XLOOKUP(Hoja5!A1421,Agregado!B1512:B2929,Agregado!G1421:G2929)</f>
        <v>#N/A</v>
      </c>
    </row>
    <row r="1422" ht="15.75" customHeight="1">
      <c r="A1422" s="12">
        <v>45153.0</v>
      </c>
      <c r="B1422" s="2">
        <v>442.89</v>
      </c>
      <c r="C1422" s="3" t="s">
        <v>852</v>
      </c>
      <c r="D1422" s="4" t="str">
        <f t="array" ref="D1422">XLOOKUP(Hoja5!A1422,Agregado!B1512:B2930,Agregado!G1422:G2930)</f>
        <v>#N/A</v>
      </c>
    </row>
    <row r="1423" ht="15.75" customHeight="1">
      <c r="A1423" s="12">
        <v>45154.0</v>
      </c>
      <c r="B1423" s="2">
        <v>439.64</v>
      </c>
      <c r="C1423" s="3" t="s">
        <v>853</v>
      </c>
      <c r="D1423" s="4" t="str">
        <f t="array" ref="D1423">XLOOKUP(Hoja5!A1423,Agregado!B1512:B2931,Agregado!G1423:G2931)</f>
        <v>#N/A</v>
      </c>
    </row>
    <row r="1424" ht="15.75" customHeight="1">
      <c r="A1424" s="12">
        <v>45155.0</v>
      </c>
      <c r="B1424" s="2">
        <v>436.29</v>
      </c>
      <c r="C1424" s="3" t="s">
        <v>854</v>
      </c>
      <c r="D1424" s="4" t="str">
        <f t="array" ref="D1424">XLOOKUP(Hoja5!A1424,Agregado!B1512:B2932,Agregado!G1424:G2932)</f>
        <v>#N/A</v>
      </c>
    </row>
    <row r="1425" ht="15.75" customHeight="1">
      <c r="A1425" s="12">
        <v>45156.0</v>
      </c>
      <c r="B1425" s="2">
        <v>436.5</v>
      </c>
      <c r="C1425" s="3" t="s">
        <v>855</v>
      </c>
      <c r="D1425" s="4" t="str">
        <f t="array" ref="D1425">XLOOKUP(Hoja5!A1425,Agregado!B1512:B2933,Agregado!G1425:G2933)</f>
        <v>#N/A</v>
      </c>
    </row>
    <row r="1426" ht="15.75" customHeight="1">
      <c r="A1426" s="12">
        <v>45159.0</v>
      </c>
      <c r="B1426" s="2">
        <v>439.34</v>
      </c>
      <c r="C1426" s="3" t="s">
        <v>856</v>
      </c>
      <c r="D1426" s="4" t="str">
        <f t="array" ref="D1426">XLOOKUP(Hoja5!A1426,Agregado!B1512:B2934,Agregado!G1426:G2934)</f>
        <v>#N/A</v>
      </c>
    </row>
    <row r="1427" ht="15.75" customHeight="1">
      <c r="A1427" s="12">
        <v>45160.0</v>
      </c>
      <c r="B1427" s="2">
        <v>438.15</v>
      </c>
      <c r="C1427" s="3" t="s">
        <v>857</v>
      </c>
      <c r="D1427" s="4" t="str">
        <f t="array" ref="D1427">XLOOKUP(Hoja5!A1427,Agregado!B1512:B2935,Agregado!G1427:G2935)</f>
        <v>#N/A</v>
      </c>
    </row>
    <row r="1428" ht="15.75" customHeight="1">
      <c r="A1428" s="12">
        <v>45161.0</v>
      </c>
      <c r="B1428" s="2">
        <v>443.03</v>
      </c>
      <c r="C1428" s="3" t="s">
        <v>858</v>
      </c>
      <c r="D1428" s="4" t="str">
        <f t="array" ref="D1428">XLOOKUP(Hoja5!A1428,Agregado!B1512:B2936,Agregado!G1428:G2936)</f>
        <v>#N/A</v>
      </c>
    </row>
    <row r="1429" ht="15.75" customHeight="1">
      <c r="A1429" s="12">
        <v>45162.0</v>
      </c>
      <c r="B1429" s="2">
        <v>436.89</v>
      </c>
      <c r="C1429" s="3" t="s">
        <v>859</v>
      </c>
      <c r="D1429" s="4" t="str">
        <f t="array" ref="D1429">XLOOKUP(Hoja5!A1429,Agregado!B1512:B2937,Agregado!G1429:G2937)</f>
        <v>#N/A</v>
      </c>
    </row>
    <row r="1430" ht="15.75" customHeight="1">
      <c r="A1430" s="12">
        <v>45163.0</v>
      </c>
      <c r="B1430" s="2">
        <v>439.97</v>
      </c>
      <c r="C1430" s="3" t="s">
        <v>860</v>
      </c>
      <c r="D1430" s="4" t="str">
        <f t="array" ref="D1430">XLOOKUP(Hoja5!A1430,Agregado!B1512:B2938,Agregado!G1430:G2938)</f>
        <v>#N/A</v>
      </c>
    </row>
    <row r="1431" ht="15.75" customHeight="1">
      <c r="A1431" s="12">
        <v>45166.0</v>
      </c>
      <c r="B1431" s="2">
        <v>442.76</v>
      </c>
      <c r="C1431" s="3" t="s">
        <v>861</v>
      </c>
      <c r="D1431" s="4" t="str">
        <f t="array" ref="D1431">XLOOKUP(Hoja5!A1431,Agregado!B1512:B2939,Agregado!G1431:G2939)</f>
        <v>#N/A</v>
      </c>
    </row>
    <row r="1432" ht="15.75" customHeight="1">
      <c r="A1432" s="12">
        <v>45167.0</v>
      </c>
      <c r="B1432" s="2">
        <v>449.16</v>
      </c>
      <c r="C1432" s="3" t="s">
        <v>862</v>
      </c>
      <c r="D1432" s="4" t="str">
        <f t="array" ref="D1432">XLOOKUP(Hoja5!A1432,Agregado!B1512:B2940,Agregado!G1432:G2940)</f>
        <v>#N/A</v>
      </c>
    </row>
    <row r="1433" ht="15.75" customHeight="1">
      <c r="A1433" s="12">
        <v>45168.0</v>
      </c>
      <c r="B1433" s="2">
        <v>451.01</v>
      </c>
      <c r="C1433" s="3" t="s">
        <v>863</v>
      </c>
      <c r="D1433" s="4" t="str">
        <f t="array" ref="D1433">XLOOKUP(Hoja5!A1433,Agregado!B1512:B2941,Agregado!G1433:G2941)</f>
        <v>#N/A</v>
      </c>
    </row>
    <row r="1434" ht="15.75" customHeight="1">
      <c r="A1434" s="12">
        <v>45169.0</v>
      </c>
      <c r="B1434" s="2">
        <v>450.35</v>
      </c>
      <c r="C1434" s="3" t="s">
        <v>864</v>
      </c>
      <c r="D1434" s="4" t="str">
        <f t="array" ref="D1434">XLOOKUP(Hoja5!A1434,Agregado!B1512:B2942,Agregado!G1434:G2942)</f>
        <v>#N/A</v>
      </c>
    </row>
    <row r="1435" ht="15.75" customHeight="1">
      <c r="A1435" s="12">
        <v>45170.0</v>
      </c>
      <c r="B1435" s="2">
        <v>451.19</v>
      </c>
      <c r="C1435" s="3">
        <v>44935.0</v>
      </c>
      <c r="D1435" s="4" t="str">
        <f t="array" ref="D1435">XLOOKUP(Hoja5!A1435,Agregado!B1512:B2943,Agregado!G1435:G2943)</f>
        <v>#N/A</v>
      </c>
    </row>
    <row r="1436" ht="15.75" customHeight="1">
      <c r="A1436" s="12">
        <v>45174.0</v>
      </c>
      <c r="B1436" s="2">
        <v>449.24</v>
      </c>
      <c r="C1436" s="3">
        <v>45055.0</v>
      </c>
      <c r="D1436" s="4" t="str">
        <f t="array" ref="D1436">XLOOKUP(Hoja5!A1436,Agregado!B1512:B2944,Agregado!G1436:G2944)</f>
        <v>#N/A</v>
      </c>
    </row>
    <row r="1437" ht="15.75" customHeight="1">
      <c r="A1437" s="12">
        <v>45175.0</v>
      </c>
      <c r="B1437" s="2">
        <v>446.22</v>
      </c>
      <c r="C1437" s="3">
        <v>45086.0</v>
      </c>
      <c r="D1437" s="4" t="str">
        <f t="array" ref="D1437">XLOOKUP(Hoja5!A1437,Agregado!B1512:B2945,Agregado!G1437:G2945)</f>
        <v>#N/A</v>
      </c>
    </row>
    <row r="1438" ht="15.75" customHeight="1">
      <c r="A1438" s="12">
        <v>45176.0</v>
      </c>
      <c r="B1438" s="2">
        <v>444.85</v>
      </c>
      <c r="C1438" s="3">
        <v>45116.0</v>
      </c>
      <c r="D1438" s="4" t="str">
        <f t="array" ref="D1438">XLOOKUP(Hoja5!A1438,Agregado!B1512:B2946,Agregado!G1438:G2946)</f>
        <v>#N/A</v>
      </c>
    </row>
    <row r="1439" ht="15.75" customHeight="1">
      <c r="A1439" s="12">
        <v>45177.0</v>
      </c>
      <c r="B1439" s="2">
        <v>445.52</v>
      </c>
      <c r="C1439" s="3">
        <v>45147.0</v>
      </c>
      <c r="D1439" s="4" t="str">
        <f t="array" ref="D1439">XLOOKUP(Hoja5!A1439,Agregado!B1512:B2947,Agregado!G1439:G2947)</f>
        <v>#N/A</v>
      </c>
    </row>
    <row r="1440" ht="15.75" customHeight="1">
      <c r="A1440" s="12">
        <v>45180.0</v>
      </c>
      <c r="B1440" s="2">
        <v>448.45</v>
      </c>
      <c r="C1440" s="3">
        <v>45239.0</v>
      </c>
      <c r="D1440" s="4" t="str">
        <f t="array" ref="D1440">XLOOKUP(Hoja5!A1440,Agregado!B1512:B2948,Agregado!G1440:G2948)</f>
        <v>#N/A</v>
      </c>
    </row>
    <row r="1441" ht="15.75" customHeight="1">
      <c r="A1441" s="12">
        <v>45181.0</v>
      </c>
      <c r="B1441" s="2">
        <v>445.99</v>
      </c>
      <c r="C1441" s="3">
        <v>45269.0</v>
      </c>
      <c r="D1441" s="4" t="str">
        <f t="array" ref="D1441">XLOOKUP(Hoja5!A1441,Agregado!B1512:B2949,Agregado!G1441:G2949)</f>
        <v>#N/A</v>
      </c>
    </row>
    <row r="1442" ht="15.75" customHeight="1">
      <c r="A1442" s="12">
        <v>45182.0</v>
      </c>
      <c r="B1442" s="2">
        <v>446.51</v>
      </c>
      <c r="C1442" s="3" t="s">
        <v>865</v>
      </c>
      <c r="D1442" s="4" t="str">
        <f t="array" ref="D1442">XLOOKUP(Hoja5!A1442,Agregado!B1512:B2950,Agregado!G1442:G2950)</f>
        <v>#N/A</v>
      </c>
    </row>
    <row r="1443" ht="15.75" customHeight="1">
      <c r="A1443" s="12">
        <v>45183.0</v>
      </c>
      <c r="B1443" s="2">
        <v>450.36</v>
      </c>
      <c r="C1443" s="3" t="s">
        <v>866</v>
      </c>
      <c r="D1443" s="4" t="str">
        <f t="array" ref="D1443">XLOOKUP(Hoja5!A1443,Agregado!B1512:B2951,Agregado!G1443:G2951)</f>
        <v>#N/A</v>
      </c>
    </row>
    <row r="1444" ht="15.75" customHeight="1">
      <c r="A1444" s="12">
        <v>45184.0</v>
      </c>
      <c r="B1444" s="2">
        <v>443.37</v>
      </c>
      <c r="C1444" s="3" t="s">
        <v>867</v>
      </c>
      <c r="D1444" s="4" t="str">
        <f t="array" ref="D1444">XLOOKUP(Hoja5!A1444,Agregado!B1512:B2952,Agregado!G1444:G2952)</f>
        <v>#N/A</v>
      </c>
    </row>
    <row r="1445" ht="15.75" customHeight="1">
      <c r="A1445" s="12">
        <v>45187.0</v>
      </c>
      <c r="B1445" s="2">
        <v>443.63</v>
      </c>
      <c r="C1445" s="3" t="s">
        <v>868</v>
      </c>
      <c r="D1445" s="4" t="str">
        <f t="array" ref="D1445">XLOOKUP(Hoja5!A1445,Agregado!B1512:B2953,Agregado!G1445:G2953)</f>
        <v>#N/A</v>
      </c>
    </row>
    <row r="1446" ht="15.75" customHeight="1">
      <c r="A1446" s="12">
        <v>45188.0</v>
      </c>
      <c r="B1446" s="2">
        <v>442.71</v>
      </c>
      <c r="C1446" s="3" t="s">
        <v>869</v>
      </c>
      <c r="D1446" s="4" t="str">
        <f t="array" ref="D1446">XLOOKUP(Hoja5!A1446,Agregado!B1512:B2954,Agregado!G1446:G2954)</f>
        <v>#N/A</v>
      </c>
    </row>
    <row r="1447" ht="15.75" customHeight="1">
      <c r="A1447" s="12">
        <v>45189.0</v>
      </c>
      <c r="B1447" s="2">
        <v>438.64</v>
      </c>
      <c r="C1447" s="3" t="s">
        <v>870</v>
      </c>
      <c r="D1447" s="4" t="str">
        <f t="array" ref="D1447">XLOOKUP(Hoja5!A1447,Agregado!B1512:B2955,Agregado!G1447:G2955)</f>
        <v>#N/A</v>
      </c>
    </row>
    <row r="1448" ht="15.75" customHeight="1">
      <c r="A1448" s="12">
        <v>45190.0</v>
      </c>
      <c r="B1448" s="2">
        <v>431.39</v>
      </c>
      <c r="C1448" s="3" t="s">
        <v>871</v>
      </c>
      <c r="D1448" s="4" t="str">
        <f t="array" ref="D1448">XLOOKUP(Hoja5!A1448,Agregado!B1512:B2956,Agregado!G1448:G2956)</f>
        <v>#N/A</v>
      </c>
    </row>
    <row r="1449" ht="15.75" customHeight="1">
      <c r="A1449" s="12">
        <v>45191.0</v>
      </c>
      <c r="B1449" s="2">
        <v>430.42</v>
      </c>
      <c r="C1449" s="3" t="s">
        <v>872</v>
      </c>
      <c r="D1449" s="4" t="str">
        <f t="array" ref="D1449">XLOOKUP(Hoja5!A1449,Agregado!B1512:B2957,Agregado!G1449:G2957)</f>
        <v>#N/A</v>
      </c>
    </row>
    <row r="1450" ht="15.75" customHeight="1">
      <c r="A1450" s="12">
        <v>45194.0</v>
      </c>
      <c r="B1450" s="2">
        <v>432.23</v>
      </c>
      <c r="C1450" s="3" t="s">
        <v>873</v>
      </c>
      <c r="D1450" s="4" t="str">
        <f t="array" ref="D1450">XLOOKUP(Hoja5!A1450,Agregado!B1512:B2958,Agregado!G1450:G2958)</f>
        <v>#N/A</v>
      </c>
    </row>
    <row r="1451" ht="15.75" customHeight="1">
      <c r="A1451" s="12">
        <v>45195.0</v>
      </c>
      <c r="B1451" s="2">
        <v>425.88</v>
      </c>
      <c r="C1451" s="3" t="s">
        <v>874</v>
      </c>
      <c r="D1451" s="4" t="str">
        <f t="array" ref="D1451">XLOOKUP(Hoja5!A1451,Agregado!B1512:B2959,Agregado!G1451:G2959)</f>
        <v>#N/A</v>
      </c>
    </row>
    <row r="1452" ht="15.75" customHeight="1">
      <c r="A1452" s="12">
        <v>45196.0</v>
      </c>
      <c r="B1452" s="2">
        <v>426.05</v>
      </c>
      <c r="C1452" s="3" t="s">
        <v>875</v>
      </c>
      <c r="D1452" s="4" t="str">
        <f t="array" ref="D1452">XLOOKUP(Hoja5!A1452,Agregado!B1512:B2960,Agregado!G1452:G2960)</f>
        <v>#N/A</v>
      </c>
    </row>
    <row r="1453" ht="15.75" customHeight="1">
      <c r="A1453" s="12">
        <v>45197.0</v>
      </c>
      <c r="B1453" s="2">
        <v>428.52</v>
      </c>
      <c r="C1453" s="3" t="s">
        <v>876</v>
      </c>
      <c r="D1453" s="4" t="str">
        <f t="array" ref="D1453">XLOOKUP(Hoja5!A1453,Agregado!B1512:B2961,Agregado!G1453:G2961)</f>
        <v>#N/A</v>
      </c>
    </row>
    <row r="1454" ht="15.75" customHeight="1">
      <c r="A1454" s="12">
        <v>45198.0</v>
      </c>
      <c r="B1454" s="2">
        <v>427.48</v>
      </c>
      <c r="C1454" s="3" t="s">
        <v>877</v>
      </c>
      <c r="D1454" s="4" t="str">
        <f t="array" ref="D1454">XLOOKUP(Hoja5!A1454,Agregado!B1512:B2962,Agregado!G1454:G2962)</f>
        <v>#N/A</v>
      </c>
    </row>
    <row r="1455" ht="15.75" customHeight="1">
      <c r="A1455" s="12">
        <v>45201.0</v>
      </c>
      <c r="B1455" s="2">
        <v>427.31</v>
      </c>
      <c r="C1455" s="3">
        <v>44967.0</v>
      </c>
      <c r="D1455" s="4" t="str">
        <f t="array" ref="D1455">XLOOKUP(Hoja5!A1455,Agregado!B1512:B2963,Agregado!G1455:G2963)</f>
        <v>#N/A</v>
      </c>
    </row>
    <row r="1456" ht="15.75" customHeight="1">
      <c r="A1456" s="12">
        <v>45202.0</v>
      </c>
      <c r="B1456" s="2">
        <v>421.59</v>
      </c>
      <c r="C1456" s="3">
        <v>44995.0</v>
      </c>
      <c r="D1456" s="4" t="str">
        <f t="array" ref="D1456">XLOOKUP(Hoja5!A1456,Agregado!B1512:B2964,Agregado!G1456:G2964)</f>
        <v>#N/A</v>
      </c>
    </row>
    <row r="1457" ht="15.75" customHeight="1">
      <c r="A1457" s="12">
        <v>45203.0</v>
      </c>
      <c r="B1457" s="2">
        <v>424.66</v>
      </c>
      <c r="C1457" s="3">
        <v>45026.0</v>
      </c>
      <c r="D1457" s="4" t="str">
        <f t="array" ref="D1457">XLOOKUP(Hoja5!A1457,Agregado!B1512:B2965,Agregado!G1457:G2965)</f>
        <v>#N/A</v>
      </c>
    </row>
    <row r="1458" ht="15.75" customHeight="1">
      <c r="A1458" s="12">
        <v>45204.0</v>
      </c>
      <c r="B1458" s="2">
        <v>424.5</v>
      </c>
      <c r="C1458" s="3">
        <v>45056.0</v>
      </c>
      <c r="D1458" s="4" t="str">
        <f t="array" ref="D1458">XLOOKUP(Hoja5!A1458,Agregado!B1512:B2966,Agregado!G1458:G2966)</f>
        <v>#N/A</v>
      </c>
    </row>
    <row r="1459" ht="15.75" customHeight="1">
      <c r="A1459" s="12">
        <v>45205.0</v>
      </c>
      <c r="B1459" s="2">
        <v>429.54</v>
      </c>
      <c r="C1459" s="3">
        <v>45087.0</v>
      </c>
      <c r="D1459" s="4" t="str">
        <f t="array" ref="D1459">XLOOKUP(Hoja5!A1459,Agregado!B1512:B2967,Agregado!G1459:G2967)</f>
        <v>#N/A</v>
      </c>
    </row>
    <row r="1460" ht="15.75" customHeight="1">
      <c r="A1460" s="12">
        <v>45208.0</v>
      </c>
      <c r="B1460" s="2">
        <v>432.29</v>
      </c>
      <c r="C1460" s="3">
        <v>45179.0</v>
      </c>
      <c r="D1460" s="4" t="str">
        <f t="array" ref="D1460">XLOOKUP(Hoja5!A1460,Agregado!B1512:B2968,Agregado!G1460:G2968)</f>
        <v>#N/A</v>
      </c>
    </row>
    <row r="1461" ht="15.75" customHeight="1">
      <c r="A1461" s="12">
        <v>45209.0</v>
      </c>
      <c r="B1461" s="2">
        <v>434.54</v>
      </c>
      <c r="C1461" s="3">
        <v>45209.0</v>
      </c>
      <c r="D1461" s="4" t="str">
        <f t="array" ref="D1461">XLOOKUP(Hoja5!A1461,Agregado!B1512:B2969,Agregado!G1461:G2969)</f>
        <v>#N/A</v>
      </c>
    </row>
    <row r="1462" ht="15.75" customHeight="1">
      <c r="A1462" s="12">
        <v>45210.0</v>
      </c>
      <c r="B1462" s="2">
        <v>436.32</v>
      </c>
      <c r="C1462" s="3">
        <v>45240.0</v>
      </c>
      <c r="D1462" s="4" t="str">
        <f t="array" ref="D1462">XLOOKUP(Hoja5!A1462,Agregado!B1512:B2970,Agregado!G1462:G2970)</f>
        <v>#N/A</v>
      </c>
    </row>
    <row r="1463" ht="15.75" customHeight="1">
      <c r="A1463" s="12">
        <v>45211.0</v>
      </c>
      <c r="B1463" s="2">
        <v>433.66</v>
      </c>
      <c r="C1463" s="3">
        <v>45270.0</v>
      </c>
      <c r="D1463" s="4" t="str">
        <f t="array" ref="D1463">XLOOKUP(Hoja5!A1463,Agregado!B1512:B2971,Agregado!G1463:G2971)</f>
        <v>#N/A</v>
      </c>
    </row>
    <row r="1464" ht="15.75" customHeight="1">
      <c r="A1464" s="12">
        <v>45212.0</v>
      </c>
      <c r="B1464" s="2">
        <v>431.5</v>
      </c>
      <c r="C1464" s="3" t="s">
        <v>878</v>
      </c>
      <c r="D1464" s="4" t="str">
        <f t="array" ref="D1464">XLOOKUP(Hoja5!A1464,Agregado!B1512:B2972,Agregado!G1464:G2972)</f>
        <v>#N/A</v>
      </c>
    </row>
    <row r="1465" ht="15.75" customHeight="1">
      <c r="A1465" s="12">
        <v>45215.0</v>
      </c>
      <c r="B1465" s="2">
        <v>436.04</v>
      </c>
      <c r="C1465" s="3" t="s">
        <v>879</v>
      </c>
      <c r="D1465" s="4" t="str">
        <f t="array" ref="D1465">XLOOKUP(Hoja5!A1465,Agregado!B1512:B2973,Agregado!G1465:G2973)</f>
        <v>#N/A</v>
      </c>
    </row>
    <row r="1466" ht="15.75" customHeight="1">
      <c r="A1466" s="12">
        <v>45216.0</v>
      </c>
      <c r="B1466" s="2">
        <v>436.02</v>
      </c>
      <c r="C1466" s="3" t="s">
        <v>880</v>
      </c>
      <c r="D1466" s="4" t="str">
        <f t="array" ref="D1466">XLOOKUP(Hoja5!A1466,Agregado!B1512:B2974,Agregado!G1466:G2974)</f>
        <v>#N/A</v>
      </c>
    </row>
    <row r="1467" ht="15.75" customHeight="1">
      <c r="A1467" s="12">
        <v>45217.0</v>
      </c>
      <c r="B1467" s="2">
        <v>430.21</v>
      </c>
      <c r="C1467" s="3" t="s">
        <v>881</v>
      </c>
      <c r="D1467" s="4" t="str">
        <f t="array" ref="D1467">XLOOKUP(Hoja5!A1467,Agregado!B1512:B2975,Agregado!G1467:G2975)</f>
        <v>#N/A</v>
      </c>
    </row>
    <row r="1468" ht="15.75" customHeight="1">
      <c r="A1468" s="12">
        <v>45218.0</v>
      </c>
      <c r="B1468" s="2">
        <v>426.43</v>
      </c>
      <c r="C1468" s="3" t="s">
        <v>882</v>
      </c>
      <c r="D1468" s="4" t="str">
        <f t="array" ref="D1468">XLOOKUP(Hoja5!A1468,Agregado!B1512:B2976,Agregado!G1468:G2976)</f>
        <v>#N/A</v>
      </c>
    </row>
    <row r="1469" ht="15.75" customHeight="1">
      <c r="A1469" s="12">
        <v>45219.0</v>
      </c>
      <c r="B1469" s="2">
        <v>421.19</v>
      </c>
      <c r="C1469" s="3" t="s">
        <v>883</v>
      </c>
      <c r="D1469" s="4" t="str">
        <f t="array" ref="D1469">XLOOKUP(Hoja5!A1469,Agregado!B1512:B2977,Agregado!G1469:G2977)</f>
        <v>#N/A</v>
      </c>
    </row>
    <row r="1470" ht="15.75" customHeight="1">
      <c r="A1470" s="12">
        <v>45222.0</v>
      </c>
      <c r="B1470" s="2">
        <v>420.46</v>
      </c>
      <c r="C1470" s="3" t="s">
        <v>884</v>
      </c>
      <c r="D1470" s="4" t="str">
        <f t="array" ref="D1470">XLOOKUP(Hoja5!A1470,Agregado!B1512:B2978,Agregado!G1470:G2978)</f>
        <v>#N/A</v>
      </c>
    </row>
    <row r="1471" ht="15.75" customHeight="1">
      <c r="A1471" s="12">
        <v>45223.0</v>
      </c>
      <c r="B1471" s="2">
        <v>423.63</v>
      </c>
      <c r="C1471" s="3" t="s">
        <v>885</v>
      </c>
      <c r="D1471" s="4" t="str">
        <f t="array" ref="D1471">XLOOKUP(Hoja5!A1471,Agregado!B1512:B2979,Agregado!G1471:G2979)</f>
        <v>#N/A</v>
      </c>
    </row>
    <row r="1472" ht="15.75" customHeight="1">
      <c r="A1472" s="12">
        <v>45224.0</v>
      </c>
      <c r="B1472" s="2">
        <v>417.55</v>
      </c>
      <c r="C1472" s="3" t="s">
        <v>886</v>
      </c>
      <c r="D1472" s="4" t="str">
        <f t="array" ref="D1472">XLOOKUP(Hoja5!A1472,Agregado!B1512:B2980,Agregado!G1472:G2980)</f>
        <v>#N/A</v>
      </c>
    </row>
    <row r="1473" ht="15.75" customHeight="1">
      <c r="A1473" s="12">
        <v>45225.0</v>
      </c>
      <c r="B1473" s="2">
        <v>412.55</v>
      </c>
      <c r="C1473" s="3" t="s">
        <v>887</v>
      </c>
      <c r="D1473" s="4" t="str">
        <f t="array" ref="D1473">XLOOKUP(Hoja5!A1473,Agregado!B1512:B2981,Agregado!G1473:G2981)</f>
        <v>#N/A</v>
      </c>
    </row>
    <row r="1474" ht="15.75" customHeight="1">
      <c r="A1474" s="12">
        <v>45226.0</v>
      </c>
      <c r="B1474" s="2">
        <v>410.68</v>
      </c>
      <c r="C1474" s="3" t="s">
        <v>888</v>
      </c>
      <c r="D1474" s="4" t="str">
        <f t="array" ref="D1474">XLOOKUP(Hoja5!A1474,Agregado!B1512:B2982,Agregado!G1474:G2982)</f>
        <v>#N/A</v>
      </c>
    </row>
    <row r="1475" ht="15.75" customHeight="1">
      <c r="A1475" s="12">
        <v>45229.0</v>
      </c>
      <c r="B1475" s="2">
        <v>415.59</v>
      </c>
      <c r="C1475" s="3" t="s">
        <v>889</v>
      </c>
      <c r="D1475" s="4" t="str">
        <f t="array" ref="D1475">XLOOKUP(Hoja5!A1475,Agregado!B1512:B2983,Agregado!G1475:G2983)</f>
        <v>#N/A</v>
      </c>
    </row>
    <row r="1476" ht="15.75" customHeight="1">
      <c r="A1476" s="12">
        <v>45230.0</v>
      </c>
      <c r="B1476" s="2">
        <v>418.2</v>
      </c>
      <c r="C1476" s="3" t="s">
        <v>890</v>
      </c>
      <c r="D1476" s="4" t="str">
        <f t="array" ref="D1476">XLOOKUP(Hoja5!A1476,Agregado!B1512:B2984,Agregado!G1476:G2984)</f>
        <v>#N/A</v>
      </c>
    </row>
    <row r="1477" ht="15.75" customHeight="1">
      <c r="A1477" s="12">
        <v>45231.0</v>
      </c>
      <c r="B1477" s="2">
        <v>422.66</v>
      </c>
      <c r="C1477" s="3">
        <v>44937.0</v>
      </c>
      <c r="D1477" s="4" t="str">
        <f t="array" ref="D1477">XLOOKUP(Hoja5!A1477,Agregado!B1512:B2985,Agregado!G1477:G2985)</f>
        <v>#N/A</v>
      </c>
    </row>
    <row r="1478" ht="15.75" customHeight="1">
      <c r="A1478" s="12">
        <v>45232.0</v>
      </c>
      <c r="B1478" s="2">
        <v>430.76</v>
      </c>
      <c r="C1478" s="3">
        <v>44968.0</v>
      </c>
      <c r="D1478" s="4" t="str">
        <f t="array" ref="D1478">XLOOKUP(Hoja5!A1478,Agregado!B1512:B2986,Agregado!G1478:G2986)</f>
        <v>#N/A</v>
      </c>
    </row>
    <row r="1479" ht="15.75" customHeight="1">
      <c r="A1479" s="12">
        <v>45233.0</v>
      </c>
      <c r="B1479" s="2">
        <v>434.69</v>
      </c>
      <c r="C1479" s="3">
        <v>44996.0</v>
      </c>
      <c r="D1479" s="4" t="str">
        <f t="array" ref="D1479">XLOOKUP(Hoja5!A1479,Agregado!B1512:B2987,Agregado!G1479:G2987)</f>
        <v>#N/A</v>
      </c>
    </row>
    <row r="1480" ht="15.75" customHeight="1">
      <c r="A1480" s="12">
        <v>45236.0</v>
      </c>
      <c r="B1480" s="2">
        <v>435.69</v>
      </c>
      <c r="C1480" s="3">
        <v>45088.0</v>
      </c>
      <c r="D1480" s="4" t="str">
        <f t="array" ref="D1480">XLOOKUP(Hoja5!A1480,Agregado!B1512:B2988,Agregado!G1480:G2988)</f>
        <v>#N/A</v>
      </c>
    </row>
    <row r="1481" ht="15.75" customHeight="1">
      <c r="A1481" s="12">
        <v>45237.0</v>
      </c>
      <c r="B1481" s="2">
        <v>436.93</v>
      </c>
      <c r="C1481" s="3">
        <v>45118.0</v>
      </c>
      <c r="D1481" s="4" t="str">
        <f t="array" ref="D1481">XLOOKUP(Hoja5!A1481,Agregado!B1512:B2989,Agregado!G1481:G2989)</f>
        <v>#N/A</v>
      </c>
    </row>
    <row r="1482" ht="15.75" customHeight="1">
      <c r="A1482" s="12">
        <v>45238.0</v>
      </c>
      <c r="B1482" s="2">
        <v>437.25</v>
      </c>
      <c r="C1482" s="3">
        <v>45149.0</v>
      </c>
      <c r="D1482" s="4" t="str">
        <f t="array" ref="D1482">XLOOKUP(Hoja5!A1482,Agregado!B1512:B2990,Agregado!G1482:G2990)</f>
        <v>#N/A</v>
      </c>
    </row>
    <row r="1483" ht="15.75" customHeight="1">
      <c r="A1483" s="12">
        <v>45239.0</v>
      </c>
      <c r="B1483" s="2">
        <v>433.84</v>
      </c>
      <c r="C1483" s="3">
        <v>45180.0</v>
      </c>
      <c r="D1483" s="4" t="str">
        <f t="array" ref="D1483">XLOOKUP(Hoja5!A1483,Agregado!B1512:B2991,Agregado!G1483:G2991)</f>
        <v>#N/A</v>
      </c>
    </row>
    <row r="1484" ht="15.75" customHeight="1">
      <c r="A1484" s="12">
        <v>45240.0</v>
      </c>
      <c r="B1484" s="2">
        <v>440.61</v>
      </c>
      <c r="C1484" s="3">
        <v>45210.0</v>
      </c>
      <c r="D1484" s="4" t="str">
        <f t="array" ref="D1484">XLOOKUP(Hoja5!A1484,Agregado!B1512:B2992,Agregado!G1484:G2992)</f>
        <v>#N/A</v>
      </c>
    </row>
    <row r="1485" ht="15.75" customHeight="1">
      <c r="A1485" s="12">
        <v>45243.0</v>
      </c>
      <c r="B1485" s="2">
        <v>440.19</v>
      </c>
      <c r="C1485" s="3" t="s">
        <v>891</v>
      </c>
      <c r="D1485" s="4" t="str">
        <f t="array" ref="D1485">XLOOKUP(Hoja5!A1485,Agregado!B1512:B2993,Agregado!G1485:G2993)</f>
        <v>#N/A</v>
      </c>
    </row>
    <row r="1486" ht="15.75" customHeight="1">
      <c r="A1486" s="12">
        <v>45244.0</v>
      </c>
      <c r="B1486" s="2">
        <v>448.73</v>
      </c>
      <c r="C1486" s="3" t="s">
        <v>892</v>
      </c>
      <c r="D1486" s="4" t="str">
        <f t="array" ref="D1486">XLOOKUP(Hoja5!A1486,Agregado!B1512:B2994,Agregado!G1486:G2994)</f>
        <v>#N/A</v>
      </c>
    </row>
    <row r="1487" ht="15.75" customHeight="1">
      <c r="A1487" s="12">
        <v>45245.0</v>
      </c>
      <c r="B1487" s="2">
        <v>449.68</v>
      </c>
      <c r="C1487" s="3" t="s">
        <v>893</v>
      </c>
      <c r="D1487" s="4" t="str">
        <f t="array" ref="D1487">XLOOKUP(Hoja5!A1487,Agregado!B1512:B2995,Agregado!G1487:G2995)</f>
        <v>#N/A</v>
      </c>
    </row>
    <row r="1488" ht="15.75" customHeight="1">
      <c r="A1488" s="12">
        <v>45246.0</v>
      </c>
      <c r="B1488" s="2">
        <v>450.23</v>
      </c>
      <c r="C1488" s="3" t="s">
        <v>894</v>
      </c>
      <c r="D1488" s="4" t="str">
        <f t="array" ref="D1488">XLOOKUP(Hoja5!A1488,Agregado!B1512:B2996,Agregado!G1488:G2996)</f>
        <v>#N/A</v>
      </c>
    </row>
    <row r="1489" ht="15.75" customHeight="1">
      <c r="A1489" s="12">
        <v>45247.0</v>
      </c>
      <c r="B1489" s="2">
        <v>450.79</v>
      </c>
      <c r="C1489" s="3" t="s">
        <v>895</v>
      </c>
      <c r="D1489" s="4" t="str">
        <f t="array" ref="D1489">XLOOKUP(Hoja5!A1489,Agregado!B1512:B2997,Agregado!G1489:G2997)</f>
        <v>#N/A</v>
      </c>
    </row>
    <row r="1490" ht="15.75" customHeight="1">
      <c r="A1490" s="12">
        <v>45250.0</v>
      </c>
      <c r="B1490" s="2">
        <v>454.26</v>
      </c>
      <c r="C1490" s="3" t="s">
        <v>896</v>
      </c>
      <c r="D1490" s="4" t="str">
        <f t="array" ref="D1490">XLOOKUP(Hoja5!A1490,Agregado!B1512:B2998,Agregado!G1490:G2998)</f>
        <v>#N/A</v>
      </c>
    </row>
    <row r="1491" ht="15.75" customHeight="1">
      <c r="A1491" s="12">
        <v>45251.0</v>
      </c>
      <c r="B1491" s="2">
        <v>453.27</v>
      </c>
      <c r="C1491" s="3" t="s">
        <v>897</v>
      </c>
      <c r="D1491" s="4" t="str">
        <f t="array" ref="D1491">XLOOKUP(Hoja5!A1491,Agregado!B1512:B2999,Agregado!G1491:G2999)</f>
        <v>#N/A</v>
      </c>
    </row>
    <row r="1492" ht="15.75" customHeight="1">
      <c r="A1492" s="12">
        <v>45252.0</v>
      </c>
      <c r="B1492" s="2">
        <v>455.02</v>
      </c>
      <c r="C1492" s="3" t="s">
        <v>898</v>
      </c>
      <c r="D1492" s="4" t="str">
        <f t="array" ref="D1492">XLOOKUP(Hoja5!A1492,Agregado!B1512:B3000,Agregado!G1492:G3000)</f>
        <v>#N/A</v>
      </c>
    </row>
    <row r="1493" ht="15.75" customHeight="1">
      <c r="A1493" s="12">
        <v>45254.0</v>
      </c>
      <c r="B1493" s="2">
        <v>455.3</v>
      </c>
      <c r="C1493" s="3" t="s">
        <v>899</v>
      </c>
      <c r="D1493" s="4" t="str">
        <f t="array" ref="D1493">XLOOKUP(Hoja5!A1493,Agregado!B1512:B3001,Agregado!G1493:G3001)</f>
        <v>#N/A</v>
      </c>
    </row>
    <row r="1494" ht="15.75" customHeight="1">
      <c r="A1494" s="12">
        <v>45257.0</v>
      </c>
      <c r="B1494" s="2">
        <v>454.48</v>
      </c>
      <c r="C1494" s="3" t="s">
        <v>900</v>
      </c>
      <c r="D1494" s="4" t="str">
        <f t="array" ref="D1494">XLOOKUP(Hoja5!A1494,Agregado!B1512:B3002,Agregado!G1494:G3002)</f>
        <v>#N/A</v>
      </c>
    </row>
    <row r="1495" ht="15.75" customHeight="1">
      <c r="A1495" s="12">
        <v>45258.0</v>
      </c>
      <c r="B1495" s="2">
        <v>454.93</v>
      </c>
      <c r="C1495" s="3" t="s">
        <v>901</v>
      </c>
      <c r="D1495" s="4" t="str">
        <f t="array" ref="D1495">XLOOKUP(Hoja5!A1495,Agregado!B1512:B3003,Agregado!G1495:G3003)</f>
        <v>#N/A</v>
      </c>
    </row>
    <row r="1496" ht="15.75" customHeight="1">
      <c r="A1496" s="12">
        <v>45259.0</v>
      </c>
      <c r="B1496" s="2">
        <v>454.61</v>
      </c>
      <c r="C1496" s="3" t="s">
        <v>902</v>
      </c>
      <c r="D1496" s="4" t="str">
        <f t="array" ref="D1496">XLOOKUP(Hoja5!A1496,Agregado!B1512:B3004,Agregado!G1496:G3004)</f>
        <v>#N/A</v>
      </c>
    </row>
    <row r="1497" ht="15.75" customHeight="1">
      <c r="A1497" s="12">
        <v>45260.0</v>
      </c>
      <c r="B1497" s="2">
        <v>456.4</v>
      </c>
      <c r="C1497" s="3" t="s">
        <v>903</v>
      </c>
      <c r="D1497" s="4" t="str">
        <f t="array" ref="D1497">XLOOKUP(Hoja5!A1497,Agregado!B1512:B3005,Agregado!G1497:G3005)</f>
        <v>#N/A</v>
      </c>
    </row>
    <row r="1498" ht="15.75" customHeight="1">
      <c r="A1498" s="12">
        <v>45261.0</v>
      </c>
      <c r="B1498" s="2">
        <v>459.1</v>
      </c>
      <c r="C1498" s="3">
        <v>44938.0</v>
      </c>
      <c r="D1498" s="4" t="str">
        <f t="array" ref="D1498">XLOOKUP(Hoja5!A1498,Agregado!B1512:B3006,Agregado!G1498:G3006)</f>
        <v>#N/A</v>
      </c>
    </row>
    <row r="1499" ht="15.75" customHeight="1">
      <c r="A1499" s="12">
        <v>45264.0</v>
      </c>
      <c r="B1499" s="2">
        <v>456.69</v>
      </c>
      <c r="C1499" s="3">
        <v>45028.0</v>
      </c>
      <c r="D1499" s="4" t="str">
        <f t="array" ref="D1499">XLOOKUP(Hoja5!A1499,Agregado!B1512:B3007,Agregado!G1499:G3007)</f>
        <v>#N/A</v>
      </c>
    </row>
    <row r="1500" ht="15.75" customHeight="1">
      <c r="A1500" s="12">
        <v>45265.0</v>
      </c>
      <c r="B1500" s="2">
        <v>456.6</v>
      </c>
      <c r="C1500" s="3">
        <v>45058.0</v>
      </c>
      <c r="D1500" s="4" t="str">
        <f t="array" ref="D1500">XLOOKUP(Hoja5!A1500,Agregado!B1512:B3008,Agregado!G1500:G3008)</f>
        <v>#N/A</v>
      </c>
    </row>
    <row r="1501" ht="15.75" customHeight="1">
      <c r="A1501" s="12">
        <v>45266.0</v>
      </c>
      <c r="B1501" s="2">
        <v>454.76</v>
      </c>
      <c r="C1501" s="3">
        <v>45089.0</v>
      </c>
      <c r="D1501" s="4" t="str">
        <f t="array" ref="D1501">XLOOKUP(Hoja5!A1501,Agregado!B1512:B3009,Agregado!G1501:G3009)</f>
        <v>#N/A</v>
      </c>
    </row>
    <row r="1502" ht="15.75" customHeight="1">
      <c r="A1502" s="12">
        <v>45267.0</v>
      </c>
      <c r="B1502" s="2">
        <v>458.23</v>
      </c>
      <c r="C1502" s="3">
        <v>45119.0</v>
      </c>
      <c r="D1502" s="4" t="str">
        <f t="array" ref="D1502">XLOOKUP(Hoja5!A1502,Agregado!B1512:B3010,Agregado!G1502:G3010)</f>
        <v>#N/A</v>
      </c>
    </row>
    <row r="1503" ht="15.75" customHeight="1">
      <c r="A1503" s="12">
        <v>45268.0</v>
      </c>
      <c r="B1503" s="2">
        <v>460.2</v>
      </c>
      <c r="C1503" s="3">
        <v>45150.0</v>
      </c>
      <c r="D1503" s="4" t="str">
        <f t="array" ref="D1503">XLOOKUP(Hoja5!A1503,Agregado!B1512:B3011,Agregado!G1503:G3011)</f>
        <v>#N/A</v>
      </c>
    </row>
    <row r="1504" ht="15.75" customHeight="1">
      <c r="A1504" s="12">
        <v>45271.0</v>
      </c>
      <c r="B1504" s="2">
        <v>461.99</v>
      </c>
      <c r="C1504" s="3">
        <v>45242.0</v>
      </c>
      <c r="D1504" s="4" t="str">
        <f t="array" ref="D1504">XLOOKUP(Hoja5!A1504,Agregado!B1512:B3012,Agregado!G1504:G3012)</f>
        <v>#N/A</v>
      </c>
    </row>
    <row r="1505" ht="15.75" customHeight="1">
      <c r="A1505" s="12">
        <v>45272.0</v>
      </c>
      <c r="B1505" s="2">
        <v>464.1</v>
      </c>
      <c r="C1505" s="3">
        <v>45272.0</v>
      </c>
      <c r="D1505" s="4" t="str">
        <f t="array" ref="D1505">XLOOKUP(Hoja5!A1505,Agregado!B1512:B3013,Agregado!G1505:G3013)</f>
        <v>#N/A</v>
      </c>
    </row>
    <row r="1506" ht="15.75" customHeight="1">
      <c r="A1506" s="12">
        <v>45273.0</v>
      </c>
      <c r="B1506" s="2">
        <v>470.5</v>
      </c>
      <c r="C1506" s="3" t="s">
        <v>904</v>
      </c>
      <c r="D1506" s="4" t="str">
        <f t="array" ref="D1506">XLOOKUP(Hoja5!A1506,Agregado!B1512:B3014,Agregado!G1506:G3014)</f>
        <v>#N/A</v>
      </c>
    </row>
    <row r="1507" ht="15.75" customHeight="1">
      <c r="A1507" s="12">
        <v>45274.0</v>
      </c>
      <c r="B1507" s="2">
        <v>472.01</v>
      </c>
      <c r="C1507" s="3" t="s">
        <v>905</v>
      </c>
      <c r="D1507" s="4" t="str">
        <f t="array" ref="D1507">XLOOKUP(Hoja5!A1507,Agregado!B1512:B3015,Agregado!G1507:G3015)</f>
        <v>#N/A</v>
      </c>
    </row>
    <row r="1508" ht="15.75" customHeight="1">
      <c r="A1508" s="12">
        <v>45275.0</v>
      </c>
      <c r="B1508" s="2">
        <v>469.33</v>
      </c>
      <c r="C1508" s="3" t="s">
        <v>906</v>
      </c>
      <c r="D1508" s="4" t="str">
        <f t="array" ref="D1508">XLOOKUP(Hoja5!A1508,Agregado!B1512:B3016,Agregado!G1508:G3016)</f>
        <v>#N/A</v>
      </c>
    </row>
    <row r="1509" ht="15.75" customHeight="1">
      <c r="A1509" s="12">
        <v>45278.0</v>
      </c>
      <c r="B1509" s="2">
        <v>471.97</v>
      </c>
      <c r="C1509" s="3" t="s">
        <v>907</v>
      </c>
      <c r="D1509" s="4" t="str">
        <f t="array" ref="D1509">XLOOKUP(Hoja5!A1509,Agregado!B1512:B3017,Agregado!G1509:G3017)</f>
        <v>#N/A</v>
      </c>
    </row>
    <row r="1510" ht="15.75" customHeight="1">
      <c r="A1510" s="12">
        <v>45279.0</v>
      </c>
      <c r="B1510" s="2">
        <v>474.84</v>
      </c>
      <c r="C1510" s="3" t="s">
        <v>908</v>
      </c>
      <c r="D1510" s="4" t="str">
        <f t="array" ref="D1510">XLOOKUP(Hoja5!A1510,Agregado!B1512:B3018,Agregado!G1510:G3018)</f>
        <v>#N/A</v>
      </c>
    </row>
    <row r="1511" ht="15.75" customHeight="1">
      <c r="A1511" s="12">
        <v>45280.0</v>
      </c>
      <c r="B1511" s="2">
        <v>468.26</v>
      </c>
      <c r="C1511" s="3" t="s">
        <v>909</v>
      </c>
      <c r="D1511" s="4" t="str">
        <f t="array" ref="D1511">XLOOKUP(Hoja5!A1511,Agregado!B1512:B3019,Agregado!G1511:G3019)</f>
        <v>#N/A</v>
      </c>
    </row>
    <row r="1512" ht="15.75" customHeight="1">
      <c r="A1512" s="12">
        <v>45281.0</v>
      </c>
      <c r="B1512" s="2">
        <v>472.7</v>
      </c>
      <c r="C1512" s="3" t="s">
        <v>910</v>
      </c>
      <c r="D1512" s="4" t="str">
        <f t="array" ref="D1512">XLOOKUP(Hoja5!A1512,Agregado!B1512:B3020,Agregado!G1512:G3020)</f>
        <v>#N/A</v>
      </c>
    </row>
    <row r="1513" ht="15.75" customHeight="1">
      <c r="A1513" s="12">
        <v>45282.0</v>
      </c>
      <c r="B1513" s="2">
        <v>473.65</v>
      </c>
      <c r="C1513" s="3" t="s">
        <v>911</v>
      </c>
      <c r="D1513" s="4" t="str">
        <f t="array" ref="D1513">XLOOKUP(Hoja5!A1513,Agregado!B1513:B3021,Agregado!G1513:G3021)</f>
        <v>#N/A</v>
      </c>
    </row>
    <row r="1514" ht="15.75" customHeight="1">
      <c r="A1514" s="12">
        <v>45286.0</v>
      </c>
      <c r="B1514" s="2">
        <v>475.65</v>
      </c>
      <c r="C1514" s="3" t="s">
        <v>912</v>
      </c>
      <c r="D1514" s="4" t="str">
        <f t="array" ref="D1514">XLOOKUP(Hoja5!A1514,Agregado!B1514:B3022,Agregado!G1514:G3022)</f>
        <v>#N/A</v>
      </c>
    </row>
    <row r="1515" ht="15.75" customHeight="1">
      <c r="A1515" s="12">
        <v>45287.0</v>
      </c>
      <c r="B1515" s="2">
        <v>476.51</v>
      </c>
      <c r="C1515" s="3" t="s">
        <v>913</v>
      </c>
      <c r="D1515" s="4" t="str">
        <f t="array" ref="D1515">XLOOKUP(Hoja5!A1515,Agregado!B1515:B3023,Agregado!G1515:G3023)</f>
        <v>#N/A</v>
      </c>
    </row>
    <row r="1516" ht="15.75" customHeight="1">
      <c r="A1516" s="12">
        <v>45288.0</v>
      </c>
      <c r="B1516" s="2">
        <v>476.69</v>
      </c>
      <c r="C1516" s="3" t="s">
        <v>914</v>
      </c>
      <c r="D1516" s="4" t="str">
        <f t="array" ref="D1516">XLOOKUP(Hoja5!A1516,Agregado!B1516:B3024,Agregado!G1516:G3024)</f>
        <v>#N/A</v>
      </c>
    </row>
    <row r="1517" ht="15.75" customHeight="1">
      <c r="A1517" s="12">
        <v>45289.0</v>
      </c>
      <c r="B1517" s="2">
        <v>475.31</v>
      </c>
      <c r="D1517" s="4" t="str">
        <f t="array" ref="D1517">XLOOKUP(Hoja5!A1517,Agregado!B1517:B3025,Agregado!G1517:G3025)</f>
        <v>#N/A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9" width="10.71"/>
  </cols>
  <sheetData>
    <row r="2">
      <c r="A2" s="3">
        <v>43102.0</v>
      </c>
      <c r="B2" s="17">
        <v>268.77</v>
      </c>
      <c r="C2" s="17"/>
      <c r="D2" s="18">
        <v>-0.020259075095329725</v>
      </c>
    </row>
    <row r="3">
      <c r="A3" s="3">
        <v>43103.0</v>
      </c>
      <c r="B3" s="17">
        <v>270.47</v>
      </c>
      <c r="C3" s="18">
        <f t="shared" ref="C3:C1130" si="1">LN(B3/B2)</f>
        <v>0.006305191128</v>
      </c>
      <c r="D3" s="18">
        <v>-7.665632683729101E-4</v>
      </c>
      <c r="F3" s="2">
        <f>CORREL(C3:C1516,D3:D1516)</f>
        <v>-0.007643256787</v>
      </c>
    </row>
    <row r="4">
      <c r="A4" s="3">
        <v>43104.0</v>
      </c>
      <c r="B4" s="17">
        <v>271.61</v>
      </c>
      <c r="C4" s="18">
        <f t="shared" si="1"/>
        <v>0.004206027452</v>
      </c>
      <c r="D4" s="18">
        <v>-0.003633832697790206</v>
      </c>
    </row>
    <row r="5">
      <c r="A5" s="3">
        <v>43105.0</v>
      </c>
      <c r="B5" s="17">
        <v>273.42</v>
      </c>
      <c r="C5" s="18">
        <f t="shared" si="1"/>
        <v>0.006641860646</v>
      </c>
      <c r="D5" s="18">
        <v>-0.0019347903471135105</v>
      </c>
    </row>
    <row r="6">
      <c r="A6" s="3">
        <v>43108.0</v>
      </c>
      <c r="B6" s="17">
        <v>273.92</v>
      </c>
      <c r="C6" s="18">
        <f t="shared" si="1"/>
        <v>0.00182701845</v>
      </c>
      <c r="D6" s="18">
        <v>-0.004610000416648427</v>
      </c>
    </row>
    <row r="7">
      <c r="A7" s="3">
        <v>43109.0</v>
      </c>
      <c r="B7" s="17">
        <v>274.54</v>
      </c>
      <c r="C7" s="18">
        <f t="shared" si="1"/>
        <v>0.00226087687</v>
      </c>
      <c r="D7" s="18">
        <v>0.008206941625940508</v>
      </c>
    </row>
    <row r="8">
      <c r="A8" s="3">
        <v>43110.0</v>
      </c>
      <c r="B8" s="17">
        <v>274.12</v>
      </c>
      <c r="C8" s="18">
        <f t="shared" si="1"/>
        <v>-0.001531003106</v>
      </c>
      <c r="D8" s="18">
        <v>0.0043354749427437205</v>
      </c>
    </row>
    <row r="9">
      <c r="A9" s="3">
        <v>43111.0</v>
      </c>
      <c r="B9" s="17">
        <v>276.12</v>
      </c>
      <c r="C9" s="18">
        <f t="shared" si="1"/>
        <v>0.007269587118</v>
      </c>
      <c r="D9" s="18">
        <v>0.012727725332662688</v>
      </c>
    </row>
    <row r="10">
      <c r="A10" s="3">
        <v>43112.0</v>
      </c>
      <c r="B10" s="17">
        <v>277.92</v>
      </c>
      <c r="C10" s="18">
        <f t="shared" si="1"/>
        <v>0.006497748658</v>
      </c>
      <c r="D10" s="18">
        <v>0.009605839738174346</v>
      </c>
    </row>
    <row r="11">
      <c r="A11" s="3">
        <v>43116.0</v>
      </c>
      <c r="B11" s="17">
        <v>276.97</v>
      </c>
      <c r="C11" s="18">
        <f t="shared" si="1"/>
        <v>-0.00342410542</v>
      </c>
      <c r="D11" s="18">
        <v>-0.004788300473968479</v>
      </c>
    </row>
    <row r="12">
      <c r="A12" s="3">
        <v>43117.0</v>
      </c>
      <c r="B12" s="17">
        <v>279.61</v>
      </c>
      <c r="C12" s="18">
        <f t="shared" si="1"/>
        <v>0.009486578026</v>
      </c>
      <c r="D12" s="18">
        <v>-6.465259516409857E-4</v>
      </c>
    </row>
    <row r="13">
      <c r="A13" s="3">
        <v>43118.0</v>
      </c>
      <c r="B13" s="17">
        <v>279.14</v>
      </c>
      <c r="C13" s="18">
        <f t="shared" si="1"/>
        <v>-0.001682327019</v>
      </c>
      <c r="D13" s="18">
        <v>0.02143120496615175</v>
      </c>
    </row>
    <row r="14">
      <c r="A14" s="3">
        <v>43119.0</v>
      </c>
      <c r="B14" s="17">
        <v>280.41</v>
      </c>
      <c r="C14" s="18">
        <f t="shared" si="1"/>
        <v>0.004539369782</v>
      </c>
      <c r="D14" s="18">
        <v>-0.003807486922280926</v>
      </c>
    </row>
    <row r="15">
      <c r="A15" s="3">
        <v>43122.0</v>
      </c>
      <c r="B15" s="17">
        <v>282.69</v>
      </c>
      <c r="C15" s="18">
        <f t="shared" si="1"/>
        <v>0.008098073024</v>
      </c>
      <c r="D15" s="18">
        <v>0.011034693032957723</v>
      </c>
    </row>
    <row r="16">
      <c r="A16" s="3">
        <v>43123.0</v>
      </c>
      <c r="B16" s="17">
        <v>283.29</v>
      </c>
      <c r="C16" s="18">
        <f t="shared" si="1"/>
        <v>0.002120217056</v>
      </c>
      <c r="D16" s="18">
        <v>0.008094787611835077</v>
      </c>
    </row>
    <row r="17">
      <c r="A17" s="3">
        <v>43124.0</v>
      </c>
      <c r="B17" s="17">
        <v>283.18</v>
      </c>
      <c r="C17" s="18">
        <f t="shared" si="1"/>
        <v>-0.0003883700863</v>
      </c>
      <c r="D17" s="18">
        <v>0.008090429560960673</v>
      </c>
    </row>
    <row r="18">
      <c r="A18" s="3">
        <v>43125.0</v>
      </c>
      <c r="B18" s="17">
        <v>283.3</v>
      </c>
      <c r="C18" s="18">
        <f t="shared" si="1"/>
        <v>0.0004236689796</v>
      </c>
      <c r="D18" s="18">
        <v>-0.001311302279124752</v>
      </c>
    </row>
    <row r="19">
      <c r="A19" s="3">
        <v>43126.0</v>
      </c>
      <c r="B19" s="17">
        <v>286.58</v>
      </c>
      <c r="C19" s="18">
        <f t="shared" si="1"/>
        <v>0.01151132245</v>
      </c>
      <c r="D19" s="18">
        <v>7.934564749775327E-4</v>
      </c>
    </row>
    <row r="20">
      <c r="A20" s="3">
        <v>43129.0</v>
      </c>
      <c r="B20" s="17">
        <v>284.68</v>
      </c>
      <c r="C20" s="18">
        <f t="shared" si="1"/>
        <v>-0.006651986857</v>
      </c>
      <c r="D20" s="18">
        <v>-0.002636039721748223</v>
      </c>
    </row>
    <row r="21" ht="15.75" customHeight="1">
      <c r="A21" s="3">
        <v>43130.0</v>
      </c>
      <c r="B21" s="17">
        <v>281.76</v>
      </c>
      <c r="C21" s="18">
        <f t="shared" si="1"/>
        <v>-0.01031009768</v>
      </c>
      <c r="D21" s="18">
        <v>0.015531042470768398</v>
      </c>
    </row>
    <row r="22" ht="15.75" customHeight="1">
      <c r="A22" s="3">
        <v>43131.0</v>
      </c>
      <c r="B22" s="17">
        <v>281.9</v>
      </c>
      <c r="C22" s="18">
        <f t="shared" si="1"/>
        <v>0.0004967533722</v>
      </c>
      <c r="D22" s="18">
        <v>0.014400408137125007</v>
      </c>
    </row>
    <row r="23" ht="15.75" customHeight="1">
      <c r="A23" s="3">
        <v>43132.0</v>
      </c>
      <c r="B23" s="17">
        <v>281.58</v>
      </c>
      <c r="C23" s="18">
        <f t="shared" si="1"/>
        <v>-0.001135799086</v>
      </c>
      <c r="D23" s="18">
        <v>0.002229063562085409</v>
      </c>
    </row>
    <row r="24" ht="15.75" customHeight="1">
      <c r="A24" s="3">
        <v>43133.0</v>
      </c>
      <c r="B24" s="17">
        <v>275.45</v>
      </c>
      <c r="C24" s="18">
        <f t="shared" si="1"/>
        <v>-0.02201047512</v>
      </c>
      <c r="D24" s="18">
        <v>-0.004760509138231468</v>
      </c>
    </row>
    <row r="25" ht="15.75" customHeight="1">
      <c r="A25" s="3">
        <v>43136.0</v>
      </c>
      <c r="B25" s="17">
        <v>263.93</v>
      </c>
      <c r="C25" s="18">
        <f t="shared" si="1"/>
        <v>-0.04272220745</v>
      </c>
      <c r="D25" s="18">
        <v>-0.0037813804218651283</v>
      </c>
    </row>
    <row r="26" ht="15.75" customHeight="1">
      <c r="A26" s="3">
        <v>43137.0</v>
      </c>
      <c r="B26" s="17">
        <v>269.13</v>
      </c>
      <c r="C26" s="18">
        <f t="shared" si="1"/>
        <v>0.01951061777</v>
      </c>
      <c r="D26" s="18">
        <v>-0.01614444075722368</v>
      </c>
    </row>
    <row r="27" ht="15.75" customHeight="1">
      <c r="A27" s="3">
        <v>43138.0</v>
      </c>
      <c r="B27" s="17">
        <v>267.67</v>
      </c>
      <c r="C27" s="18">
        <f t="shared" si="1"/>
        <v>-0.005439655738</v>
      </c>
      <c r="D27" s="18">
        <v>-0.023537366835994736</v>
      </c>
    </row>
    <row r="28" ht="15.75" customHeight="1">
      <c r="A28" s="3">
        <v>43139.0</v>
      </c>
      <c r="B28" s="17">
        <v>257.63</v>
      </c>
      <c r="C28" s="18">
        <f t="shared" si="1"/>
        <v>-0.03823043142</v>
      </c>
      <c r="D28" s="18">
        <v>-2.1525393202160564E-4</v>
      </c>
    </row>
    <row r="29" ht="15.75" customHeight="1">
      <c r="A29" s="3">
        <v>43140.0</v>
      </c>
      <c r="B29" s="17">
        <v>261.5</v>
      </c>
      <c r="C29" s="18">
        <f t="shared" si="1"/>
        <v>0.01490983643</v>
      </c>
      <c r="D29" s="18">
        <v>-0.02563040031498162</v>
      </c>
    </row>
    <row r="30" ht="15.75" customHeight="1">
      <c r="A30" s="3">
        <v>43143.0</v>
      </c>
      <c r="B30" s="17">
        <v>265.34</v>
      </c>
      <c r="C30" s="18">
        <f t="shared" si="1"/>
        <v>0.01457773898</v>
      </c>
      <c r="D30" s="18">
        <v>-0.006429926517496205</v>
      </c>
    </row>
    <row r="31" ht="15.75" customHeight="1">
      <c r="A31" s="3">
        <v>43144.0</v>
      </c>
      <c r="B31" s="17">
        <v>266.0</v>
      </c>
      <c r="C31" s="18">
        <f t="shared" si="1"/>
        <v>0.002484286293</v>
      </c>
      <c r="D31" s="18">
        <v>0.02467734378198262</v>
      </c>
    </row>
    <row r="32" ht="15.75" customHeight="1">
      <c r="A32" s="3">
        <v>43145.0</v>
      </c>
      <c r="B32" s="17">
        <v>269.59</v>
      </c>
      <c r="C32" s="18">
        <f t="shared" si="1"/>
        <v>0.01340597758</v>
      </c>
      <c r="D32" s="18">
        <v>-0.0010967685484157136</v>
      </c>
    </row>
    <row r="33" ht="15.75" customHeight="1">
      <c r="A33" s="3">
        <v>43146.0</v>
      </c>
      <c r="B33" s="17">
        <v>273.03</v>
      </c>
      <c r="C33" s="18">
        <f t="shared" si="1"/>
        <v>0.0126793929</v>
      </c>
      <c r="D33" s="18">
        <v>-0.002328897638804481</v>
      </c>
    </row>
    <row r="34" ht="15.75" customHeight="1">
      <c r="A34" s="3">
        <v>43147.0</v>
      </c>
      <c r="B34" s="17">
        <v>273.11</v>
      </c>
      <c r="C34" s="18">
        <f t="shared" si="1"/>
        <v>0.0002929651759</v>
      </c>
      <c r="D34" s="18">
        <v>0.002057335489217579</v>
      </c>
    </row>
    <row r="35" ht="15.75" customHeight="1">
      <c r="A35" s="3">
        <v>43151.0</v>
      </c>
      <c r="B35" s="17">
        <v>271.4</v>
      </c>
      <c r="C35" s="18">
        <f t="shared" si="1"/>
        <v>-0.006280897032</v>
      </c>
      <c r="D35" s="18">
        <v>-0.011003969700502868</v>
      </c>
    </row>
    <row r="36" ht="15.75" customHeight="1">
      <c r="A36" s="3">
        <v>43152.0</v>
      </c>
      <c r="B36" s="17">
        <v>270.05</v>
      </c>
      <c r="C36" s="18">
        <f t="shared" si="1"/>
        <v>-0.004986620362</v>
      </c>
      <c r="D36" s="18">
        <v>-8.408904623624962E-4</v>
      </c>
    </row>
    <row r="37" ht="15.75" customHeight="1">
      <c r="A37" s="3">
        <v>43153.0</v>
      </c>
      <c r="B37" s="17">
        <v>270.4</v>
      </c>
      <c r="C37" s="18">
        <f t="shared" si="1"/>
        <v>0.00129521713</v>
      </c>
      <c r="D37" s="18">
        <v>0.0074484979146056274</v>
      </c>
    </row>
    <row r="38" ht="15.75" customHeight="1">
      <c r="A38" s="3">
        <v>43154.0</v>
      </c>
      <c r="B38" s="17">
        <v>274.71</v>
      </c>
      <c r="C38" s="18">
        <f t="shared" si="1"/>
        <v>0.01581365162</v>
      </c>
      <c r="D38" s="18">
        <v>0.0011640697665640726</v>
      </c>
    </row>
    <row r="39" ht="15.75" customHeight="1">
      <c r="A39" s="3">
        <v>43157.0</v>
      </c>
      <c r="B39" s="17">
        <v>277.9</v>
      </c>
      <c r="C39" s="18">
        <f t="shared" si="1"/>
        <v>0.01154534096</v>
      </c>
      <c r="D39" s="18">
        <v>-0.008384027275055</v>
      </c>
    </row>
    <row r="40" ht="15.75" customHeight="1">
      <c r="A40" s="3">
        <v>43158.0</v>
      </c>
      <c r="B40" s="17">
        <v>274.43</v>
      </c>
      <c r="C40" s="18">
        <f t="shared" si="1"/>
        <v>-0.01256511743</v>
      </c>
      <c r="D40" s="18">
        <v>0.016526153318885118</v>
      </c>
    </row>
    <row r="41" ht="15.75" customHeight="1">
      <c r="A41" s="3">
        <v>43159.0</v>
      </c>
      <c r="B41" s="17">
        <v>271.65</v>
      </c>
      <c r="C41" s="18">
        <f t="shared" si="1"/>
        <v>-0.01018174632</v>
      </c>
      <c r="D41" s="18">
        <v>0.008646347902377624</v>
      </c>
    </row>
    <row r="42" ht="15.75" customHeight="1">
      <c r="A42" s="3">
        <v>43160.0</v>
      </c>
      <c r="B42" s="17">
        <v>267.7</v>
      </c>
      <c r="C42" s="18">
        <f t="shared" si="1"/>
        <v>-0.01464752247</v>
      </c>
      <c r="D42" s="18">
        <v>0.0012973164203776977</v>
      </c>
    </row>
    <row r="43" ht="15.75" customHeight="1">
      <c r="A43" s="3">
        <v>43161.0</v>
      </c>
      <c r="B43" s="17">
        <v>269.08</v>
      </c>
      <c r="C43" s="18">
        <f t="shared" si="1"/>
        <v>0.005141782631</v>
      </c>
      <c r="D43" s="18">
        <v>-0.009546845044414375</v>
      </c>
    </row>
    <row r="44" ht="15.75" customHeight="1">
      <c r="A44" s="3">
        <v>43164.0</v>
      </c>
      <c r="B44" s="17">
        <v>272.19</v>
      </c>
      <c r="C44" s="18">
        <f t="shared" si="1"/>
        <v>0.01149161869</v>
      </c>
      <c r="D44" s="18">
        <v>-0.008080611758213157</v>
      </c>
    </row>
    <row r="45" ht="15.75" customHeight="1">
      <c r="A45" s="3">
        <v>43165.0</v>
      </c>
      <c r="B45" s="17">
        <v>272.88</v>
      </c>
      <c r="C45" s="18">
        <f t="shared" si="1"/>
        <v>0.002531786261</v>
      </c>
      <c r="D45" s="18">
        <v>-0.00664840879592705</v>
      </c>
    </row>
    <row r="46" ht="15.75" customHeight="1">
      <c r="A46" s="3">
        <v>43166.0</v>
      </c>
      <c r="B46" s="17">
        <v>272.78</v>
      </c>
      <c r="C46" s="18">
        <f t="shared" si="1"/>
        <v>-0.0003665286117</v>
      </c>
      <c r="D46" s="18">
        <v>-0.0071095340793417</v>
      </c>
    </row>
    <row r="47" ht="15.75" customHeight="1">
      <c r="A47" s="3">
        <v>43167.0</v>
      </c>
      <c r="B47" s="17">
        <v>274.1</v>
      </c>
      <c r="C47" s="18">
        <f t="shared" si="1"/>
        <v>0.00482739381</v>
      </c>
      <c r="D47" s="18">
        <v>-0.004173370359711544</v>
      </c>
    </row>
    <row r="48" ht="15.75" customHeight="1">
      <c r="A48" s="3">
        <v>43168.0</v>
      </c>
      <c r="B48" s="17">
        <v>278.87</v>
      </c>
      <c r="C48" s="18">
        <f t="shared" si="1"/>
        <v>0.0172527201</v>
      </c>
      <c r="D48" s="18">
        <v>0.008906229663961051</v>
      </c>
    </row>
    <row r="49" ht="15.75" customHeight="1">
      <c r="A49" s="3">
        <v>43171.0</v>
      </c>
      <c r="B49" s="17">
        <v>278.52</v>
      </c>
      <c r="C49" s="18">
        <f t="shared" si="1"/>
        <v>-0.001255853338</v>
      </c>
      <c r="D49" s="18">
        <v>0.011045712457261736</v>
      </c>
    </row>
    <row r="50" ht="15.75" customHeight="1">
      <c r="A50" s="3">
        <v>43172.0</v>
      </c>
      <c r="B50" s="17">
        <v>276.72</v>
      </c>
      <c r="C50" s="18">
        <f t="shared" si="1"/>
        <v>-0.006483705445</v>
      </c>
      <c r="D50" s="18">
        <v>0.00975815533099437</v>
      </c>
    </row>
    <row r="51" ht="15.75" customHeight="1">
      <c r="A51" s="3">
        <v>43173.0</v>
      </c>
      <c r="B51" s="17">
        <v>275.3</v>
      </c>
      <c r="C51" s="18">
        <f t="shared" si="1"/>
        <v>-0.00514475248</v>
      </c>
      <c r="D51" s="18">
        <v>0.006148814077978914</v>
      </c>
    </row>
    <row r="52" ht="15.75" customHeight="1">
      <c r="A52" s="3">
        <v>43174.0</v>
      </c>
      <c r="B52" s="17">
        <v>275.0</v>
      </c>
      <c r="C52" s="18">
        <f t="shared" si="1"/>
        <v>-0.001090314482</v>
      </c>
      <c r="D52" s="18">
        <v>0.00123823253104155</v>
      </c>
    </row>
    <row r="53" ht="15.75" customHeight="1">
      <c r="A53" s="3">
        <v>43175.0</v>
      </c>
      <c r="B53" s="17">
        <v>274.2</v>
      </c>
      <c r="C53" s="18">
        <f t="shared" si="1"/>
        <v>-0.002913330538</v>
      </c>
      <c r="D53" s="18">
        <v>-0.01762726812032584</v>
      </c>
    </row>
    <row r="54" ht="15.75" customHeight="1">
      <c r="A54" s="3">
        <v>43178.0</v>
      </c>
      <c r="B54" s="17">
        <v>270.49</v>
      </c>
      <c r="C54" s="18">
        <f t="shared" si="1"/>
        <v>-0.0136226381</v>
      </c>
      <c r="D54" s="18">
        <v>0.003065489441660078</v>
      </c>
    </row>
    <row r="55" ht="15.75" customHeight="1">
      <c r="A55" s="3">
        <v>43179.0</v>
      </c>
      <c r="B55" s="17">
        <v>270.95</v>
      </c>
      <c r="C55" s="18">
        <f t="shared" si="1"/>
        <v>0.001699172986</v>
      </c>
      <c r="D55" s="18">
        <v>-0.010200630532430624</v>
      </c>
    </row>
    <row r="56" ht="15.75" customHeight="1">
      <c r="A56" s="3">
        <v>43180.0</v>
      </c>
      <c r="B56" s="17">
        <v>270.43</v>
      </c>
      <c r="C56" s="18">
        <f t="shared" si="1"/>
        <v>-0.001921017252</v>
      </c>
      <c r="D56" s="18">
        <v>-0.00815398603497145</v>
      </c>
    </row>
    <row r="57" ht="15.75" customHeight="1">
      <c r="A57" s="3">
        <v>43181.0</v>
      </c>
      <c r="B57" s="17">
        <v>263.67</v>
      </c>
      <c r="C57" s="18">
        <f t="shared" si="1"/>
        <v>-0.02531496352</v>
      </c>
      <c r="D57" s="18">
        <v>0.003950865173855914</v>
      </c>
    </row>
    <row r="58" ht="15.75" customHeight="1">
      <c r="A58" s="3">
        <v>43182.0</v>
      </c>
      <c r="B58" s="17">
        <v>258.05</v>
      </c>
      <c r="C58" s="18">
        <f t="shared" si="1"/>
        <v>-0.02154495665</v>
      </c>
      <c r="D58" s="18">
        <v>-0.02626681242703576</v>
      </c>
    </row>
    <row r="59" ht="15.75" customHeight="1">
      <c r="A59" s="3">
        <v>43185.0</v>
      </c>
      <c r="B59" s="17">
        <v>265.11</v>
      </c>
      <c r="C59" s="18">
        <f t="shared" si="1"/>
        <v>0.0269914696</v>
      </c>
      <c r="D59" s="18">
        <v>-0.0255173172074546</v>
      </c>
    </row>
    <row r="60" ht="15.75" customHeight="1">
      <c r="A60" s="3">
        <v>43186.0</v>
      </c>
      <c r="B60" s="17">
        <v>260.6</v>
      </c>
      <c r="C60" s="18">
        <f t="shared" si="1"/>
        <v>-0.01715816951</v>
      </c>
      <c r="D60" s="18">
        <v>0.0012834708081656645</v>
      </c>
    </row>
    <row r="61" ht="15.75" customHeight="1">
      <c r="A61" s="3">
        <v>43187.0</v>
      </c>
      <c r="B61" s="17">
        <v>259.83</v>
      </c>
      <c r="C61" s="18">
        <f t="shared" si="1"/>
        <v>-0.00295909368</v>
      </c>
      <c r="D61" s="18">
        <v>0.009313275325032164</v>
      </c>
    </row>
    <row r="62" ht="15.75" customHeight="1">
      <c r="A62" s="3">
        <v>43188.0</v>
      </c>
      <c r="B62" s="17">
        <v>263.15</v>
      </c>
      <c r="C62" s="18">
        <f t="shared" si="1"/>
        <v>0.01269664079</v>
      </c>
      <c r="D62" s="18">
        <v>-0.004361911500835724</v>
      </c>
    </row>
    <row r="63" ht="15.75" customHeight="1">
      <c r="A63" s="3">
        <v>43192.0</v>
      </c>
      <c r="B63" s="17">
        <v>257.47</v>
      </c>
      <c r="C63" s="18">
        <f t="shared" si="1"/>
        <v>-0.02182100334</v>
      </c>
      <c r="D63" s="18">
        <v>-0.008578366677803047</v>
      </c>
    </row>
    <row r="64" ht="15.75" customHeight="1">
      <c r="A64" s="3">
        <v>43193.0</v>
      </c>
      <c r="B64" s="17">
        <v>260.77</v>
      </c>
      <c r="C64" s="18">
        <f t="shared" si="1"/>
        <v>0.0127355843</v>
      </c>
      <c r="D64" s="18">
        <v>-0.006366860451272171</v>
      </c>
    </row>
    <row r="65" ht="15.75" customHeight="1">
      <c r="A65" s="3">
        <v>43194.0</v>
      </c>
      <c r="B65" s="17">
        <v>263.56</v>
      </c>
      <c r="C65" s="18">
        <f t="shared" si="1"/>
        <v>0.01064225328</v>
      </c>
      <c r="D65" s="18">
        <v>-0.005018678485426231</v>
      </c>
    </row>
    <row r="66" ht="15.75" customHeight="1">
      <c r="A66" s="3">
        <v>43195.0</v>
      </c>
      <c r="B66" s="17">
        <v>265.64</v>
      </c>
      <c r="C66" s="18">
        <f t="shared" si="1"/>
        <v>0.007860962627</v>
      </c>
      <c r="D66" s="18">
        <v>-9.15337041717533E-4</v>
      </c>
    </row>
    <row r="67" ht="15.75" customHeight="1">
      <c r="A67" s="3">
        <v>43196.0</v>
      </c>
      <c r="B67" s="17">
        <v>259.72</v>
      </c>
      <c r="C67" s="18">
        <f t="shared" si="1"/>
        <v>-0.02253788103</v>
      </c>
      <c r="D67" s="18">
        <v>0.004094314159296685</v>
      </c>
    </row>
    <row r="68" ht="15.75" customHeight="1">
      <c r="A68" s="3">
        <v>43199.0</v>
      </c>
      <c r="B68" s="17">
        <v>261.0</v>
      </c>
      <c r="C68" s="18">
        <f t="shared" si="1"/>
        <v>0.004916279682</v>
      </c>
      <c r="D68" s="18">
        <v>-0.006446284877887884</v>
      </c>
    </row>
    <row r="69" ht="15.75" customHeight="1">
      <c r="A69" s="3">
        <v>43200.0</v>
      </c>
      <c r="B69" s="17">
        <v>265.15</v>
      </c>
      <c r="C69" s="18">
        <f t="shared" si="1"/>
        <v>0.01577529626</v>
      </c>
      <c r="D69" s="18">
        <v>0.014989651080299055</v>
      </c>
    </row>
    <row r="70" ht="15.75" customHeight="1">
      <c r="A70" s="3">
        <v>43201.0</v>
      </c>
      <c r="B70" s="17">
        <v>263.76</v>
      </c>
      <c r="C70" s="18">
        <f t="shared" si="1"/>
        <v>-0.00525610482</v>
      </c>
      <c r="D70" s="18">
        <v>-7.607988678979307E-4</v>
      </c>
    </row>
    <row r="71" ht="15.75" customHeight="1">
      <c r="A71" s="3">
        <v>43202.0</v>
      </c>
      <c r="B71" s="17">
        <v>265.93</v>
      </c>
      <c r="C71" s="18">
        <f t="shared" si="1"/>
        <v>0.008193517491</v>
      </c>
      <c r="D71" s="18">
        <v>3.4353448998278204E-4</v>
      </c>
    </row>
    <row r="72" ht="15.75" customHeight="1">
      <c r="A72" s="3">
        <v>43203.0</v>
      </c>
      <c r="B72" s="17">
        <v>265.15</v>
      </c>
      <c r="C72" s="18">
        <f t="shared" si="1"/>
        <v>-0.002937412672</v>
      </c>
      <c r="D72" s="18">
        <v>-1.346135849503786E-4</v>
      </c>
    </row>
    <row r="73" ht="15.75" customHeight="1">
      <c r="A73" s="3">
        <v>43206.0</v>
      </c>
      <c r="B73" s="17">
        <v>267.33</v>
      </c>
      <c r="C73" s="18">
        <f t="shared" si="1"/>
        <v>0.00818814671</v>
      </c>
      <c r="D73" s="18">
        <v>0.00151931163396936</v>
      </c>
    </row>
    <row r="74" ht="15.75" customHeight="1">
      <c r="A74" s="3">
        <v>43207.0</v>
      </c>
      <c r="B74" s="17">
        <v>270.19</v>
      </c>
      <c r="C74" s="18">
        <f t="shared" si="1"/>
        <v>0.01064156493</v>
      </c>
      <c r="D74" s="18">
        <v>-5.149617901853319E-4</v>
      </c>
    </row>
    <row r="75" ht="15.75" customHeight="1">
      <c r="A75" s="3">
        <v>43208.0</v>
      </c>
      <c r="B75" s="17">
        <v>270.39</v>
      </c>
      <c r="C75" s="18">
        <f t="shared" si="1"/>
        <v>0.0007399460177</v>
      </c>
      <c r="D75" s="18">
        <v>5.782096700593681E-5</v>
      </c>
    </row>
    <row r="76" ht="15.75" customHeight="1">
      <c r="A76" s="3">
        <v>43209.0</v>
      </c>
      <c r="B76" s="17">
        <v>268.89</v>
      </c>
      <c r="C76" s="18">
        <f t="shared" si="1"/>
        <v>-0.005562987199</v>
      </c>
      <c r="D76" s="18">
        <v>0.0029517779049095254</v>
      </c>
    </row>
    <row r="77" ht="15.75" customHeight="1">
      <c r="A77" s="3">
        <v>43210.0</v>
      </c>
      <c r="B77" s="17">
        <v>266.61</v>
      </c>
      <c r="C77" s="18">
        <f t="shared" si="1"/>
        <v>-0.008515457619</v>
      </c>
      <c r="D77" s="18">
        <v>-0.001646238047528239</v>
      </c>
    </row>
    <row r="78" ht="15.75" customHeight="1">
      <c r="A78" s="3">
        <v>43213.0</v>
      </c>
      <c r="B78" s="17">
        <v>266.57</v>
      </c>
      <c r="C78" s="18">
        <f t="shared" si="1"/>
        <v>-0.0001500431377</v>
      </c>
      <c r="D78" s="18">
        <v>0.004278279380608316</v>
      </c>
    </row>
    <row r="79" ht="15.75" customHeight="1">
      <c r="A79" s="3">
        <v>43214.0</v>
      </c>
      <c r="B79" s="17">
        <v>262.98</v>
      </c>
      <c r="C79" s="18">
        <f t="shared" si="1"/>
        <v>-0.01355888962</v>
      </c>
      <c r="D79" s="18">
        <v>0.010062374025707893</v>
      </c>
    </row>
    <row r="80" ht="15.75" customHeight="1">
      <c r="A80" s="3">
        <v>43215.0</v>
      </c>
      <c r="B80" s="17">
        <v>263.63</v>
      </c>
      <c r="C80" s="18">
        <f t="shared" si="1"/>
        <v>0.002468621295</v>
      </c>
      <c r="D80" s="18">
        <v>-0.00854532762462127</v>
      </c>
    </row>
    <row r="81" ht="15.75" customHeight="1">
      <c r="A81" s="3">
        <v>43216.0</v>
      </c>
      <c r="B81" s="17">
        <v>266.31</v>
      </c>
      <c r="C81" s="18">
        <f t="shared" si="1"/>
        <v>0.01011443879</v>
      </c>
      <c r="D81" s="18">
        <v>-0.0036677455015560645</v>
      </c>
    </row>
    <row r="82" ht="15.75" customHeight="1">
      <c r="A82" s="3">
        <v>43217.0</v>
      </c>
      <c r="B82" s="17">
        <v>266.56</v>
      </c>
      <c r="C82" s="18">
        <f t="shared" si="1"/>
        <v>0.0009383152301</v>
      </c>
      <c r="D82" s="18">
        <v>0.0053392563523195</v>
      </c>
    </row>
    <row r="83" ht="15.75" customHeight="1">
      <c r="A83" s="3">
        <v>43220.0</v>
      </c>
      <c r="B83" s="17">
        <v>264.51</v>
      </c>
      <c r="C83" s="18">
        <f t="shared" si="1"/>
        <v>-0.007720301211</v>
      </c>
      <c r="D83" s="18">
        <v>0.0033181868721205016</v>
      </c>
    </row>
    <row r="84" ht="15.75" customHeight="1">
      <c r="A84" s="3">
        <v>43221.0</v>
      </c>
      <c r="B84" s="17">
        <v>264.98</v>
      </c>
      <c r="C84" s="18">
        <f t="shared" si="1"/>
        <v>0.001775293673</v>
      </c>
      <c r="D84" s="18">
        <v>-0.001016167424591469</v>
      </c>
    </row>
    <row r="85" ht="15.75" customHeight="1">
      <c r="A85" s="3">
        <v>43222.0</v>
      </c>
      <c r="B85" s="17">
        <v>263.2</v>
      </c>
      <c r="C85" s="18">
        <f t="shared" si="1"/>
        <v>-0.006740151989</v>
      </c>
      <c r="D85" s="18">
        <v>0.002410865293384563</v>
      </c>
    </row>
    <row r="86" ht="15.75" customHeight="1">
      <c r="A86" s="3">
        <v>43223.0</v>
      </c>
      <c r="B86" s="17">
        <v>262.62</v>
      </c>
      <c r="C86" s="18">
        <f t="shared" si="1"/>
        <v>-0.00220607902</v>
      </c>
      <c r="D86" s="18">
        <v>-0.004859278279064173</v>
      </c>
    </row>
    <row r="87" ht="15.75" customHeight="1">
      <c r="A87" s="3">
        <v>43224.0</v>
      </c>
      <c r="B87" s="17">
        <v>266.02</v>
      </c>
      <c r="C87" s="18">
        <f t="shared" si="1"/>
        <v>0.01286337349</v>
      </c>
      <c r="D87" s="18">
        <v>-0.004827074055026215</v>
      </c>
    </row>
    <row r="88" ht="15.75" customHeight="1">
      <c r="A88" s="3">
        <v>43227.0</v>
      </c>
      <c r="B88" s="17">
        <v>266.92</v>
      </c>
      <c r="C88" s="18">
        <f t="shared" si="1"/>
        <v>0.00337749411</v>
      </c>
      <c r="D88" s="18">
        <v>0.007478443567829512</v>
      </c>
    </row>
    <row r="89" ht="15.75" customHeight="1">
      <c r="A89" s="3">
        <v>43228.0</v>
      </c>
      <c r="B89" s="17">
        <v>266.92</v>
      </c>
      <c r="C89" s="18">
        <f t="shared" si="1"/>
        <v>0</v>
      </c>
      <c r="D89" s="18">
        <v>7.39332503643504E-4</v>
      </c>
    </row>
    <row r="90" ht="15.75" customHeight="1">
      <c r="A90" s="3">
        <v>43229.0</v>
      </c>
      <c r="B90" s="17">
        <v>269.5</v>
      </c>
      <c r="C90" s="18">
        <f t="shared" si="1"/>
        <v>0.009619402314</v>
      </c>
      <c r="D90" s="18">
        <v>0.006903029176112951</v>
      </c>
    </row>
    <row r="91" ht="15.75" customHeight="1">
      <c r="A91" s="3">
        <v>43230.0</v>
      </c>
      <c r="B91" s="17">
        <v>272.02</v>
      </c>
      <c r="C91" s="18">
        <f t="shared" si="1"/>
        <v>0.009307202656</v>
      </c>
      <c r="D91" s="18">
        <v>8.534367460995444E-4</v>
      </c>
    </row>
    <row r="92" ht="15.75" customHeight="1">
      <c r="A92" s="3">
        <v>43231.0</v>
      </c>
      <c r="B92" s="17">
        <v>272.85</v>
      </c>
      <c r="C92" s="18">
        <f t="shared" si="1"/>
        <v>0.003046600628</v>
      </c>
      <c r="D92" s="18">
        <v>0.008064363553053492</v>
      </c>
    </row>
    <row r="93" ht="15.75" customHeight="1">
      <c r="A93" s="3">
        <v>43234.0</v>
      </c>
      <c r="B93" s="17">
        <v>272.98</v>
      </c>
      <c r="C93" s="18">
        <f t="shared" si="1"/>
        <v>0.0004763387958</v>
      </c>
      <c r="D93" s="18">
        <v>0.0017175674648648484</v>
      </c>
    </row>
    <row r="94" ht="15.75" customHeight="1">
      <c r="A94" s="3">
        <v>43235.0</v>
      </c>
      <c r="B94" s="17">
        <v>271.1</v>
      </c>
      <c r="C94" s="18">
        <f t="shared" si="1"/>
        <v>-0.006910775923</v>
      </c>
      <c r="D94" s="18">
        <v>0.001191265976125159</v>
      </c>
    </row>
    <row r="95" ht="15.75" customHeight="1">
      <c r="A95" s="3">
        <v>43236.0</v>
      </c>
      <c r="B95" s="17">
        <v>272.24</v>
      </c>
      <c r="C95" s="18">
        <f t="shared" si="1"/>
        <v>0.004196273688</v>
      </c>
      <c r="D95" s="18">
        <v>0.005995308327337121</v>
      </c>
    </row>
    <row r="96" ht="15.75" customHeight="1">
      <c r="A96" s="3">
        <v>43237.0</v>
      </c>
      <c r="B96" s="17">
        <v>272.01</v>
      </c>
      <c r="C96" s="18">
        <f t="shared" si="1"/>
        <v>-0.0008451998666</v>
      </c>
      <c r="D96" s="18">
        <v>0.0033093776983924785</v>
      </c>
    </row>
    <row r="97" ht="15.75" customHeight="1">
      <c r="A97" s="3">
        <v>43238.0</v>
      </c>
      <c r="B97" s="17">
        <v>271.33</v>
      </c>
      <c r="C97" s="18">
        <f t="shared" si="1"/>
        <v>-0.002503038079</v>
      </c>
      <c r="D97" s="18">
        <v>-0.0031059045213126138</v>
      </c>
    </row>
    <row r="98" ht="15.75" customHeight="1">
      <c r="A98" s="3">
        <v>43241.0</v>
      </c>
      <c r="B98" s="17">
        <v>273.37</v>
      </c>
      <c r="C98" s="18">
        <f t="shared" si="1"/>
        <v>0.007490396688</v>
      </c>
      <c r="D98" s="18">
        <v>-0.002776301077179294</v>
      </c>
    </row>
    <row r="99" ht="15.75" customHeight="1">
      <c r="A99" s="3">
        <v>43242.0</v>
      </c>
      <c r="B99" s="17">
        <v>272.61</v>
      </c>
      <c r="C99" s="18">
        <f t="shared" si="1"/>
        <v>-0.002783986559</v>
      </c>
      <c r="D99" s="18">
        <v>0.0028394752427485692</v>
      </c>
    </row>
    <row r="100" ht="15.75" customHeight="1">
      <c r="A100" s="3">
        <v>43243.0</v>
      </c>
      <c r="B100" s="17">
        <v>273.36</v>
      </c>
      <c r="C100" s="18">
        <f t="shared" si="1"/>
        <v>0.002747405432</v>
      </c>
      <c r="D100" s="18">
        <v>0.0013284820660560566</v>
      </c>
    </row>
    <row r="101" ht="15.75" customHeight="1">
      <c r="A101" s="3">
        <v>43244.0</v>
      </c>
      <c r="B101" s="17">
        <v>272.8</v>
      </c>
      <c r="C101" s="18">
        <f t="shared" si="1"/>
        <v>-0.002050681838</v>
      </c>
      <c r="D101" s="18">
        <v>0.005017102003086581</v>
      </c>
    </row>
    <row r="102" ht="15.75" customHeight="1">
      <c r="A102" s="3">
        <v>43245.0</v>
      </c>
      <c r="B102" s="17">
        <v>272.15</v>
      </c>
      <c r="C102" s="18">
        <f t="shared" si="1"/>
        <v>-0.002385541089</v>
      </c>
      <c r="D102" s="18">
        <v>0.004415922873752771</v>
      </c>
    </row>
    <row r="103" ht="15.75" customHeight="1">
      <c r="A103" s="3">
        <v>43249.0</v>
      </c>
      <c r="B103" s="17">
        <v>269.02</v>
      </c>
      <c r="C103" s="18">
        <f t="shared" si="1"/>
        <v>-0.0115676586</v>
      </c>
      <c r="D103" s="18">
        <v>-0.004694647388637462</v>
      </c>
    </row>
    <row r="104" ht="15.75" customHeight="1">
      <c r="A104" s="3">
        <v>43250.0</v>
      </c>
      <c r="B104" s="17">
        <v>272.61</v>
      </c>
      <c r="C104" s="18">
        <f t="shared" si="1"/>
        <v>0.01325647609</v>
      </c>
      <c r="D104" s="18">
        <v>-0.003437461365861286</v>
      </c>
    </row>
    <row r="105" ht="15.75" customHeight="1">
      <c r="A105" s="3">
        <v>43251.0</v>
      </c>
      <c r="B105" s="17">
        <v>270.94</v>
      </c>
      <c r="C105" s="18">
        <f t="shared" si="1"/>
        <v>-0.006144808223</v>
      </c>
      <c r="D105" s="18">
        <v>-3.7031035483296336E-4</v>
      </c>
    </row>
    <row r="106" ht="15.75" customHeight="1">
      <c r="A106" s="3">
        <v>43252.0</v>
      </c>
      <c r="B106" s="17">
        <v>273.6</v>
      </c>
      <c r="C106" s="18">
        <f t="shared" si="1"/>
        <v>0.009769791596</v>
      </c>
      <c r="D106" s="18">
        <v>-0.002153736692094146</v>
      </c>
    </row>
    <row r="107" ht="15.75" customHeight="1">
      <c r="A107" s="3">
        <v>43255.0</v>
      </c>
      <c r="B107" s="17">
        <v>274.9</v>
      </c>
      <c r="C107" s="18">
        <f t="shared" si="1"/>
        <v>0.004740209423</v>
      </c>
      <c r="D107" s="18">
        <v>-0.004584928012356276</v>
      </c>
    </row>
    <row r="108" ht="15.75" customHeight="1">
      <c r="A108" s="3">
        <v>43256.0</v>
      </c>
      <c r="B108" s="17">
        <v>275.1</v>
      </c>
      <c r="C108" s="18">
        <f t="shared" si="1"/>
        <v>0.0007272727593</v>
      </c>
      <c r="D108" s="18">
        <v>0.01071432826443992</v>
      </c>
    </row>
    <row r="109" ht="15.75" customHeight="1">
      <c r="A109" s="3">
        <v>43257.0</v>
      </c>
      <c r="B109" s="17">
        <v>277.4</v>
      </c>
      <c r="C109" s="18">
        <f t="shared" si="1"/>
        <v>0.00832583995</v>
      </c>
      <c r="D109" s="18">
        <v>-0.005892652391053668</v>
      </c>
    </row>
    <row r="110" ht="15.75" customHeight="1">
      <c r="A110" s="3">
        <v>43258.0</v>
      </c>
      <c r="B110" s="17">
        <v>277.37</v>
      </c>
      <c r="C110" s="18">
        <f t="shared" si="1"/>
        <v>-0.0001081529283</v>
      </c>
      <c r="D110" s="18">
        <v>-0.005668773982110779</v>
      </c>
    </row>
    <row r="111" ht="15.75" customHeight="1">
      <c r="A111" s="3">
        <v>43259.0</v>
      </c>
      <c r="B111" s="17">
        <v>278.19</v>
      </c>
      <c r="C111" s="18">
        <f t="shared" si="1"/>
        <v>0.002951978528</v>
      </c>
      <c r="D111" s="18">
        <v>0.0015000683795464904</v>
      </c>
    </row>
    <row r="112" ht="15.75" customHeight="1">
      <c r="A112" s="3">
        <v>43262.0</v>
      </c>
      <c r="B112" s="17">
        <v>278.56</v>
      </c>
      <c r="C112" s="18">
        <f t="shared" si="1"/>
        <v>0.00132914254</v>
      </c>
      <c r="D112" s="18">
        <v>-0.0029835598204760007</v>
      </c>
    </row>
    <row r="113" ht="15.75" customHeight="1">
      <c r="A113" s="3">
        <v>43263.0</v>
      </c>
      <c r="B113" s="17">
        <v>278.92</v>
      </c>
      <c r="C113" s="18">
        <f t="shared" si="1"/>
        <v>0.001291526333</v>
      </c>
      <c r="D113" s="18">
        <v>-0.0075619222856079344</v>
      </c>
    </row>
    <row r="114" ht="15.75" customHeight="1">
      <c r="A114" s="3">
        <v>43264.0</v>
      </c>
      <c r="B114" s="17">
        <v>278.03</v>
      </c>
      <c r="C114" s="18">
        <f t="shared" si="1"/>
        <v>-0.003195980815</v>
      </c>
      <c r="D114" s="18">
        <v>0.0012690047534877015</v>
      </c>
    </row>
    <row r="115" ht="15.75" customHeight="1">
      <c r="A115" s="3">
        <v>43265.0</v>
      </c>
      <c r="B115" s="17">
        <v>278.73</v>
      </c>
      <c r="C115" s="18">
        <f t="shared" si="1"/>
        <v>0.002514549784</v>
      </c>
      <c r="D115" s="18">
        <v>0.0024105755039826623</v>
      </c>
    </row>
    <row r="116" ht="15.75" customHeight="1">
      <c r="A116" s="3">
        <v>43266.0</v>
      </c>
      <c r="B116" s="17">
        <v>277.13</v>
      </c>
      <c r="C116" s="18">
        <f t="shared" si="1"/>
        <v>-0.005756861148</v>
      </c>
      <c r="D116" s="18">
        <v>-0.007151499115106367</v>
      </c>
    </row>
    <row r="117" ht="15.75" customHeight="1">
      <c r="A117" s="3">
        <v>43269.0</v>
      </c>
      <c r="B117" s="17">
        <v>276.56</v>
      </c>
      <c r="C117" s="18">
        <f t="shared" si="1"/>
        <v>-0.00205891456</v>
      </c>
      <c r="D117" s="18">
        <v>0.004886339432434363</v>
      </c>
    </row>
    <row r="118" ht="15.75" customHeight="1">
      <c r="A118" s="3">
        <v>43270.0</v>
      </c>
      <c r="B118" s="17">
        <v>275.5</v>
      </c>
      <c r="C118" s="18">
        <f t="shared" si="1"/>
        <v>-0.00384016702</v>
      </c>
      <c r="D118" s="18">
        <v>0.006946565347274183</v>
      </c>
    </row>
    <row r="119" ht="15.75" customHeight="1">
      <c r="A119" s="3">
        <v>43271.0</v>
      </c>
      <c r="B119" s="17">
        <v>275.97</v>
      </c>
      <c r="C119" s="18">
        <f t="shared" si="1"/>
        <v>0.001704535564</v>
      </c>
      <c r="D119" s="18">
        <v>0.0014991308861313254</v>
      </c>
    </row>
    <row r="120" ht="15.75" customHeight="1">
      <c r="A120" s="3">
        <v>43272.0</v>
      </c>
      <c r="B120" s="17">
        <v>274.24</v>
      </c>
      <c r="C120" s="18">
        <f t="shared" si="1"/>
        <v>-0.006288528748</v>
      </c>
      <c r="D120" s="18">
        <v>-5.08346924814365E-4</v>
      </c>
    </row>
    <row r="121" ht="15.75" customHeight="1">
      <c r="A121" s="3">
        <v>43273.0</v>
      </c>
      <c r="B121" s="17">
        <v>274.74</v>
      </c>
      <c r="C121" s="18">
        <f t="shared" si="1"/>
        <v>0.001821560488</v>
      </c>
      <c r="D121" s="18">
        <v>-0.00483724454944442</v>
      </c>
    </row>
    <row r="122" ht="15.75" customHeight="1">
      <c r="A122" s="3">
        <v>43276.0</v>
      </c>
      <c r="B122" s="17">
        <v>271.0</v>
      </c>
      <c r="C122" s="18">
        <f t="shared" si="1"/>
        <v>-0.01370637502</v>
      </c>
      <c r="D122" s="18">
        <v>-2.0343982071557256E-5</v>
      </c>
    </row>
    <row r="123" ht="15.75" customHeight="1">
      <c r="A123" s="3">
        <v>43277.0</v>
      </c>
      <c r="B123" s="17">
        <v>271.6</v>
      </c>
      <c r="C123" s="18">
        <f t="shared" si="1"/>
        <v>0.002211574805</v>
      </c>
      <c r="D123" s="18">
        <v>-9.775666027916356E-4</v>
      </c>
    </row>
    <row r="124" ht="15.75" customHeight="1">
      <c r="A124" s="3">
        <v>43278.0</v>
      </c>
      <c r="B124" s="17">
        <v>269.35</v>
      </c>
      <c r="C124" s="18">
        <f t="shared" si="1"/>
        <v>-0.008318746558</v>
      </c>
      <c r="D124" s="18">
        <v>-0.00977370267539421</v>
      </c>
    </row>
    <row r="125" ht="15.75" customHeight="1">
      <c r="A125" s="3">
        <v>43279.0</v>
      </c>
      <c r="B125" s="17">
        <v>270.89</v>
      </c>
      <c r="C125" s="18">
        <f t="shared" si="1"/>
        <v>0.005701185293</v>
      </c>
      <c r="D125" s="18">
        <v>-3.790513086415086E-5</v>
      </c>
    </row>
    <row r="126" ht="15.75" customHeight="1">
      <c r="A126" s="3">
        <v>43280.0</v>
      </c>
      <c r="B126" s="17">
        <v>271.28</v>
      </c>
      <c r="C126" s="18">
        <f t="shared" si="1"/>
        <v>0.001438663398</v>
      </c>
      <c r="D126" s="18">
        <v>2.578253214037189E-4</v>
      </c>
    </row>
    <row r="127" ht="15.75" customHeight="1">
      <c r="A127" s="3">
        <v>43283.0</v>
      </c>
      <c r="B127" s="17">
        <v>271.86</v>
      </c>
      <c r="C127" s="18">
        <f t="shared" si="1"/>
        <v>0.00213573009</v>
      </c>
      <c r="D127" s="18">
        <v>-0.005996044951109957</v>
      </c>
    </row>
    <row r="128" ht="15.75" customHeight="1">
      <c r="A128" s="3">
        <v>43284.0</v>
      </c>
      <c r="B128" s="17">
        <v>270.9</v>
      </c>
      <c r="C128" s="18">
        <f t="shared" si="1"/>
        <v>-0.003537478816</v>
      </c>
      <c r="D128" s="18">
        <v>9.867758693890539E-4</v>
      </c>
    </row>
    <row r="129" ht="15.75" customHeight="1">
      <c r="A129" s="3">
        <v>43286.0</v>
      </c>
      <c r="B129" s="17">
        <v>273.11</v>
      </c>
      <c r="C129" s="18">
        <f t="shared" si="1"/>
        <v>0.008124895342</v>
      </c>
      <c r="D129" s="18">
        <v>0.0036881498997110443</v>
      </c>
    </row>
    <row r="130" ht="15.75" customHeight="1">
      <c r="A130" s="3">
        <v>43287.0</v>
      </c>
      <c r="B130" s="17">
        <v>275.42</v>
      </c>
      <c r="C130" s="18">
        <f t="shared" si="1"/>
        <v>0.008422560866</v>
      </c>
      <c r="D130" s="18">
        <v>-0.003859590214742546</v>
      </c>
    </row>
    <row r="131" ht="15.75" customHeight="1">
      <c r="A131" s="3">
        <v>43290.0</v>
      </c>
      <c r="B131" s="17">
        <v>277.9</v>
      </c>
      <c r="C131" s="18">
        <f t="shared" si="1"/>
        <v>0.008964131449</v>
      </c>
      <c r="D131" s="18">
        <v>-0.001015622342046586</v>
      </c>
    </row>
    <row r="132" ht="15.75" customHeight="1">
      <c r="A132" s="3">
        <v>43291.0</v>
      </c>
      <c r="B132" s="17">
        <v>278.9</v>
      </c>
      <c r="C132" s="18">
        <f t="shared" si="1"/>
        <v>0.003591957885</v>
      </c>
      <c r="D132" s="18">
        <v>0.0038329839570458496</v>
      </c>
    </row>
    <row r="133" ht="15.75" customHeight="1">
      <c r="A133" s="3">
        <v>43292.0</v>
      </c>
      <c r="B133" s="17">
        <v>276.86</v>
      </c>
      <c r="C133" s="18">
        <f t="shared" si="1"/>
        <v>-0.007341331374</v>
      </c>
      <c r="D133" s="18">
        <v>-0.0050094612117022016</v>
      </c>
    </row>
    <row r="134" ht="15.75" customHeight="1">
      <c r="A134" s="3">
        <v>43293.0</v>
      </c>
      <c r="B134" s="17">
        <v>279.37</v>
      </c>
      <c r="C134" s="18">
        <f t="shared" si="1"/>
        <v>0.009025104856</v>
      </c>
      <c r="D134" s="18">
        <v>0.008824084681944403</v>
      </c>
    </row>
    <row r="135" ht="15.75" customHeight="1">
      <c r="A135" s="3">
        <v>43294.0</v>
      </c>
      <c r="B135" s="17">
        <v>279.59</v>
      </c>
      <c r="C135" s="18">
        <f t="shared" si="1"/>
        <v>0.000787176225</v>
      </c>
      <c r="D135" s="18">
        <v>-0.004684121774331465</v>
      </c>
    </row>
    <row r="136" ht="15.75" customHeight="1">
      <c r="A136" s="3">
        <v>43297.0</v>
      </c>
      <c r="B136" s="17">
        <v>279.34</v>
      </c>
      <c r="C136" s="18">
        <f t="shared" si="1"/>
        <v>-0.0008945664633</v>
      </c>
      <c r="D136" s="18">
        <v>-0.004794390898808457</v>
      </c>
    </row>
    <row r="137" ht="15.75" customHeight="1">
      <c r="A137" s="3">
        <v>43298.0</v>
      </c>
      <c r="B137" s="17">
        <v>280.47</v>
      </c>
      <c r="C137" s="18">
        <f t="shared" si="1"/>
        <v>0.004037089494</v>
      </c>
      <c r="D137" s="18">
        <v>0.002696737226455284</v>
      </c>
    </row>
    <row r="138" ht="15.75" customHeight="1">
      <c r="A138" s="3">
        <v>43299.0</v>
      </c>
      <c r="B138" s="17">
        <v>281.06</v>
      </c>
      <c r="C138" s="18">
        <f t="shared" si="1"/>
        <v>0.002101402301</v>
      </c>
      <c r="D138" s="18">
        <v>5.4208059450957754E-5</v>
      </c>
    </row>
    <row r="139" ht="15.75" customHeight="1">
      <c r="A139" s="3">
        <v>43300.0</v>
      </c>
      <c r="B139" s="17">
        <v>280.0</v>
      </c>
      <c r="C139" s="18">
        <f t="shared" si="1"/>
        <v>-0.003778566503</v>
      </c>
      <c r="D139" s="18">
        <v>-0.0010972714390915068</v>
      </c>
    </row>
    <row r="140" ht="15.75" customHeight="1">
      <c r="A140" s="3">
        <v>43301.0</v>
      </c>
      <c r="B140" s="17">
        <v>279.68</v>
      </c>
      <c r="C140" s="18">
        <f t="shared" si="1"/>
        <v>-0.001143510702</v>
      </c>
      <c r="D140" s="18">
        <v>8.964645140631604E-4</v>
      </c>
    </row>
    <row r="141" ht="15.75" customHeight="1">
      <c r="A141" s="3">
        <v>43304.0</v>
      </c>
      <c r="B141" s="17">
        <v>280.2</v>
      </c>
      <c r="C141" s="18">
        <f t="shared" si="1"/>
        <v>0.001857541436</v>
      </c>
      <c r="D141" s="18">
        <v>-0.005930638117368633</v>
      </c>
    </row>
    <row r="142" ht="15.75" customHeight="1">
      <c r="A142" s="3">
        <v>43305.0</v>
      </c>
      <c r="B142" s="17">
        <v>281.61</v>
      </c>
      <c r="C142" s="18">
        <f t="shared" si="1"/>
        <v>0.005019501114</v>
      </c>
      <c r="D142" s="18">
        <v>0.003457074726294125</v>
      </c>
    </row>
    <row r="143" ht="15.75" customHeight="1">
      <c r="A143" s="3">
        <v>43306.0</v>
      </c>
      <c r="B143" s="17">
        <v>284.01</v>
      </c>
      <c r="C143" s="18">
        <f t="shared" si="1"/>
        <v>0.008486313792</v>
      </c>
      <c r="D143" s="18">
        <v>0.00870058495423821</v>
      </c>
    </row>
    <row r="144" ht="15.75" customHeight="1">
      <c r="A144" s="3">
        <v>43307.0</v>
      </c>
      <c r="B144" s="17">
        <v>283.34</v>
      </c>
      <c r="C144" s="18">
        <f t="shared" si="1"/>
        <v>-0.002361858858</v>
      </c>
      <c r="D144" s="18">
        <v>0.003545466700692416</v>
      </c>
    </row>
    <row r="145" ht="15.75" customHeight="1">
      <c r="A145" s="3">
        <v>43308.0</v>
      </c>
      <c r="B145" s="17">
        <v>281.42</v>
      </c>
      <c r="C145" s="18">
        <f t="shared" si="1"/>
        <v>-0.006799374591</v>
      </c>
      <c r="D145" s="18">
        <v>-0.002100178721371453</v>
      </c>
    </row>
    <row r="146" ht="15.75" customHeight="1">
      <c r="A146" s="3">
        <v>43311.0</v>
      </c>
      <c r="B146" s="17">
        <v>279.95</v>
      </c>
      <c r="C146" s="18">
        <f t="shared" si="1"/>
        <v>-0.005237199565</v>
      </c>
      <c r="D146" s="18">
        <v>0.0030794682839458782</v>
      </c>
    </row>
    <row r="147" ht="15.75" customHeight="1">
      <c r="A147" s="3">
        <v>43312.0</v>
      </c>
      <c r="B147" s="17">
        <v>281.33</v>
      </c>
      <c r="C147" s="18">
        <f t="shared" si="1"/>
        <v>0.004917341722</v>
      </c>
      <c r="D147" s="18">
        <v>0.002353458931072884</v>
      </c>
    </row>
    <row r="148" ht="15.75" customHeight="1">
      <c r="A148" s="3">
        <v>43313.0</v>
      </c>
      <c r="B148" s="17">
        <v>280.86</v>
      </c>
      <c r="C148" s="18">
        <f t="shared" si="1"/>
        <v>-0.001672032976</v>
      </c>
      <c r="D148" s="18">
        <v>0.006539054890065177</v>
      </c>
    </row>
    <row r="149" ht="15.75" customHeight="1">
      <c r="A149" s="3">
        <v>43314.0</v>
      </c>
      <c r="B149" s="17">
        <v>282.39</v>
      </c>
      <c r="C149" s="18">
        <f t="shared" si="1"/>
        <v>0.005432769687</v>
      </c>
      <c r="D149" s="18">
        <v>-0.009935555281454442</v>
      </c>
    </row>
    <row r="150" ht="15.75" customHeight="1">
      <c r="A150" s="3">
        <v>43315.0</v>
      </c>
      <c r="B150" s="17">
        <v>283.6</v>
      </c>
      <c r="C150" s="18">
        <f t="shared" si="1"/>
        <v>0.004275700431</v>
      </c>
      <c r="D150" s="18">
        <v>-0.011552843562439756</v>
      </c>
    </row>
    <row r="151" ht="15.75" customHeight="1">
      <c r="A151" s="3">
        <v>43318.0</v>
      </c>
      <c r="B151" s="17">
        <v>284.64</v>
      </c>
      <c r="C151" s="18">
        <f t="shared" si="1"/>
        <v>0.00366042926</v>
      </c>
      <c r="D151" s="18">
        <v>-0.0011952834314569853</v>
      </c>
    </row>
    <row r="152" ht="15.75" customHeight="1">
      <c r="A152" s="3">
        <v>43319.0</v>
      </c>
      <c r="B152" s="17">
        <v>285.58</v>
      </c>
      <c r="C152" s="18">
        <f t="shared" si="1"/>
        <v>0.003296976085</v>
      </c>
      <c r="D152" s="18">
        <v>-2.3207716368439166E-4</v>
      </c>
    </row>
    <row r="153" ht="15.75" customHeight="1">
      <c r="A153" s="3">
        <v>43320.0</v>
      </c>
      <c r="B153" s="17">
        <v>285.46</v>
      </c>
      <c r="C153" s="18">
        <f t="shared" si="1"/>
        <v>-0.0004202858005</v>
      </c>
      <c r="D153" s="18">
        <v>0.0044525707675032175</v>
      </c>
    </row>
    <row r="154" ht="15.75" customHeight="1">
      <c r="A154" s="3">
        <v>43321.0</v>
      </c>
      <c r="B154" s="17">
        <v>285.07</v>
      </c>
      <c r="C154" s="18">
        <f t="shared" si="1"/>
        <v>-0.001367150056</v>
      </c>
      <c r="D154" s="18">
        <v>0.01632077415188456</v>
      </c>
    </row>
    <row r="155" ht="15.75" customHeight="1">
      <c r="A155" s="3">
        <v>43322.0</v>
      </c>
      <c r="B155" s="17">
        <v>283.16</v>
      </c>
      <c r="C155" s="18">
        <f t="shared" si="1"/>
        <v>-0.00672265524</v>
      </c>
      <c r="D155" s="18">
        <v>0.003962920515193865</v>
      </c>
    </row>
    <row r="156" ht="15.75" customHeight="1">
      <c r="A156" s="3">
        <v>43325.0</v>
      </c>
      <c r="B156" s="17">
        <v>282.1</v>
      </c>
      <c r="C156" s="18">
        <f t="shared" si="1"/>
        <v>-0.003750490898</v>
      </c>
      <c r="D156" s="18">
        <v>-0.003772805499586096</v>
      </c>
    </row>
    <row r="157" ht="15.75" customHeight="1">
      <c r="A157" s="3">
        <v>43326.0</v>
      </c>
      <c r="B157" s="17">
        <v>283.9</v>
      </c>
      <c r="C157" s="18">
        <f t="shared" si="1"/>
        <v>0.006360445471</v>
      </c>
      <c r="D157" s="18">
        <v>-0.0029577694216426156</v>
      </c>
    </row>
    <row r="158" ht="15.75" customHeight="1">
      <c r="A158" s="3">
        <v>43327.0</v>
      </c>
      <c r="B158" s="17">
        <v>281.78</v>
      </c>
      <c r="C158" s="18">
        <f t="shared" si="1"/>
        <v>-0.007495438854</v>
      </c>
      <c r="D158" s="18">
        <v>-2.743732199553165E-4</v>
      </c>
    </row>
    <row r="159" ht="15.75" customHeight="1">
      <c r="A159" s="3">
        <v>43328.0</v>
      </c>
      <c r="B159" s="17">
        <v>284.06</v>
      </c>
      <c r="C159" s="18">
        <f t="shared" si="1"/>
        <v>0.008058858828</v>
      </c>
      <c r="D159" s="18">
        <v>8.530915953390437E-4</v>
      </c>
    </row>
    <row r="160" ht="15.75" customHeight="1">
      <c r="A160" s="3">
        <v>43329.0</v>
      </c>
      <c r="B160" s="17">
        <v>285.06</v>
      </c>
      <c r="C160" s="18">
        <f t="shared" si="1"/>
        <v>0.003514200974</v>
      </c>
      <c r="D160" s="18">
        <v>0.0064120965024070135</v>
      </c>
    </row>
    <row r="161" ht="15.75" customHeight="1">
      <c r="A161" s="3">
        <v>43332.0</v>
      </c>
      <c r="B161" s="17">
        <v>285.67</v>
      </c>
      <c r="C161" s="18">
        <f t="shared" si="1"/>
        <v>0.002137614046</v>
      </c>
      <c r="D161" s="18">
        <v>-0.0038947514577879414</v>
      </c>
    </row>
    <row r="162" ht="15.75" customHeight="1">
      <c r="A162" s="3">
        <v>43333.0</v>
      </c>
      <c r="B162" s="17">
        <v>286.34</v>
      </c>
      <c r="C162" s="18">
        <f t="shared" si="1"/>
        <v>0.002342617459</v>
      </c>
      <c r="D162" s="18">
        <v>0.002750526328357773</v>
      </c>
    </row>
    <row r="163" ht="15.75" customHeight="1">
      <c r="A163" s="3">
        <v>43334.0</v>
      </c>
      <c r="B163" s="17">
        <v>286.17</v>
      </c>
      <c r="C163" s="18">
        <f t="shared" si="1"/>
        <v>-0.000593876107</v>
      </c>
      <c r="D163" s="18">
        <v>0.0016180579140198438</v>
      </c>
    </row>
    <row r="164" ht="15.75" customHeight="1">
      <c r="A164" s="3">
        <v>43335.0</v>
      </c>
      <c r="B164" s="17">
        <v>285.79</v>
      </c>
      <c r="C164" s="18">
        <f t="shared" si="1"/>
        <v>-0.001328764445</v>
      </c>
      <c r="D164" s="18">
        <v>-0.004603801891555804</v>
      </c>
    </row>
    <row r="165" ht="15.75" customHeight="1">
      <c r="A165" s="3">
        <v>43336.0</v>
      </c>
      <c r="B165" s="17">
        <v>287.51</v>
      </c>
      <c r="C165" s="18">
        <f t="shared" si="1"/>
        <v>0.006000366861</v>
      </c>
      <c r="D165" s="18">
        <v>-2.809388341754945E-4</v>
      </c>
    </row>
    <row r="166" ht="15.75" customHeight="1">
      <c r="A166" s="3">
        <v>43339.0</v>
      </c>
      <c r="B166" s="17">
        <v>289.78</v>
      </c>
      <c r="C166" s="18">
        <f t="shared" si="1"/>
        <v>0.007864372151</v>
      </c>
      <c r="D166" s="18">
        <v>-0.003139121149922243</v>
      </c>
    </row>
    <row r="167" ht="15.75" customHeight="1">
      <c r="A167" s="3">
        <v>43340.0</v>
      </c>
      <c r="B167" s="17">
        <v>289.92</v>
      </c>
      <c r="C167" s="18">
        <f t="shared" si="1"/>
        <v>0.000483008462</v>
      </c>
      <c r="D167" s="18">
        <v>0.007404120512417643</v>
      </c>
    </row>
    <row r="168" ht="15.75" customHeight="1">
      <c r="A168" s="3">
        <v>43341.0</v>
      </c>
      <c r="B168" s="17">
        <v>291.48</v>
      </c>
      <c r="C168" s="18">
        <f t="shared" si="1"/>
        <v>0.005366369947</v>
      </c>
      <c r="D168" s="18">
        <v>0.00498985656721937</v>
      </c>
    </row>
    <row r="169" ht="15.75" customHeight="1">
      <c r="A169" s="3">
        <v>43342.0</v>
      </c>
      <c r="B169" s="17">
        <v>290.3</v>
      </c>
      <c r="C169" s="18">
        <f t="shared" si="1"/>
        <v>-0.004056521771</v>
      </c>
      <c r="D169" s="18">
        <v>0.001428119257259618</v>
      </c>
    </row>
    <row r="170" ht="15.75" customHeight="1">
      <c r="A170" s="3">
        <v>43343.0</v>
      </c>
      <c r="B170" s="17">
        <v>290.31</v>
      </c>
      <c r="C170" s="18">
        <f t="shared" si="1"/>
        <v>0.00003444653038</v>
      </c>
      <c r="D170" s="18">
        <v>-0.0038534085859731173</v>
      </c>
    </row>
    <row r="171" ht="15.75" customHeight="1">
      <c r="A171" s="3">
        <v>43347.0</v>
      </c>
      <c r="B171" s="17">
        <v>289.81</v>
      </c>
      <c r="C171" s="18">
        <f t="shared" si="1"/>
        <v>-0.001723781713</v>
      </c>
      <c r="D171" s="18">
        <v>-0.0030292041751046935</v>
      </c>
    </row>
    <row r="172" ht="15.75" customHeight="1">
      <c r="A172" s="3">
        <v>43348.0</v>
      </c>
      <c r="B172" s="17">
        <v>289.03</v>
      </c>
      <c r="C172" s="18">
        <f t="shared" si="1"/>
        <v>-0.002695046894</v>
      </c>
      <c r="D172" s="18">
        <v>-8.490290594514997E-4</v>
      </c>
    </row>
    <row r="173" ht="15.75" customHeight="1">
      <c r="A173" s="3">
        <v>43349.0</v>
      </c>
      <c r="B173" s="17">
        <v>288.16</v>
      </c>
      <c r="C173" s="18">
        <f t="shared" si="1"/>
        <v>-0.003014607526</v>
      </c>
      <c r="D173" s="18">
        <v>0.00889750584273023</v>
      </c>
    </row>
    <row r="174" ht="15.75" customHeight="1">
      <c r="A174" s="3">
        <v>43350.0</v>
      </c>
      <c r="B174" s="17">
        <v>287.6</v>
      </c>
      <c r="C174" s="18">
        <f t="shared" si="1"/>
        <v>-0.001945255581</v>
      </c>
      <c r="D174" s="18">
        <v>-0.003415707514526367</v>
      </c>
    </row>
    <row r="175" ht="15.75" customHeight="1">
      <c r="A175" s="3">
        <v>43353.0</v>
      </c>
      <c r="B175" s="17">
        <v>288.1</v>
      </c>
      <c r="C175" s="18">
        <f t="shared" si="1"/>
        <v>0.001737016244</v>
      </c>
      <c r="D175" s="18">
        <v>-0.001570650558932465</v>
      </c>
    </row>
    <row r="176" ht="15.75" customHeight="1">
      <c r="A176" s="3">
        <v>43354.0</v>
      </c>
      <c r="B176" s="17">
        <v>289.05</v>
      </c>
      <c r="C176" s="18">
        <f t="shared" si="1"/>
        <v>0.003292041438</v>
      </c>
      <c r="D176" s="18">
        <v>0.003719145061075187</v>
      </c>
    </row>
    <row r="177" ht="15.75" customHeight="1">
      <c r="A177" s="3">
        <v>43355.0</v>
      </c>
      <c r="B177" s="17">
        <v>289.12</v>
      </c>
      <c r="C177" s="18">
        <f t="shared" si="1"/>
        <v>0.0002421433154</v>
      </c>
      <c r="D177" s="18">
        <v>-0.0028893174118578796</v>
      </c>
    </row>
    <row r="178" ht="15.75" customHeight="1">
      <c r="A178" s="3">
        <v>43356.0</v>
      </c>
      <c r="B178" s="17">
        <v>290.83</v>
      </c>
      <c r="C178" s="18">
        <f t="shared" si="1"/>
        <v>0.005897077181</v>
      </c>
      <c r="D178" s="18">
        <v>-2.3448136126657162E-4</v>
      </c>
    </row>
    <row r="179" ht="15.75" customHeight="1">
      <c r="A179" s="3">
        <v>43357.0</v>
      </c>
      <c r="B179" s="17">
        <v>290.88</v>
      </c>
      <c r="C179" s="18">
        <f t="shared" si="1"/>
        <v>0.0001719069644</v>
      </c>
      <c r="D179" s="18">
        <v>-0.002046740023341653</v>
      </c>
    </row>
    <row r="180" ht="15.75" customHeight="1">
      <c r="A180" s="3">
        <v>43360.0</v>
      </c>
      <c r="B180" s="17">
        <v>289.34</v>
      </c>
      <c r="C180" s="18">
        <f t="shared" si="1"/>
        <v>-0.005308343788</v>
      </c>
      <c r="D180" s="18">
        <v>0.00380699919328493</v>
      </c>
    </row>
    <row r="181" ht="15.75" customHeight="1">
      <c r="A181" s="3">
        <v>43361.0</v>
      </c>
      <c r="B181" s="17">
        <v>290.91</v>
      </c>
      <c r="C181" s="18">
        <f t="shared" si="1"/>
        <v>0.005411473783</v>
      </c>
      <c r="D181" s="18">
        <v>0.018903010211889996</v>
      </c>
    </row>
    <row r="182" ht="15.75" customHeight="1">
      <c r="A182" s="3">
        <v>43362.0</v>
      </c>
      <c r="B182" s="17">
        <v>291.22</v>
      </c>
      <c r="C182" s="18">
        <f t="shared" si="1"/>
        <v>0.001065054298</v>
      </c>
      <c r="D182" s="18">
        <v>-0.0028159889126843263</v>
      </c>
    </row>
    <row r="183" ht="15.75" customHeight="1">
      <c r="A183" s="3">
        <v>43363.0</v>
      </c>
      <c r="B183" s="17">
        <v>293.58</v>
      </c>
      <c r="C183" s="18">
        <f t="shared" si="1"/>
        <v>0.008071179246</v>
      </c>
      <c r="D183" s="18">
        <v>0.01948830676712697</v>
      </c>
    </row>
    <row r="184" ht="15.75" customHeight="1">
      <c r="A184" s="3">
        <v>43364.0</v>
      </c>
      <c r="B184" s="17">
        <v>291.99</v>
      </c>
      <c r="C184" s="18">
        <f t="shared" si="1"/>
        <v>-0.005430619423</v>
      </c>
      <c r="D184" s="18">
        <v>0.009172030998496927</v>
      </c>
    </row>
    <row r="185" ht="15.75" customHeight="1">
      <c r="A185" s="3">
        <v>43367.0</v>
      </c>
      <c r="B185" s="17">
        <v>291.02</v>
      </c>
      <c r="C185" s="18">
        <f t="shared" si="1"/>
        <v>-0.003327561774</v>
      </c>
      <c r="D185" s="18">
        <v>-0.013880691829893665</v>
      </c>
    </row>
    <row r="186" ht="15.75" customHeight="1">
      <c r="A186" s="3">
        <v>43368.0</v>
      </c>
      <c r="B186" s="17">
        <v>290.75</v>
      </c>
      <c r="C186" s="18">
        <f t="shared" si="1"/>
        <v>-0.0009282019334</v>
      </c>
      <c r="D186" s="18">
        <v>-0.002165938284293429</v>
      </c>
    </row>
    <row r="187" ht="15.75" customHeight="1">
      <c r="A187" s="3">
        <v>43369.0</v>
      </c>
      <c r="B187" s="17">
        <v>289.88</v>
      </c>
      <c r="C187" s="18">
        <f t="shared" si="1"/>
        <v>-0.002996747158</v>
      </c>
      <c r="D187" s="18">
        <v>-0.0023863755272052964</v>
      </c>
    </row>
    <row r="188" ht="15.75" customHeight="1">
      <c r="A188" s="3">
        <v>43370.0</v>
      </c>
      <c r="B188" s="17">
        <v>290.69</v>
      </c>
      <c r="C188" s="18">
        <f t="shared" si="1"/>
        <v>0.002790363007</v>
      </c>
      <c r="D188" s="18">
        <v>0.003811879838270043</v>
      </c>
    </row>
    <row r="189" ht="15.75" customHeight="1">
      <c r="A189" s="3">
        <v>43371.0</v>
      </c>
      <c r="B189" s="17">
        <v>290.72</v>
      </c>
      <c r="C189" s="18">
        <f t="shared" si="1"/>
        <v>0.0001031973995</v>
      </c>
      <c r="D189" s="18">
        <v>-3.0752522190516336E-4</v>
      </c>
    </row>
    <row r="190" ht="15.75" customHeight="1">
      <c r="A190" s="3">
        <v>43374.0</v>
      </c>
      <c r="B190" s="17">
        <v>291.73</v>
      </c>
      <c r="C190" s="18">
        <f t="shared" si="1"/>
        <v>0.003468112327</v>
      </c>
      <c r="D190" s="18">
        <v>-0.0028434376986013563</v>
      </c>
    </row>
    <row r="191" ht="15.75" customHeight="1">
      <c r="A191" s="3">
        <v>43375.0</v>
      </c>
      <c r="B191" s="17">
        <v>291.56</v>
      </c>
      <c r="C191" s="18">
        <f t="shared" si="1"/>
        <v>-0.0005829004605</v>
      </c>
      <c r="D191" s="18">
        <v>0.0036986083690856504</v>
      </c>
    </row>
    <row r="192" ht="15.75" customHeight="1">
      <c r="A192" s="3">
        <v>43376.0</v>
      </c>
      <c r="B192" s="17">
        <v>291.72</v>
      </c>
      <c r="C192" s="18">
        <f t="shared" si="1"/>
        <v>0.000548621602</v>
      </c>
      <c r="D192" s="18">
        <v>0.003176010226716226</v>
      </c>
    </row>
    <row r="193" ht="15.75" customHeight="1">
      <c r="A193" s="3">
        <v>43377.0</v>
      </c>
      <c r="B193" s="17">
        <v>289.44</v>
      </c>
      <c r="C193" s="18">
        <f t="shared" si="1"/>
        <v>-0.007846416469</v>
      </c>
      <c r="D193" s="18">
        <v>-3.3728923079526696E-4</v>
      </c>
    </row>
    <row r="194" ht="15.75" customHeight="1">
      <c r="A194" s="3">
        <v>43378.0</v>
      </c>
      <c r="B194" s="17">
        <v>287.82</v>
      </c>
      <c r="C194" s="18">
        <f t="shared" si="1"/>
        <v>-0.005612736905</v>
      </c>
      <c r="D194" s="18">
        <v>0.011540701600502837</v>
      </c>
    </row>
    <row r="195" ht="15.75" customHeight="1">
      <c r="A195" s="3">
        <v>43381.0</v>
      </c>
      <c r="B195" s="17">
        <v>287.82</v>
      </c>
      <c r="C195" s="18">
        <f t="shared" si="1"/>
        <v>0</v>
      </c>
      <c r="D195" s="18">
        <v>-0.005444327576342148</v>
      </c>
    </row>
    <row r="196" ht="15.75" customHeight="1">
      <c r="A196" s="3">
        <v>43382.0</v>
      </c>
      <c r="B196" s="17">
        <v>287.4</v>
      </c>
      <c r="C196" s="18">
        <f t="shared" si="1"/>
        <v>-0.001460311097</v>
      </c>
      <c r="D196" s="18">
        <v>0.005253199221851534</v>
      </c>
    </row>
    <row r="197" ht="15.75" customHeight="1">
      <c r="A197" s="3">
        <v>43383.0</v>
      </c>
      <c r="B197" s="17">
        <v>278.3</v>
      </c>
      <c r="C197" s="18">
        <f t="shared" si="1"/>
        <v>-0.03217530511</v>
      </c>
      <c r="D197" s="18">
        <v>0.0027116654201114867</v>
      </c>
    </row>
    <row r="198" ht="15.75" customHeight="1">
      <c r="A198" s="3">
        <v>43384.0</v>
      </c>
      <c r="B198" s="17">
        <v>272.17</v>
      </c>
      <c r="C198" s="18">
        <f t="shared" si="1"/>
        <v>-0.02227279747</v>
      </c>
      <c r="D198" s="18">
        <v>0.008360785627356043</v>
      </c>
    </row>
    <row r="199" ht="15.75" customHeight="1">
      <c r="A199" s="3">
        <v>43385.0</v>
      </c>
      <c r="B199" s="17">
        <v>275.95</v>
      </c>
      <c r="C199" s="18">
        <f t="shared" si="1"/>
        <v>0.01379281882</v>
      </c>
      <c r="D199" s="18">
        <v>-0.021366442278314364</v>
      </c>
    </row>
    <row r="200" ht="15.75" customHeight="1">
      <c r="A200" s="3">
        <v>43388.0</v>
      </c>
      <c r="B200" s="17">
        <v>274.4</v>
      </c>
      <c r="C200" s="18">
        <f t="shared" si="1"/>
        <v>-0.005632794034</v>
      </c>
      <c r="D200" s="18">
        <v>-0.00725427818858796</v>
      </c>
    </row>
    <row r="201" ht="15.75" customHeight="1">
      <c r="A201" s="3">
        <v>43389.0</v>
      </c>
      <c r="B201" s="17">
        <v>280.4</v>
      </c>
      <c r="C201" s="18">
        <f t="shared" si="1"/>
        <v>0.02163025931</v>
      </c>
      <c r="D201" s="18">
        <v>-0.011101340272347108</v>
      </c>
    </row>
    <row r="202" ht="15.75" customHeight="1">
      <c r="A202" s="3">
        <v>43390.0</v>
      </c>
      <c r="B202" s="17">
        <v>280.45</v>
      </c>
      <c r="C202" s="18">
        <f t="shared" si="1"/>
        <v>0.0001783007939</v>
      </c>
      <c r="D202" s="18">
        <v>-0.005492098278653341</v>
      </c>
    </row>
    <row r="203" ht="15.75" customHeight="1">
      <c r="A203" s="3">
        <v>43391.0</v>
      </c>
      <c r="B203" s="17">
        <v>276.4</v>
      </c>
      <c r="C203" s="18">
        <f t="shared" si="1"/>
        <v>-0.01454636406</v>
      </c>
      <c r="D203" s="18">
        <v>0.01095007082955221</v>
      </c>
    </row>
    <row r="204" ht="15.75" customHeight="1">
      <c r="A204" s="3">
        <v>43392.0</v>
      </c>
      <c r="B204" s="17">
        <v>276.25</v>
      </c>
      <c r="C204" s="18">
        <f t="shared" si="1"/>
        <v>-0.0005428390616</v>
      </c>
      <c r="D204" s="18">
        <v>0.003841849913844257</v>
      </c>
    </row>
    <row r="205" ht="15.75" customHeight="1">
      <c r="A205" s="3">
        <v>43395.0</v>
      </c>
      <c r="B205" s="17">
        <v>275.01</v>
      </c>
      <c r="C205" s="18">
        <f t="shared" si="1"/>
        <v>-0.00449879219</v>
      </c>
      <c r="D205" s="18">
        <v>-0.0024247895169810054</v>
      </c>
    </row>
    <row r="206" ht="15.75" customHeight="1">
      <c r="A206" s="3">
        <v>43396.0</v>
      </c>
      <c r="B206" s="17">
        <v>273.61</v>
      </c>
      <c r="C206" s="18">
        <f t="shared" si="1"/>
        <v>-0.005103725854</v>
      </c>
      <c r="D206" s="18">
        <v>0.002634995769408416</v>
      </c>
    </row>
    <row r="207" ht="15.75" customHeight="1">
      <c r="A207" s="3">
        <v>43397.0</v>
      </c>
      <c r="B207" s="17">
        <v>265.32</v>
      </c>
      <c r="C207" s="18">
        <f t="shared" si="1"/>
        <v>-0.03076709013</v>
      </c>
      <c r="D207" s="18">
        <v>-0.002022686736349947</v>
      </c>
    </row>
    <row r="208" ht="15.75" customHeight="1">
      <c r="A208" s="3">
        <v>43398.0</v>
      </c>
      <c r="B208" s="17">
        <v>270.08</v>
      </c>
      <c r="C208" s="18">
        <f t="shared" si="1"/>
        <v>0.01778156675</v>
      </c>
      <c r="D208" s="18">
        <v>0.012296931180507911</v>
      </c>
    </row>
    <row r="209" ht="15.75" customHeight="1">
      <c r="A209" s="3">
        <v>43399.0</v>
      </c>
      <c r="B209" s="17">
        <v>265.33</v>
      </c>
      <c r="C209" s="18">
        <f t="shared" si="1"/>
        <v>-0.01774387712</v>
      </c>
      <c r="D209" s="18">
        <v>-0.0055920589224789435</v>
      </c>
    </row>
    <row r="210" ht="15.75" customHeight="1">
      <c r="A210" s="3">
        <v>43402.0</v>
      </c>
      <c r="B210" s="17">
        <v>263.86</v>
      </c>
      <c r="C210" s="18">
        <f t="shared" si="1"/>
        <v>-0.005555674828</v>
      </c>
      <c r="D210" s="18">
        <v>-0.01104049243091973</v>
      </c>
    </row>
    <row r="211" ht="15.75" customHeight="1">
      <c r="A211" s="3">
        <v>43403.0</v>
      </c>
      <c r="B211" s="17">
        <v>267.77</v>
      </c>
      <c r="C211" s="18">
        <f t="shared" si="1"/>
        <v>0.01470974363</v>
      </c>
      <c r="D211" s="18">
        <v>0.014679669397925851</v>
      </c>
    </row>
    <row r="212" ht="15.75" customHeight="1">
      <c r="A212" s="3">
        <v>43404.0</v>
      </c>
      <c r="B212" s="17">
        <v>270.63</v>
      </c>
      <c r="C212" s="18">
        <f t="shared" si="1"/>
        <v>0.01062417125</v>
      </c>
      <c r="D212" s="18">
        <v>0.008535446575269756</v>
      </c>
    </row>
    <row r="213" ht="15.75" customHeight="1">
      <c r="A213" s="3">
        <v>43405.0</v>
      </c>
      <c r="B213" s="17">
        <v>273.51</v>
      </c>
      <c r="C213" s="18">
        <f t="shared" si="1"/>
        <v>0.01058560993</v>
      </c>
      <c r="D213" s="18">
        <v>-0.0051931115672049</v>
      </c>
    </row>
    <row r="214" ht="15.75" customHeight="1">
      <c r="A214" s="3">
        <v>43406.0</v>
      </c>
      <c r="B214" s="17">
        <v>271.89</v>
      </c>
      <c r="C214" s="18">
        <f t="shared" si="1"/>
        <v>-0.00594061153</v>
      </c>
      <c r="D214" s="18">
        <v>-0.006001439625757979</v>
      </c>
    </row>
    <row r="215" ht="15.75" customHeight="1">
      <c r="A215" s="3">
        <v>43409.0</v>
      </c>
      <c r="B215" s="17">
        <v>273.39</v>
      </c>
      <c r="C215" s="18">
        <f t="shared" si="1"/>
        <v>0.005501774441</v>
      </c>
      <c r="D215" s="18">
        <v>0.002320086699440333</v>
      </c>
    </row>
    <row r="216" ht="15.75" customHeight="1">
      <c r="A216" s="3">
        <v>43410.0</v>
      </c>
      <c r="B216" s="17">
        <v>275.12</v>
      </c>
      <c r="C216" s="18">
        <f t="shared" si="1"/>
        <v>0.006308018948</v>
      </c>
      <c r="D216" s="18">
        <v>3.515789473927175E-4</v>
      </c>
    </row>
    <row r="217" ht="15.75" customHeight="1">
      <c r="A217" s="3">
        <v>43411.0</v>
      </c>
      <c r="B217" s="17">
        <v>281.01</v>
      </c>
      <c r="C217" s="18">
        <f t="shared" si="1"/>
        <v>0.02118288977</v>
      </c>
      <c r="D217" s="18">
        <v>0.003530973513109441</v>
      </c>
    </row>
    <row r="218" ht="15.75" customHeight="1">
      <c r="A218" s="3">
        <v>43412.0</v>
      </c>
      <c r="B218" s="17">
        <v>280.5</v>
      </c>
      <c r="C218" s="18">
        <f t="shared" si="1"/>
        <v>-0.001816530926</v>
      </c>
      <c r="D218" s="18">
        <v>0.0026481286149949426</v>
      </c>
    </row>
    <row r="219" ht="15.75" customHeight="1">
      <c r="A219" s="3">
        <v>43413.0</v>
      </c>
      <c r="B219" s="17">
        <v>277.76</v>
      </c>
      <c r="C219" s="18">
        <f t="shared" si="1"/>
        <v>-0.009816293491</v>
      </c>
      <c r="D219" s="18">
        <v>-2.6589970284981323E-4</v>
      </c>
    </row>
    <row r="220" ht="15.75" customHeight="1">
      <c r="A220" s="3">
        <v>43416.0</v>
      </c>
      <c r="B220" s="17">
        <v>272.57</v>
      </c>
      <c r="C220" s="18">
        <f t="shared" si="1"/>
        <v>-0.01886196962</v>
      </c>
      <c r="D220" s="18">
        <v>-0.004201730601279995</v>
      </c>
    </row>
    <row r="221" ht="15.75" customHeight="1">
      <c r="A221" s="3">
        <v>43417.0</v>
      </c>
      <c r="B221" s="17">
        <v>272.06</v>
      </c>
      <c r="C221" s="18">
        <f t="shared" si="1"/>
        <v>-0.001872831644</v>
      </c>
      <c r="D221" s="18">
        <v>-2.8168917471141407E-4</v>
      </c>
    </row>
    <row r="222" ht="15.75" customHeight="1">
      <c r="A222" s="3">
        <v>43418.0</v>
      </c>
      <c r="B222" s="17">
        <v>270.2</v>
      </c>
      <c r="C222" s="18">
        <f t="shared" si="1"/>
        <v>-0.006860204679</v>
      </c>
      <c r="D222" s="18">
        <v>0.0022466166393697194</v>
      </c>
    </row>
    <row r="223" ht="15.75" customHeight="1">
      <c r="A223" s="3">
        <v>43419.0</v>
      </c>
      <c r="B223" s="17">
        <v>273.02</v>
      </c>
      <c r="C223" s="18">
        <f t="shared" si="1"/>
        <v>0.01038262705</v>
      </c>
      <c r="D223" s="18">
        <v>0.004153868519553922</v>
      </c>
    </row>
    <row r="224" ht="15.75" customHeight="1">
      <c r="A224" s="3">
        <v>43420.0</v>
      </c>
      <c r="B224" s="17">
        <v>273.73</v>
      </c>
      <c r="C224" s="18">
        <f t="shared" si="1"/>
        <v>0.002597166526</v>
      </c>
      <c r="D224" s="18">
        <v>0.002229907723695116</v>
      </c>
    </row>
    <row r="225" ht="15.75" customHeight="1">
      <c r="A225" s="3">
        <v>43423.0</v>
      </c>
      <c r="B225" s="17">
        <v>269.1</v>
      </c>
      <c r="C225" s="18">
        <f t="shared" si="1"/>
        <v>-0.01705916137</v>
      </c>
      <c r="D225" s="18">
        <v>-0.004670954083170524</v>
      </c>
    </row>
    <row r="226" ht="15.75" customHeight="1">
      <c r="A226" s="3">
        <v>43424.0</v>
      </c>
      <c r="B226" s="17">
        <v>264.12</v>
      </c>
      <c r="C226" s="18">
        <f t="shared" si="1"/>
        <v>-0.01867951241</v>
      </c>
      <c r="D226" s="18">
        <v>0.003428605218891173</v>
      </c>
    </row>
    <row r="227" ht="15.75" customHeight="1">
      <c r="A227" s="3">
        <v>43425.0</v>
      </c>
      <c r="B227" s="17">
        <v>265.02</v>
      </c>
      <c r="C227" s="18">
        <f t="shared" si="1"/>
        <v>0.00340174951</v>
      </c>
      <c r="D227" s="18">
        <v>0.007890700117255237</v>
      </c>
    </row>
    <row r="228" ht="15.75" customHeight="1">
      <c r="A228" s="3">
        <v>43427.0</v>
      </c>
      <c r="B228" s="17">
        <v>263.25</v>
      </c>
      <c r="C228" s="18">
        <f t="shared" si="1"/>
        <v>-0.006701143822</v>
      </c>
      <c r="D228" s="18">
        <v>-0.00393479102407456</v>
      </c>
    </row>
    <row r="229" ht="15.75" customHeight="1">
      <c r="A229" s="3">
        <v>43430.0</v>
      </c>
      <c r="B229" s="17">
        <v>267.5</v>
      </c>
      <c r="C229" s="18">
        <f t="shared" si="1"/>
        <v>0.01601541532</v>
      </c>
      <c r="D229" s="18">
        <v>-0.00392439792181051</v>
      </c>
    </row>
    <row r="230" ht="15.75" customHeight="1">
      <c r="A230" s="3">
        <v>43431.0</v>
      </c>
      <c r="B230" s="17">
        <v>268.4</v>
      </c>
      <c r="C230" s="18">
        <f t="shared" si="1"/>
        <v>0.003358838761</v>
      </c>
      <c r="D230" s="18">
        <v>-0.001963349820891358</v>
      </c>
    </row>
    <row r="231" ht="15.75" customHeight="1">
      <c r="A231" s="3">
        <v>43432.0</v>
      </c>
      <c r="B231" s="17">
        <v>274.58</v>
      </c>
      <c r="C231" s="18">
        <f t="shared" si="1"/>
        <v>0.02276425237</v>
      </c>
      <c r="D231" s="18">
        <v>0.005499802324602184</v>
      </c>
    </row>
    <row r="232" ht="15.75" customHeight="1">
      <c r="A232" s="3">
        <v>43433.0</v>
      </c>
      <c r="B232" s="17">
        <v>273.98</v>
      </c>
      <c r="C232" s="18">
        <f t="shared" si="1"/>
        <v>-0.002187546446</v>
      </c>
      <c r="D232" s="18">
        <v>0.012751570874178213</v>
      </c>
    </row>
    <row r="233" ht="15.75" customHeight="1">
      <c r="A233" s="3">
        <v>43434.0</v>
      </c>
      <c r="B233" s="17">
        <v>275.65</v>
      </c>
      <c r="C233" s="18">
        <f t="shared" si="1"/>
        <v>0.006076834012</v>
      </c>
      <c r="D233" s="18">
        <v>0.007192752886907817</v>
      </c>
    </row>
    <row r="234" ht="15.75" customHeight="1">
      <c r="A234" s="3">
        <v>43437.0</v>
      </c>
      <c r="B234" s="17">
        <v>279.3</v>
      </c>
      <c r="C234" s="18">
        <f t="shared" si="1"/>
        <v>0.01315452792</v>
      </c>
      <c r="D234" s="18">
        <v>-0.010666658910604388</v>
      </c>
    </row>
    <row r="235" ht="15.75" customHeight="1">
      <c r="A235" s="3">
        <v>43438.0</v>
      </c>
      <c r="B235" s="17">
        <v>270.25</v>
      </c>
      <c r="C235" s="18">
        <f t="shared" si="1"/>
        <v>-0.03293901643</v>
      </c>
      <c r="D235" s="18">
        <v>0.0017550285931690688</v>
      </c>
    </row>
    <row r="236" ht="15.75" customHeight="1">
      <c r="A236" s="3">
        <v>43440.0</v>
      </c>
      <c r="B236" s="17">
        <v>269.84</v>
      </c>
      <c r="C236" s="18">
        <f t="shared" si="1"/>
        <v>-0.001518265766</v>
      </c>
      <c r="D236" s="18">
        <v>-0.010655332084028961</v>
      </c>
    </row>
    <row r="237" ht="15.75" customHeight="1">
      <c r="A237" s="3">
        <v>43441.0</v>
      </c>
      <c r="B237" s="17">
        <v>263.57</v>
      </c>
      <c r="C237" s="18">
        <f t="shared" si="1"/>
        <v>-0.0235102034</v>
      </c>
      <c r="D237" s="18">
        <v>-0.00952024167021056</v>
      </c>
    </row>
    <row r="238" ht="15.75" customHeight="1">
      <c r="A238" s="3">
        <v>43444.0</v>
      </c>
      <c r="B238" s="17">
        <v>264.07</v>
      </c>
      <c r="C238" s="18">
        <f t="shared" si="1"/>
        <v>0.001895232165</v>
      </c>
      <c r="D238" s="18">
        <v>0.0015448280834321185</v>
      </c>
    </row>
    <row r="239" ht="15.75" customHeight="1">
      <c r="A239" s="3">
        <v>43445.0</v>
      </c>
      <c r="B239" s="17">
        <v>264.13</v>
      </c>
      <c r="C239" s="18">
        <f t="shared" si="1"/>
        <v>0.0002271866727</v>
      </c>
      <c r="D239" s="18">
        <v>-0.0016300879784190145</v>
      </c>
    </row>
    <row r="240" ht="15.75" customHeight="1">
      <c r="A240" s="3">
        <v>43446.0</v>
      </c>
      <c r="B240" s="17">
        <v>265.46</v>
      </c>
      <c r="C240" s="18">
        <f t="shared" si="1"/>
        <v>0.00502276401</v>
      </c>
      <c r="D240" s="18">
        <v>0.002949764583774264</v>
      </c>
    </row>
    <row r="241" ht="15.75" customHeight="1">
      <c r="A241" s="3">
        <v>43447.0</v>
      </c>
      <c r="B241" s="17">
        <v>265.37</v>
      </c>
      <c r="C241" s="18">
        <f t="shared" si="1"/>
        <v>-0.0003390916145</v>
      </c>
      <c r="D241" s="18">
        <v>0.007355166201481753</v>
      </c>
    </row>
    <row r="242" ht="15.75" customHeight="1">
      <c r="A242" s="3">
        <v>43448.0</v>
      </c>
      <c r="B242" s="17">
        <v>260.47</v>
      </c>
      <c r="C242" s="18">
        <f t="shared" si="1"/>
        <v>-0.01863738717</v>
      </c>
      <c r="D242" s="18">
        <v>-0.00505968135415608</v>
      </c>
    </row>
    <row r="243" ht="15.75" customHeight="1">
      <c r="A243" s="3">
        <v>43451.0</v>
      </c>
      <c r="B243" s="17">
        <v>255.36</v>
      </c>
      <c r="C243" s="18">
        <f t="shared" si="1"/>
        <v>-0.01981337715</v>
      </c>
      <c r="D243" s="18">
        <v>0.004996477647930991</v>
      </c>
    </row>
    <row r="244" ht="15.75" customHeight="1">
      <c r="A244" s="3">
        <v>43452.0</v>
      </c>
      <c r="B244" s="17">
        <v>255.08</v>
      </c>
      <c r="C244" s="18">
        <f t="shared" si="1"/>
        <v>-0.001097092814</v>
      </c>
      <c r="D244" s="18">
        <v>0.00973187517884754</v>
      </c>
    </row>
    <row r="245" ht="15.75" customHeight="1">
      <c r="A245" s="3">
        <v>43453.0</v>
      </c>
      <c r="B245" s="17">
        <v>251.26</v>
      </c>
      <c r="C245" s="18">
        <f t="shared" si="1"/>
        <v>-0.01508896187</v>
      </c>
      <c r="D245" s="18">
        <v>6.710382335842289E-4</v>
      </c>
    </row>
    <row r="246" ht="15.75" customHeight="1">
      <c r="A246" s="3">
        <v>43454.0</v>
      </c>
      <c r="B246" s="17">
        <v>247.17</v>
      </c>
      <c r="C246" s="18">
        <f t="shared" si="1"/>
        <v>-0.01641190058</v>
      </c>
      <c r="D246" s="18">
        <v>-0.0043033740947323144</v>
      </c>
    </row>
    <row r="247" ht="15.75" customHeight="1">
      <c r="A247" s="3">
        <v>43455.0</v>
      </c>
      <c r="B247" s="17">
        <v>240.7</v>
      </c>
      <c r="C247" s="18">
        <f t="shared" si="1"/>
        <v>-0.02652501421</v>
      </c>
      <c r="D247" s="18">
        <v>2.8936306230384535E-4</v>
      </c>
    </row>
    <row r="248" ht="15.75" customHeight="1">
      <c r="A248" s="3">
        <v>43458.0</v>
      </c>
      <c r="B248" s="17">
        <v>234.34</v>
      </c>
      <c r="C248" s="18">
        <f t="shared" si="1"/>
        <v>-0.02677829255</v>
      </c>
      <c r="D248" s="18">
        <v>0.022895860749357524</v>
      </c>
    </row>
    <row r="249" ht="15.75" customHeight="1">
      <c r="A249" s="3">
        <v>43460.0</v>
      </c>
      <c r="B249" s="17">
        <v>246.18</v>
      </c>
      <c r="C249" s="18">
        <f t="shared" si="1"/>
        <v>0.04928992344</v>
      </c>
      <c r="D249" s="18">
        <v>0.008146344877504251</v>
      </c>
    </row>
    <row r="250" ht="15.75" customHeight="1">
      <c r="A250" s="3">
        <v>43461.0</v>
      </c>
      <c r="B250" s="17">
        <v>248.07</v>
      </c>
      <c r="C250" s="18">
        <f t="shared" si="1"/>
        <v>0.00764798872</v>
      </c>
      <c r="D250" s="18">
        <v>-0.012674744315401505</v>
      </c>
    </row>
    <row r="251" ht="15.75" customHeight="1">
      <c r="A251" s="3">
        <v>43462.0</v>
      </c>
      <c r="B251" s="17">
        <v>247.75</v>
      </c>
      <c r="C251" s="18">
        <f t="shared" si="1"/>
        <v>-0.001290791192</v>
      </c>
      <c r="D251" s="18">
        <v>-0.002145604270808041</v>
      </c>
    </row>
    <row r="252" ht="15.75" customHeight="1">
      <c r="A252" s="3">
        <v>43465.0</v>
      </c>
      <c r="B252" s="17">
        <v>249.92</v>
      </c>
      <c r="C252" s="18">
        <f t="shared" si="1"/>
        <v>0.008720693441</v>
      </c>
      <c r="D252" s="18">
        <v>-0.006539700792574961</v>
      </c>
    </row>
    <row r="253" ht="15.75" customHeight="1">
      <c r="A253" s="3">
        <v>43467.0</v>
      </c>
      <c r="B253" s="17">
        <v>250.18</v>
      </c>
      <c r="C253" s="18">
        <f t="shared" si="1"/>
        <v>0.001039792135</v>
      </c>
      <c r="D253" s="18">
        <v>-0.009714757964704548</v>
      </c>
    </row>
    <row r="254" ht="15.75" customHeight="1">
      <c r="A254" s="3">
        <v>43468.0</v>
      </c>
      <c r="B254" s="17">
        <v>244.21</v>
      </c>
      <c r="C254" s="18">
        <f t="shared" si="1"/>
        <v>-0.02415214791</v>
      </c>
      <c r="D254" s="18">
        <v>-0.0032241027145499907</v>
      </c>
    </row>
    <row r="255" ht="15.75" customHeight="1">
      <c r="A255" s="3">
        <v>43469.0</v>
      </c>
      <c r="B255" s="17">
        <v>252.39</v>
      </c>
      <c r="C255" s="18">
        <f t="shared" si="1"/>
        <v>0.03294699935</v>
      </c>
      <c r="D255" s="18">
        <v>-0.0026541989304997757</v>
      </c>
    </row>
    <row r="256" ht="15.75" customHeight="1">
      <c r="A256" s="3">
        <v>43472.0</v>
      </c>
      <c r="B256" s="17">
        <v>254.38</v>
      </c>
      <c r="C256" s="18">
        <f t="shared" si="1"/>
        <v>0.007853701793</v>
      </c>
      <c r="D256" s="18">
        <v>0.006782093898793</v>
      </c>
    </row>
    <row r="257" ht="15.75" customHeight="1">
      <c r="A257" s="3">
        <v>43473.0</v>
      </c>
      <c r="B257" s="17">
        <v>256.77</v>
      </c>
      <c r="C257" s="18">
        <f t="shared" si="1"/>
        <v>0.009351530538</v>
      </c>
      <c r="D257" s="18">
        <v>-0.004567504267116302</v>
      </c>
    </row>
    <row r="258" ht="15.75" customHeight="1">
      <c r="A258" s="3">
        <v>43474.0</v>
      </c>
      <c r="B258" s="17">
        <v>257.97</v>
      </c>
      <c r="C258" s="18">
        <f t="shared" si="1"/>
        <v>0.004662556529</v>
      </c>
      <c r="D258" s="18">
        <v>0.0017000438353816864</v>
      </c>
    </row>
    <row r="259" ht="15.75" customHeight="1">
      <c r="A259" s="3">
        <v>43475.0</v>
      </c>
      <c r="B259" s="17">
        <v>258.88</v>
      </c>
      <c r="C259" s="18">
        <f t="shared" si="1"/>
        <v>0.003521334779</v>
      </c>
      <c r="D259" s="18">
        <v>-0.006063799607387787</v>
      </c>
    </row>
    <row r="260" ht="15.75" customHeight="1">
      <c r="A260" s="3">
        <v>43476.0</v>
      </c>
      <c r="B260" s="17">
        <v>258.98</v>
      </c>
      <c r="C260" s="18">
        <f t="shared" si="1"/>
        <v>0.0003862047706</v>
      </c>
      <c r="D260" s="18">
        <v>0.006994835738002156</v>
      </c>
    </row>
    <row r="261" ht="15.75" customHeight="1">
      <c r="A261" s="3">
        <v>43479.0</v>
      </c>
      <c r="B261" s="17">
        <v>257.4</v>
      </c>
      <c r="C261" s="18">
        <f t="shared" si="1"/>
        <v>-0.006119543479</v>
      </c>
      <c r="D261" s="18">
        <v>-0.004176243393569321</v>
      </c>
    </row>
    <row r="262" ht="15.75" customHeight="1">
      <c r="A262" s="3">
        <v>43480.0</v>
      </c>
      <c r="B262" s="17">
        <v>260.35</v>
      </c>
      <c r="C262" s="18">
        <f t="shared" si="1"/>
        <v>0.01139558445</v>
      </c>
      <c r="D262" s="18">
        <v>-0.00304577091881896</v>
      </c>
    </row>
    <row r="263" ht="15.75" customHeight="1">
      <c r="A263" s="3">
        <v>43481.0</v>
      </c>
      <c r="B263" s="17">
        <v>260.98</v>
      </c>
      <c r="C263" s="18">
        <f t="shared" si="1"/>
        <v>0.002416896425</v>
      </c>
      <c r="D263" s="18">
        <v>-0.0017758189588577594</v>
      </c>
    </row>
    <row r="264" ht="15.75" customHeight="1">
      <c r="A264" s="3">
        <v>43482.0</v>
      </c>
      <c r="B264" s="17">
        <v>262.96</v>
      </c>
      <c r="C264" s="18">
        <f t="shared" si="1"/>
        <v>0.007558153322</v>
      </c>
      <c r="D264" s="18">
        <v>-0.001141713300495622</v>
      </c>
    </row>
    <row r="265" ht="15.75" customHeight="1">
      <c r="A265" s="3">
        <v>43483.0</v>
      </c>
      <c r="B265" s="17">
        <v>266.46</v>
      </c>
      <c r="C265" s="18">
        <f t="shared" si="1"/>
        <v>0.01322220918</v>
      </c>
      <c r="D265" s="18">
        <v>-0.010619493993459808</v>
      </c>
    </row>
    <row r="266" ht="15.75" customHeight="1">
      <c r="A266" s="3">
        <v>43487.0</v>
      </c>
      <c r="B266" s="17">
        <v>262.86</v>
      </c>
      <c r="C266" s="18">
        <f t="shared" si="1"/>
        <v>-0.01360256748</v>
      </c>
      <c r="D266" s="18">
        <v>0.0036595949860343366</v>
      </c>
    </row>
    <row r="267" ht="15.75" customHeight="1">
      <c r="A267" s="3">
        <v>43488.0</v>
      </c>
      <c r="B267" s="17">
        <v>263.41</v>
      </c>
      <c r="C267" s="18">
        <f t="shared" si="1"/>
        <v>0.002090182607</v>
      </c>
      <c r="D267" s="18">
        <v>0.003715498575508702</v>
      </c>
    </row>
    <row r="268" ht="15.75" customHeight="1">
      <c r="A268" s="3">
        <v>43489.0</v>
      </c>
      <c r="B268" s="17">
        <v>263.55</v>
      </c>
      <c r="C268" s="18">
        <f t="shared" si="1"/>
        <v>0.0005313496406</v>
      </c>
      <c r="D268" s="18">
        <v>0.0026019730705456367</v>
      </c>
    </row>
    <row r="269" ht="15.75" customHeight="1">
      <c r="A269" s="3">
        <v>43490.0</v>
      </c>
      <c r="B269" s="17">
        <v>265.78</v>
      </c>
      <c r="C269" s="18">
        <f t="shared" si="1"/>
        <v>0.008425795602</v>
      </c>
      <c r="D269" s="18">
        <v>-4.886121074442916E-4</v>
      </c>
    </row>
    <row r="270" ht="15.75" customHeight="1">
      <c r="A270" s="3">
        <v>43493.0</v>
      </c>
      <c r="B270" s="17">
        <v>263.76</v>
      </c>
      <c r="C270" s="18">
        <f t="shared" si="1"/>
        <v>-0.00762930014</v>
      </c>
      <c r="D270" s="18">
        <v>-0.029605520117867337</v>
      </c>
    </row>
    <row r="271" ht="15.75" customHeight="1">
      <c r="A271" s="3">
        <v>43494.0</v>
      </c>
      <c r="B271" s="17">
        <v>263.41</v>
      </c>
      <c r="C271" s="18">
        <f t="shared" si="1"/>
        <v>-0.001327845103</v>
      </c>
      <c r="D271" s="18">
        <v>-0.0074695707253385115</v>
      </c>
    </row>
    <row r="272" ht="15.75" customHeight="1">
      <c r="A272" s="3">
        <v>43495.0</v>
      </c>
      <c r="B272" s="17">
        <v>267.58</v>
      </c>
      <c r="C272" s="18">
        <f t="shared" si="1"/>
        <v>0.01570683338</v>
      </c>
      <c r="D272" s="18">
        <v>0.006847318874583649</v>
      </c>
    </row>
    <row r="273" ht="15.75" customHeight="1">
      <c r="A273" s="3">
        <v>43496.0</v>
      </c>
      <c r="B273" s="17">
        <v>269.93</v>
      </c>
      <c r="C273" s="18">
        <f t="shared" si="1"/>
        <v>0.00874407908</v>
      </c>
      <c r="D273" s="18">
        <v>-0.002708451808237499</v>
      </c>
    </row>
    <row r="274" ht="15.75" customHeight="1">
      <c r="A274" s="3">
        <v>43497.0</v>
      </c>
      <c r="B274" s="17">
        <v>270.06</v>
      </c>
      <c r="C274" s="18">
        <f t="shared" si="1"/>
        <v>0.0004814904073</v>
      </c>
      <c r="D274" s="18">
        <v>0.003290855519365824</v>
      </c>
    </row>
    <row r="275" ht="15.75" customHeight="1">
      <c r="A275" s="3">
        <v>43500.0</v>
      </c>
      <c r="B275" s="17">
        <v>271.96</v>
      </c>
      <c r="C275" s="18">
        <f t="shared" si="1"/>
        <v>0.007010840125</v>
      </c>
      <c r="D275" s="18">
        <v>-0.0019109285369694493</v>
      </c>
    </row>
    <row r="276" ht="15.75" customHeight="1">
      <c r="A276" s="3">
        <v>43501.0</v>
      </c>
      <c r="B276" s="17">
        <v>273.1</v>
      </c>
      <c r="C276" s="18">
        <f t="shared" si="1"/>
        <v>0.004183031821</v>
      </c>
      <c r="D276" s="18">
        <v>0.0029853328812827836</v>
      </c>
    </row>
    <row r="277" ht="15.75" customHeight="1">
      <c r="A277" s="3">
        <v>43502.0</v>
      </c>
      <c r="B277" s="17">
        <v>272.74</v>
      </c>
      <c r="C277" s="18">
        <f t="shared" si="1"/>
        <v>-0.00131906805</v>
      </c>
      <c r="D277" s="18">
        <v>-5.090599360413959E-4</v>
      </c>
    </row>
    <row r="278" ht="15.75" customHeight="1">
      <c r="A278" s="3">
        <v>43503.0</v>
      </c>
      <c r="B278" s="17">
        <v>270.14</v>
      </c>
      <c r="C278" s="18">
        <f t="shared" si="1"/>
        <v>-0.009578617297</v>
      </c>
      <c r="D278" s="18">
        <v>-0.00206123516109392</v>
      </c>
    </row>
    <row r="279" ht="15.75" customHeight="1">
      <c r="A279" s="3">
        <v>43504.0</v>
      </c>
      <c r="B279" s="17">
        <v>270.47</v>
      </c>
      <c r="C279" s="18">
        <f t="shared" si="1"/>
        <v>0.001220843273</v>
      </c>
      <c r="D279" s="18">
        <v>-0.0016233036384159963</v>
      </c>
    </row>
    <row r="280" ht="15.75" customHeight="1">
      <c r="A280" s="3">
        <v>43507.0</v>
      </c>
      <c r="B280" s="17">
        <v>270.62</v>
      </c>
      <c r="C280" s="18">
        <f t="shared" si="1"/>
        <v>0.0005544364296</v>
      </c>
      <c r="D280" s="18">
        <v>-2.895683020706327E-4</v>
      </c>
    </row>
    <row r="281" ht="15.75" customHeight="1">
      <c r="A281" s="3">
        <v>43508.0</v>
      </c>
      <c r="B281" s="17">
        <v>274.1</v>
      </c>
      <c r="C281" s="18">
        <f t="shared" si="1"/>
        <v>0.01277738047</v>
      </c>
      <c r="D281" s="18">
        <v>0.00241766267578447</v>
      </c>
    </row>
    <row r="282" ht="15.75" customHeight="1">
      <c r="A282" s="3">
        <v>43509.0</v>
      </c>
      <c r="B282" s="17">
        <v>274.99</v>
      </c>
      <c r="C282" s="18">
        <f t="shared" si="1"/>
        <v>0.00324173006</v>
      </c>
      <c r="D282" s="18">
        <v>0.004736710865444332</v>
      </c>
    </row>
    <row r="283" ht="15.75" customHeight="1">
      <c r="A283" s="3">
        <v>43510.0</v>
      </c>
      <c r="B283" s="17">
        <v>274.38</v>
      </c>
      <c r="C283" s="18">
        <f t="shared" si="1"/>
        <v>-0.002220726471</v>
      </c>
      <c r="D283" s="18">
        <v>0.0022438233504243404</v>
      </c>
    </row>
    <row r="284" ht="15.75" customHeight="1">
      <c r="A284" s="3">
        <v>43511.0</v>
      </c>
      <c r="B284" s="17">
        <v>277.37</v>
      </c>
      <c r="C284" s="18">
        <f t="shared" si="1"/>
        <v>0.01083834805</v>
      </c>
      <c r="D284" s="18">
        <v>-0.00764042531401656</v>
      </c>
    </row>
    <row r="285" ht="15.75" customHeight="1">
      <c r="A285" s="3">
        <v>43515.0</v>
      </c>
      <c r="B285" s="17">
        <v>277.85</v>
      </c>
      <c r="C285" s="18">
        <f t="shared" si="1"/>
        <v>0.001729044774</v>
      </c>
      <c r="D285" s="18">
        <v>-6.468266129707722E-4</v>
      </c>
    </row>
    <row r="286" ht="15.75" customHeight="1">
      <c r="A286" s="3">
        <v>43516.0</v>
      </c>
      <c r="B286" s="17">
        <v>278.41</v>
      </c>
      <c r="C286" s="18">
        <f t="shared" si="1"/>
        <v>0.002013447629</v>
      </c>
      <c r="D286" s="18">
        <v>0.006477428601347879</v>
      </c>
    </row>
    <row r="287" ht="15.75" customHeight="1">
      <c r="A287" s="3">
        <v>43517.0</v>
      </c>
      <c r="B287" s="17">
        <v>277.42</v>
      </c>
      <c r="C287" s="18">
        <f t="shared" si="1"/>
        <v>-0.00356224402</v>
      </c>
      <c r="D287" s="18">
        <v>-0.003498714273150796</v>
      </c>
    </row>
    <row r="288" ht="15.75" customHeight="1">
      <c r="A288" s="3">
        <v>43518.0</v>
      </c>
      <c r="B288" s="17">
        <v>279.14</v>
      </c>
      <c r="C288" s="18">
        <f t="shared" si="1"/>
        <v>0.006180844745</v>
      </c>
      <c r="D288" s="18">
        <v>0.0018712958777226413</v>
      </c>
    </row>
    <row r="289" ht="15.75" customHeight="1">
      <c r="A289" s="3">
        <v>43521.0</v>
      </c>
      <c r="B289" s="17">
        <v>279.52</v>
      </c>
      <c r="C289" s="18">
        <f t="shared" si="1"/>
        <v>0.001360398305</v>
      </c>
      <c r="D289" s="18">
        <v>8.101018908516579E-4</v>
      </c>
    </row>
    <row r="290" ht="15.75" customHeight="1">
      <c r="A290" s="3">
        <v>43522.0</v>
      </c>
      <c r="B290" s="17">
        <v>279.32</v>
      </c>
      <c r="C290" s="18">
        <f t="shared" si="1"/>
        <v>-0.0007157684079</v>
      </c>
      <c r="D290" s="18">
        <v>0.009959926122408357</v>
      </c>
    </row>
    <row r="291" ht="15.75" customHeight="1">
      <c r="A291" s="3">
        <v>43523.0</v>
      </c>
      <c r="B291" s="17">
        <v>279.2</v>
      </c>
      <c r="C291" s="18">
        <f t="shared" si="1"/>
        <v>-0.0004297070896</v>
      </c>
      <c r="D291" s="18">
        <v>-0.0037487512129322775</v>
      </c>
    </row>
    <row r="292" ht="15.75" customHeight="1">
      <c r="A292" s="3">
        <v>43524.0</v>
      </c>
      <c r="B292" s="17">
        <v>278.68</v>
      </c>
      <c r="C292" s="18">
        <f t="shared" si="1"/>
        <v>-0.001864200726</v>
      </c>
      <c r="D292" s="18">
        <v>-0.002339825241672063</v>
      </c>
    </row>
    <row r="293" ht="15.75" customHeight="1">
      <c r="A293" s="3">
        <v>43525.0</v>
      </c>
      <c r="B293" s="17">
        <v>280.42</v>
      </c>
      <c r="C293" s="18">
        <f t="shared" si="1"/>
        <v>0.006224309131</v>
      </c>
      <c r="D293" s="18">
        <v>0.0029875757745935097</v>
      </c>
    </row>
    <row r="294" ht="15.75" customHeight="1">
      <c r="A294" s="3">
        <v>43528.0</v>
      </c>
      <c r="B294" s="17">
        <v>279.4</v>
      </c>
      <c r="C294" s="18">
        <f t="shared" si="1"/>
        <v>-0.00364403247</v>
      </c>
      <c r="D294" s="18">
        <v>2.010991893855911E-5</v>
      </c>
    </row>
    <row r="295" ht="15.75" customHeight="1">
      <c r="A295" s="3">
        <v>43529.0</v>
      </c>
      <c r="B295" s="17">
        <v>279.02</v>
      </c>
      <c r="C295" s="18">
        <f t="shared" si="1"/>
        <v>-0.001360982983</v>
      </c>
      <c r="D295" s="18">
        <v>0.004851106854308361</v>
      </c>
    </row>
    <row r="296" ht="15.75" customHeight="1">
      <c r="A296" s="3">
        <v>43530.0</v>
      </c>
      <c r="B296" s="17">
        <v>277.33</v>
      </c>
      <c r="C296" s="18">
        <f t="shared" si="1"/>
        <v>-0.00607533099</v>
      </c>
      <c r="D296" s="18">
        <v>-0.0054236482908747935</v>
      </c>
    </row>
    <row r="297" ht="15.75" customHeight="1">
      <c r="A297" s="3">
        <v>43531.0</v>
      </c>
      <c r="B297" s="17">
        <v>275.01</v>
      </c>
      <c r="C297" s="18">
        <f t="shared" si="1"/>
        <v>-0.008400672208</v>
      </c>
      <c r="D297" s="18">
        <v>-0.007723794428408467</v>
      </c>
    </row>
    <row r="298" ht="15.75" customHeight="1">
      <c r="A298" s="3">
        <v>43532.0</v>
      </c>
      <c r="B298" s="17">
        <v>274.46</v>
      </c>
      <c r="C298" s="18">
        <f t="shared" si="1"/>
        <v>-0.0020019298</v>
      </c>
      <c r="D298" s="18">
        <v>-0.009161925391933888</v>
      </c>
    </row>
    <row r="299" ht="15.75" customHeight="1">
      <c r="A299" s="3">
        <v>43535.0</v>
      </c>
      <c r="B299" s="17">
        <v>278.44</v>
      </c>
      <c r="C299" s="18">
        <f t="shared" si="1"/>
        <v>0.01439706546</v>
      </c>
      <c r="D299" s="18">
        <v>-0.004970797446459511</v>
      </c>
    </row>
    <row r="300" ht="15.75" customHeight="1">
      <c r="A300" s="3">
        <v>43536.0</v>
      </c>
      <c r="B300" s="17">
        <v>279.49</v>
      </c>
      <c r="C300" s="18">
        <f t="shared" si="1"/>
        <v>0.003763917479</v>
      </c>
      <c r="D300" s="18">
        <v>0.013183972452158636</v>
      </c>
    </row>
    <row r="301" ht="15.75" customHeight="1">
      <c r="A301" s="3">
        <v>43537.0</v>
      </c>
      <c r="B301" s="17">
        <v>281.34</v>
      </c>
      <c r="C301" s="18">
        <f t="shared" si="1"/>
        <v>0.00659738855</v>
      </c>
      <c r="D301" s="18">
        <v>0.01800018038883446</v>
      </c>
    </row>
    <row r="302" ht="15.75" customHeight="1">
      <c r="A302" s="3">
        <v>43538.0</v>
      </c>
      <c r="B302" s="17">
        <v>281.16</v>
      </c>
      <c r="C302" s="18">
        <f t="shared" si="1"/>
        <v>-0.0006400000218</v>
      </c>
      <c r="D302" s="18">
        <v>0.007075227817525043</v>
      </c>
    </row>
    <row r="303" ht="15.75" customHeight="1">
      <c r="A303" s="3">
        <v>43539.0</v>
      </c>
      <c r="B303" s="17">
        <v>281.31</v>
      </c>
      <c r="C303" s="18">
        <f t="shared" si="1"/>
        <v>0.0005333617919</v>
      </c>
      <c r="D303" s="18">
        <v>0.0032082004632625065</v>
      </c>
    </row>
    <row r="304" ht="15.75" customHeight="1">
      <c r="A304" s="3">
        <v>43542.0</v>
      </c>
      <c r="B304" s="17">
        <v>282.33</v>
      </c>
      <c r="C304" s="18">
        <f t="shared" si="1"/>
        <v>0.003619335439</v>
      </c>
      <c r="D304" s="18">
        <v>-0.004822809829062472</v>
      </c>
    </row>
    <row r="305" ht="15.75" customHeight="1">
      <c r="A305" s="3">
        <v>43543.0</v>
      </c>
      <c r="B305" s="17">
        <v>282.4</v>
      </c>
      <c r="C305" s="18">
        <f t="shared" si="1"/>
        <v>0.0002479060803</v>
      </c>
      <c r="D305" s="18">
        <v>0.013102578772962675</v>
      </c>
    </row>
    <row r="306" ht="15.75" customHeight="1">
      <c r="A306" s="3">
        <v>43544.0</v>
      </c>
      <c r="B306" s="17">
        <v>281.55</v>
      </c>
      <c r="C306" s="18">
        <f t="shared" si="1"/>
        <v>-0.003014453918</v>
      </c>
      <c r="D306" s="18">
        <v>0.004844949112388144</v>
      </c>
    </row>
    <row r="307" ht="15.75" customHeight="1">
      <c r="A307" s="3">
        <v>43545.0</v>
      </c>
      <c r="B307" s="17">
        <v>284.73</v>
      </c>
      <c r="C307" s="18">
        <f t="shared" si="1"/>
        <v>0.01123131111</v>
      </c>
      <c r="D307" s="18">
        <v>-3.952546895564734E-4</v>
      </c>
    </row>
    <row r="308" ht="15.75" customHeight="1">
      <c r="A308" s="3">
        <v>43546.0</v>
      </c>
      <c r="B308" s="17">
        <v>279.25</v>
      </c>
      <c r="C308" s="18">
        <f t="shared" si="1"/>
        <v>-0.01943392486</v>
      </c>
      <c r="D308" s="18">
        <v>0.001550954513972003</v>
      </c>
    </row>
    <row r="309" ht="15.75" customHeight="1">
      <c r="A309" s="3">
        <v>43549.0</v>
      </c>
      <c r="B309" s="17">
        <v>279.04</v>
      </c>
      <c r="C309" s="18">
        <f t="shared" si="1"/>
        <v>-0.0007522972287</v>
      </c>
      <c r="D309" s="18">
        <v>-0.0058513658989168185</v>
      </c>
    </row>
    <row r="310" ht="15.75" customHeight="1">
      <c r="A310" s="3">
        <v>43550.0</v>
      </c>
      <c r="B310" s="17">
        <v>281.12</v>
      </c>
      <c r="C310" s="18">
        <f t="shared" si="1"/>
        <v>0.007426483718</v>
      </c>
      <c r="D310" s="18">
        <v>1.7601547365078915E-4</v>
      </c>
    </row>
    <row r="311" ht="15.75" customHeight="1">
      <c r="A311" s="3">
        <v>43551.0</v>
      </c>
      <c r="B311" s="17">
        <v>279.65</v>
      </c>
      <c r="C311" s="18">
        <f t="shared" si="1"/>
        <v>-0.005242803171</v>
      </c>
      <c r="D311" s="18">
        <v>-0.0038121921888762686</v>
      </c>
    </row>
    <row r="312" ht="15.75" customHeight="1">
      <c r="A312" s="3">
        <v>43552.0</v>
      </c>
      <c r="B312" s="17">
        <v>280.71</v>
      </c>
      <c r="C312" s="18">
        <f t="shared" si="1"/>
        <v>0.003783286688</v>
      </c>
      <c r="D312" s="18">
        <v>0.004361405616674203</v>
      </c>
    </row>
    <row r="313" ht="15.75" customHeight="1">
      <c r="A313" s="3">
        <v>43553.0</v>
      </c>
      <c r="B313" s="17">
        <v>282.48</v>
      </c>
      <c r="C313" s="18">
        <f t="shared" si="1"/>
        <v>0.006285643664</v>
      </c>
      <c r="D313" s="18">
        <v>0.0010446872323194975</v>
      </c>
    </row>
    <row r="314" ht="15.75" customHeight="1">
      <c r="A314" s="3">
        <v>43556.0</v>
      </c>
      <c r="B314" s="17">
        <v>285.83</v>
      </c>
      <c r="C314" s="18">
        <f t="shared" si="1"/>
        <v>0.01178947688</v>
      </c>
      <c r="D314" s="18">
        <v>0.00725595425443231</v>
      </c>
    </row>
    <row r="315" ht="15.75" customHeight="1">
      <c r="A315" s="3">
        <v>43557.0</v>
      </c>
      <c r="B315" s="17">
        <v>285.97</v>
      </c>
      <c r="C315" s="18">
        <f t="shared" si="1"/>
        <v>0.0004896817167</v>
      </c>
      <c r="D315" s="18">
        <v>-0.003926995445333927</v>
      </c>
    </row>
    <row r="316" ht="15.75" customHeight="1">
      <c r="A316" s="3">
        <v>43558.0</v>
      </c>
      <c r="B316" s="17">
        <v>286.42</v>
      </c>
      <c r="C316" s="18">
        <f t="shared" si="1"/>
        <v>0.001572354837</v>
      </c>
      <c r="D316" s="18">
        <v>0.00451502963268442</v>
      </c>
    </row>
    <row r="317" ht="15.75" customHeight="1">
      <c r="A317" s="3">
        <v>43559.0</v>
      </c>
      <c r="B317" s="17">
        <v>287.18</v>
      </c>
      <c r="C317" s="18">
        <f t="shared" si="1"/>
        <v>0.002649931816</v>
      </c>
      <c r="D317" s="18">
        <v>0.005458619645444585</v>
      </c>
    </row>
    <row r="318" ht="15.75" customHeight="1">
      <c r="A318" s="3">
        <v>43560.0</v>
      </c>
      <c r="B318" s="17">
        <v>288.57</v>
      </c>
      <c r="C318" s="18">
        <f t="shared" si="1"/>
        <v>0.004828493966</v>
      </c>
      <c r="D318" s="18">
        <v>0.0021729202556411598</v>
      </c>
    </row>
    <row r="319" ht="15.75" customHeight="1">
      <c r="A319" s="3">
        <v>43563.0</v>
      </c>
      <c r="B319" s="17">
        <v>288.79</v>
      </c>
      <c r="C319" s="18">
        <f t="shared" si="1"/>
        <v>0.0007620895478</v>
      </c>
      <c r="D319" s="18">
        <v>-5.068496959570426E-4</v>
      </c>
    </row>
    <row r="320" ht="15.75" customHeight="1">
      <c r="A320" s="3">
        <v>43564.0</v>
      </c>
      <c r="B320" s="17">
        <v>287.31</v>
      </c>
      <c r="C320" s="18">
        <f t="shared" si="1"/>
        <v>-0.005138008179</v>
      </c>
      <c r="D320" s="18">
        <v>-2.805296982435862E-4</v>
      </c>
    </row>
    <row r="321" ht="15.75" customHeight="1">
      <c r="A321" s="3">
        <v>43565.0</v>
      </c>
      <c r="B321" s="17">
        <v>288.29</v>
      </c>
      <c r="C321" s="18">
        <f t="shared" si="1"/>
        <v>0.00340514575</v>
      </c>
      <c r="D321" s="18">
        <v>0.006935214329758149</v>
      </c>
    </row>
    <row r="322" ht="15.75" customHeight="1">
      <c r="A322" s="3">
        <v>43566.0</v>
      </c>
      <c r="B322" s="17">
        <v>288.21</v>
      </c>
      <c r="C322" s="18">
        <f t="shared" si="1"/>
        <v>-0.0002775368621</v>
      </c>
      <c r="D322" s="18">
        <v>0.006105328422221511</v>
      </c>
    </row>
    <row r="323" ht="15.75" customHeight="1">
      <c r="A323" s="3">
        <v>43567.0</v>
      </c>
      <c r="B323" s="17">
        <v>290.16</v>
      </c>
      <c r="C323" s="18">
        <f t="shared" si="1"/>
        <v>0.006743113885</v>
      </c>
      <c r="D323" s="18">
        <v>0.007321612276791849</v>
      </c>
    </row>
    <row r="324" ht="15.75" customHeight="1">
      <c r="A324" s="3">
        <v>43570.0</v>
      </c>
      <c r="B324" s="17">
        <v>289.97</v>
      </c>
      <c r="C324" s="18">
        <f t="shared" si="1"/>
        <v>-0.0006550256211</v>
      </c>
      <c r="D324" s="18">
        <v>0.0015916309249675844</v>
      </c>
    </row>
    <row r="325" ht="15.75" customHeight="1">
      <c r="A325" s="3">
        <v>43571.0</v>
      </c>
      <c r="B325" s="17">
        <v>290.16</v>
      </c>
      <c r="C325" s="18">
        <f t="shared" si="1"/>
        <v>0.0006550256211</v>
      </c>
      <c r="D325" s="18">
        <v>-0.0019208253601410339</v>
      </c>
    </row>
    <row r="326" ht="15.75" customHeight="1">
      <c r="A326" s="3">
        <v>43572.0</v>
      </c>
      <c r="B326" s="17">
        <v>289.45</v>
      </c>
      <c r="C326" s="18">
        <f t="shared" si="1"/>
        <v>-0.00244992445</v>
      </c>
      <c r="D326" s="18">
        <v>0.008006055061960952</v>
      </c>
    </row>
    <row r="327" ht="15.75" customHeight="1">
      <c r="A327" s="3">
        <v>43573.0</v>
      </c>
      <c r="B327" s="17">
        <v>290.02</v>
      </c>
      <c r="C327" s="18">
        <f t="shared" si="1"/>
        <v>0.001967315595</v>
      </c>
      <c r="D327" s="18">
        <v>-0.005109444345134051</v>
      </c>
    </row>
    <row r="328" ht="15.75" customHeight="1">
      <c r="A328" s="3">
        <v>43577.0</v>
      </c>
      <c r="B328" s="17">
        <v>290.27</v>
      </c>
      <c r="C328" s="18">
        <f t="shared" si="1"/>
        <v>0.0008616381998</v>
      </c>
      <c r="D328" s="18">
        <v>-0.0054212847051748085</v>
      </c>
    </row>
    <row r="329" ht="15.75" customHeight="1">
      <c r="A329" s="3">
        <v>43578.0</v>
      </c>
      <c r="B329" s="17">
        <v>292.88</v>
      </c>
      <c r="C329" s="18">
        <f t="shared" si="1"/>
        <v>0.008951444492</v>
      </c>
      <c r="D329" s="18">
        <v>2.1243333211999258E-4</v>
      </c>
    </row>
    <row r="330" ht="15.75" customHeight="1">
      <c r="A330" s="3">
        <v>43579.0</v>
      </c>
      <c r="B330" s="17">
        <v>292.23</v>
      </c>
      <c r="C330" s="18">
        <f t="shared" si="1"/>
        <v>-0.002221805361</v>
      </c>
      <c r="D330" s="18">
        <v>-0.002315024681976833</v>
      </c>
    </row>
    <row r="331" ht="15.75" customHeight="1">
      <c r="A331" s="3">
        <v>43580.0</v>
      </c>
      <c r="B331" s="17">
        <v>292.05</v>
      </c>
      <c r="C331" s="18">
        <f t="shared" si="1"/>
        <v>-0.0006161429647</v>
      </c>
      <c r="D331" s="18">
        <v>-0.0038349919758893965</v>
      </c>
    </row>
    <row r="332" ht="15.75" customHeight="1">
      <c r="A332" s="3">
        <v>43581.0</v>
      </c>
      <c r="B332" s="17">
        <v>293.41</v>
      </c>
      <c r="C332" s="18">
        <f t="shared" si="1"/>
        <v>0.004645927805</v>
      </c>
      <c r="D332" s="18">
        <v>-0.0029992614209483647</v>
      </c>
    </row>
    <row r="333" ht="15.75" customHeight="1">
      <c r="A333" s="3">
        <v>43584.0</v>
      </c>
      <c r="B333" s="17">
        <v>293.87</v>
      </c>
      <c r="C333" s="18">
        <f t="shared" si="1"/>
        <v>0.001566544388</v>
      </c>
      <c r="D333" s="18">
        <v>-3.090711805829151E-4</v>
      </c>
    </row>
    <row r="334" ht="15.75" customHeight="1">
      <c r="A334" s="3">
        <v>43585.0</v>
      </c>
      <c r="B334" s="17">
        <v>294.02</v>
      </c>
      <c r="C334" s="18">
        <f t="shared" si="1"/>
        <v>0.0005102995569</v>
      </c>
      <c r="D334" s="18">
        <v>-2.6737407082464624E-4</v>
      </c>
    </row>
    <row r="335" ht="15.75" customHeight="1">
      <c r="A335" s="3">
        <v>43586.0</v>
      </c>
      <c r="B335" s="17">
        <v>291.81</v>
      </c>
      <c r="C335" s="18">
        <f t="shared" si="1"/>
        <v>-0.007544886686</v>
      </c>
      <c r="D335" s="18">
        <v>0.011958201091804014</v>
      </c>
    </row>
    <row r="336" ht="15.75" customHeight="1">
      <c r="A336" s="3">
        <v>43587.0</v>
      </c>
      <c r="B336" s="17">
        <v>291.18</v>
      </c>
      <c r="C336" s="18">
        <f t="shared" si="1"/>
        <v>-0.002161272904</v>
      </c>
      <c r="D336" s="18">
        <v>3.4328474311530536E-4</v>
      </c>
    </row>
    <row r="337" ht="15.75" customHeight="1">
      <c r="A337" s="3">
        <v>43588.0</v>
      </c>
      <c r="B337" s="17">
        <v>294.03</v>
      </c>
      <c r="C337" s="18">
        <f t="shared" si="1"/>
        <v>0.009740170304</v>
      </c>
      <c r="D337" s="18">
        <v>-0.011811972739432018</v>
      </c>
    </row>
    <row r="338" ht="15.75" customHeight="1">
      <c r="A338" s="3">
        <v>43591.0</v>
      </c>
      <c r="B338" s="17">
        <v>292.82</v>
      </c>
      <c r="C338" s="18">
        <f t="shared" si="1"/>
        <v>-0.004123717184</v>
      </c>
      <c r="D338" s="18">
        <v>-0.002140074161984322</v>
      </c>
    </row>
    <row r="339" ht="15.75" customHeight="1">
      <c r="A339" s="3">
        <v>43592.0</v>
      </c>
      <c r="B339" s="17">
        <v>287.93</v>
      </c>
      <c r="C339" s="18">
        <f t="shared" si="1"/>
        <v>-0.01684069073</v>
      </c>
      <c r="D339" s="18">
        <v>1.215546326667274E-4</v>
      </c>
    </row>
    <row r="340" ht="15.75" customHeight="1">
      <c r="A340" s="3">
        <v>43593.0</v>
      </c>
      <c r="B340" s="17">
        <v>287.53</v>
      </c>
      <c r="C340" s="18">
        <f t="shared" si="1"/>
        <v>-0.001390192418</v>
      </c>
      <c r="D340" s="18">
        <v>-0.007343732330630898</v>
      </c>
    </row>
    <row r="341" ht="15.75" customHeight="1">
      <c r="A341" s="3">
        <v>43594.0</v>
      </c>
      <c r="B341" s="17">
        <v>286.66</v>
      </c>
      <c r="C341" s="18">
        <f t="shared" si="1"/>
        <v>-0.003030358125</v>
      </c>
      <c r="D341" s="18">
        <v>-0.006247565025369065</v>
      </c>
    </row>
    <row r="342" ht="15.75" customHeight="1">
      <c r="A342" s="3">
        <v>43595.0</v>
      </c>
      <c r="B342" s="17">
        <v>288.1</v>
      </c>
      <c r="C342" s="18">
        <f t="shared" si="1"/>
        <v>0.005010797595</v>
      </c>
      <c r="D342" s="18">
        <v>-0.007086693358555976</v>
      </c>
    </row>
    <row r="343" ht="15.75" customHeight="1">
      <c r="A343" s="3">
        <v>43598.0</v>
      </c>
      <c r="B343" s="17">
        <v>280.86</v>
      </c>
      <c r="C343" s="18">
        <f t="shared" si="1"/>
        <v>-0.02545131755</v>
      </c>
      <c r="D343" s="18">
        <v>-0.0020085038106665704</v>
      </c>
    </row>
    <row r="344" ht="15.75" customHeight="1">
      <c r="A344" s="3">
        <v>43599.0</v>
      </c>
      <c r="B344" s="17">
        <v>283.4</v>
      </c>
      <c r="C344" s="18">
        <f t="shared" si="1"/>
        <v>0.009003002717</v>
      </c>
      <c r="D344" s="18">
        <v>0.0024645013528554268</v>
      </c>
    </row>
    <row r="345" ht="15.75" customHeight="1">
      <c r="A345" s="3">
        <v>43600.0</v>
      </c>
      <c r="B345" s="17">
        <v>285.06</v>
      </c>
      <c r="C345" s="18">
        <f t="shared" si="1"/>
        <v>0.00584035717</v>
      </c>
      <c r="D345" s="18">
        <v>-0.0054623320991259265</v>
      </c>
    </row>
    <row r="346" ht="15.75" customHeight="1">
      <c r="A346" s="3">
        <v>43601.0</v>
      </c>
      <c r="B346" s="17">
        <v>287.7</v>
      </c>
      <c r="C346" s="18">
        <f t="shared" si="1"/>
        <v>0.009218586131</v>
      </c>
      <c r="D346" s="18">
        <v>-0.002246938812031358</v>
      </c>
    </row>
    <row r="347" ht="15.75" customHeight="1">
      <c r="A347" s="3">
        <v>43602.0</v>
      </c>
      <c r="B347" s="17">
        <v>285.84</v>
      </c>
      <c r="C347" s="18">
        <f t="shared" si="1"/>
        <v>-0.006486056842</v>
      </c>
      <c r="D347" s="18">
        <v>2.805180847163669E-4</v>
      </c>
    </row>
    <row r="348" ht="15.75" customHeight="1">
      <c r="A348" s="3">
        <v>43605.0</v>
      </c>
      <c r="B348" s="17">
        <v>283.95</v>
      </c>
      <c r="C348" s="18">
        <f t="shared" si="1"/>
        <v>-0.006634047392</v>
      </c>
      <c r="D348" s="18">
        <v>0.00622132654894988</v>
      </c>
    </row>
    <row r="349" ht="15.75" customHeight="1">
      <c r="A349" s="3">
        <v>43606.0</v>
      </c>
      <c r="B349" s="17">
        <v>286.51</v>
      </c>
      <c r="C349" s="18">
        <f t="shared" si="1"/>
        <v>0.008975273236</v>
      </c>
      <c r="D349" s="18">
        <v>0.005590547015015763</v>
      </c>
    </row>
    <row r="350" ht="15.75" customHeight="1">
      <c r="A350" s="3">
        <v>43607.0</v>
      </c>
      <c r="B350" s="17">
        <v>285.63</v>
      </c>
      <c r="C350" s="18">
        <f t="shared" si="1"/>
        <v>-0.003076172594</v>
      </c>
      <c r="D350" s="18">
        <v>-2.4582953885383377E-4</v>
      </c>
    </row>
    <row r="351" ht="15.75" customHeight="1">
      <c r="A351" s="3">
        <v>43608.0</v>
      </c>
      <c r="B351" s="17">
        <v>282.14</v>
      </c>
      <c r="C351" s="18">
        <f t="shared" si="1"/>
        <v>-0.01229386532</v>
      </c>
      <c r="D351" s="18">
        <v>0.002725858041024722</v>
      </c>
    </row>
    <row r="352" ht="15.75" customHeight="1">
      <c r="A352" s="3">
        <v>43609.0</v>
      </c>
      <c r="B352" s="17">
        <v>282.78</v>
      </c>
      <c r="C352" s="18">
        <f t="shared" si="1"/>
        <v>0.002265808517</v>
      </c>
      <c r="D352" s="18">
        <v>-0.004824346010093837</v>
      </c>
    </row>
    <row r="353" ht="15.75" customHeight="1">
      <c r="A353" s="3">
        <v>43613.0</v>
      </c>
      <c r="B353" s="17">
        <v>280.15</v>
      </c>
      <c r="C353" s="18">
        <f t="shared" si="1"/>
        <v>-0.009344036152</v>
      </c>
      <c r="D353" s="18">
        <v>-8.526934508498464E-4</v>
      </c>
    </row>
    <row r="354" ht="15.75" customHeight="1">
      <c r="A354" s="3">
        <v>43614.0</v>
      </c>
      <c r="B354" s="17">
        <v>278.27</v>
      </c>
      <c r="C354" s="18">
        <f t="shared" si="1"/>
        <v>-0.006733308631</v>
      </c>
      <c r="D354" s="18">
        <v>-0.001593307627588743</v>
      </c>
    </row>
    <row r="355" ht="15.75" customHeight="1">
      <c r="A355" s="3">
        <v>43615.0</v>
      </c>
      <c r="B355" s="17">
        <v>279.03</v>
      </c>
      <c r="C355" s="18">
        <f t="shared" si="1"/>
        <v>0.002727437542</v>
      </c>
      <c r="D355" s="18">
        <v>-0.00665920985953312</v>
      </c>
    </row>
    <row r="356" ht="15.75" customHeight="1">
      <c r="A356" s="3">
        <v>43616.0</v>
      </c>
      <c r="B356" s="17">
        <v>275.27</v>
      </c>
      <c r="C356" s="18">
        <f t="shared" si="1"/>
        <v>-0.01356686874</v>
      </c>
      <c r="D356" s="18">
        <v>-0.0025960794033462547</v>
      </c>
    </row>
    <row r="357" ht="15.75" customHeight="1">
      <c r="A357" s="3">
        <v>43619.0</v>
      </c>
      <c r="B357" s="17">
        <v>274.57</v>
      </c>
      <c r="C357" s="18">
        <f t="shared" si="1"/>
        <v>-0.002546196632</v>
      </c>
      <c r="D357" s="18">
        <v>6.083518680618234E-4</v>
      </c>
    </row>
    <row r="358" ht="15.75" customHeight="1">
      <c r="A358" s="3">
        <v>43620.0</v>
      </c>
      <c r="B358" s="17">
        <v>280.53</v>
      </c>
      <c r="C358" s="18">
        <f t="shared" si="1"/>
        <v>0.02147443357</v>
      </c>
      <c r="D358" s="18">
        <v>-0.0011560589212283275</v>
      </c>
    </row>
    <row r="359" ht="15.75" customHeight="1">
      <c r="A359" s="3">
        <v>43621.0</v>
      </c>
      <c r="B359" s="17">
        <v>282.96</v>
      </c>
      <c r="C359" s="18">
        <f t="shared" si="1"/>
        <v>0.008624873782</v>
      </c>
      <c r="D359" s="18">
        <v>0.0019265076418216445</v>
      </c>
    </row>
    <row r="360" ht="15.75" customHeight="1">
      <c r="A360" s="3">
        <v>43622.0</v>
      </c>
      <c r="B360" s="17">
        <v>284.8</v>
      </c>
      <c r="C360" s="18">
        <f t="shared" si="1"/>
        <v>0.006481634641</v>
      </c>
      <c r="D360" s="18">
        <v>0.0033697894365003816</v>
      </c>
    </row>
    <row r="361" ht="15.75" customHeight="1">
      <c r="A361" s="3">
        <v>43623.0</v>
      </c>
      <c r="B361" s="17">
        <v>287.65</v>
      </c>
      <c r="C361" s="18">
        <f t="shared" si="1"/>
        <v>0.009957283771</v>
      </c>
      <c r="D361" s="18">
        <v>0.008565069235985545</v>
      </c>
    </row>
    <row r="362" ht="15.75" customHeight="1">
      <c r="A362" s="3">
        <v>43626.0</v>
      </c>
      <c r="B362" s="17">
        <v>288.97</v>
      </c>
      <c r="C362" s="18">
        <f t="shared" si="1"/>
        <v>0.004578413187</v>
      </c>
      <c r="D362" s="18">
        <v>0.004944835028004267</v>
      </c>
    </row>
    <row r="363" ht="15.75" customHeight="1">
      <c r="A363" s="3">
        <v>43627.0</v>
      </c>
      <c r="B363" s="17">
        <v>288.9</v>
      </c>
      <c r="C363" s="18">
        <f t="shared" si="1"/>
        <v>-0.0002422690236</v>
      </c>
      <c r="D363" s="18">
        <v>0.0036013761635954804</v>
      </c>
    </row>
    <row r="364" ht="15.75" customHeight="1">
      <c r="A364" s="3">
        <v>43628.0</v>
      </c>
      <c r="B364" s="17">
        <v>288.39</v>
      </c>
      <c r="C364" s="18">
        <f t="shared" si="1"/>
        <v>-0.001766876726</v>
      </c>
      <c r="D364" s="18">
        <v>-0.006567542829267038</v>
      </c>
    </row>
    <row r="365" ht="15.75" customHeight="1">
      <c r="A365" s="3">
        <v>43629.0</v>
      </c>
      <c r="B365" s="17">
        <v>289.58</v>
      </c>
      <c r="C365" s="18">
        <f t="shared" si="1"/>
        <v>0.004117866607</v>
      </c>
      <c r="D365" s="18">
        <v>0.0025488895434142675</v>
      </c>
    </row>
    <row r="366" ht="15.75" customHeight="1">
      <c r="A366" s="3">
        <v>43630.0</v>
      </c>
      <c r="B366" s="17">
        <v>289.26</v>
      </c>
      <c r="C366" s="18">
        <f t="shared" si="1"/>
        <v>-0.001105659708</v>
      </c>
      <c r="D366" s="18">
        <v>9.183495845563658E-4</v>
      </c>
    </row>
    <row r="367" ht="15.75" customHeight="1">
      <c r="A367" s="3">
        <v>43633.0</v>
      </c>
      <c r="B367" s="17">
        <v>289.37</v>
      </c>
      <c r="C367" s="18">
        <f t="shared" si="1"/>
        <v>0.0003802084279</v>
      </c>
      <c r="D367" s="18">
        <v>0.005843081990713588</v>
      </c>
    </row>
    <row r="368" ht="15.75" customHeight="1">
      <c r="A368" s="3">
        <v>43634.0</v>
      </c>
      <c r="B368" s="17">
        <v>292.4</v>
      </c>
      <c r="C368" s="18">
        <f t="shared" si="1"/>
        <v>0.0104165818</v>
      </c>
      <c r="D368" s="18">
        <v>-9.804302645936886E-4</v>
      </c>
    </row>
    <row r="369" ht="15.75" customHeight="1">
      <c r="A369" s="3">
        <v>43635.0</v>
      </c>
      <c r="B369" s="17">
        <v>293.06</v>
      </c>
      <c r="C369" s="18">
        <f t="shared" si="1"/>
        <v>0.002254638334</v>
      </c>
      <c r="D369" s="18">
        <v>0.0020731672741988085</v>
      </c>
    </row>
    <row r="370" ht="15.75" customHeight="1">
      <c r="A370" s="3">
        <v>43636.0</v>
      </c>
      <c r="B370" s="17">
        <v>295.86</v>
      </c>
      <c r="C370" s="18">
        <f t="shared" si="1"/>
        <v>0.009509003254</v>
      </c>
      <c r="D370" s="18">
        <v>1.8904277463063844E-4</v>
      </c>
    </row>
    <row r="371" ht="15.75" customHeight="1">
      <c r="A371" s="3">
        <v>43637.0</v>
      </c>
      <c r="B371" s="17">
        <v>294.0</v>
      </c>
      <c r="C371" s="18">
        <f t="shared" si="1"/>
        <v>-0.006306602125</v>
      </c>
      <c r="D371" s="18">
        <v>-0.01100545750778764</v>
      </c>
    </row>
    <row r="372" ht="15.75" customHeight="1">
      <c r="A372" s="3">
        <v>43640.0</v>
      </c>
      <c r="B372" s="17">
        <v>293.64</v>
      </c>
      <c r="C372" s="18">
        <f t="shared" si="1"/>
        <v>-0.001225240096</v>
      </c>
      <c r="D372" s="18">
        <v>-4.648231683598224E-4</v>
      </c>
    </row>
    <row r="373" ht="15.75" customHeight="1">
      <c r="A373" s="3">
        <v>43641.0</v>
      </c>
      <c r="B373" s="17">
        <v>290.76</v>
      </c>
      <c r="C373" s="18">
        <f t="shared" si="1"/>
        <v>-0.009856342626</v>
      </c>
      <c r="D373" s="18">
        <v>0.008769249130274734</v>
      </c>
    </row>
    <row r="374" ht="15.75" customHeight="1">
      <c r="A374" s="3">
        <v>43642.0</v>
      </c>
      <c r="B374" s="17">
        <v>290.47</v>
      </c>
      <c r="C374" s="18">
        <f t="shared" si="1"/>
        <v>-0.000997883881</v>
      </c>
      <c r="D374" s="18">
        <v>0.007156130159028408</v>
      </c>
    </row>
    <row r="375" ht="15.75" customHeight="1">
      <c r="A375" s="3">
        <v>43643.0</v>
      </c>
      <c r="B375" s="17">
        <v>291.5</v>
      </c>
      <c r="C375" s="18">
        <f t="shared" si="1"/>
        <v>0.003539705055</v>
      </c>
      <c r="D375" s="18">
        <v>-0.022831706118829898</v>
      </c>
    </row>
    <row r="376" ht="15.75" customHeight="1">
      <c r="A376" s="3">
        <v>43644.0</v>
      </c>
      <c r="B376" s="17">
        <v>293.0</v>
      </c>
      <c r="C376" s="18">
        <f t="shared" si="1"/>
        <v>0.005132603227</v>
      </c>
      <c r="D376" s="18">
        <v>-0.0029491396951043447</v>
      </c>
    </row>
    <row r="377" ht="15.75" customHeight="1">
      <c r="A377" s="3">
        <v>43647.0</v>
      </c>
      <c r="B377" s="17">
        <v>295.66</v>
      </c>
      <c r="C377" s="18">
        <f t="shared" si="1"/>
        <v>0.009037536456</v>
      </c>
      <c r="D377" s="18">
        <v>8.448701228809834E-6</v>
      </c>
    </row>
    <row r="378" ht="15.75" customHeight="1">
      <c r="A378" s="3">
        <v>43648.0</v>
      </c>
      <c r="B378" s="17">
        <v>296.43</v>
      </c>
      <c r="C378" s="18">
        <f t="shared" si="1"/>
        <v>0.002600957402</v>
      </c>
      <c r="D378" s="18">
        <v>7.230483966792633E-4</v>
      </c>
    </row>
    <row r="379" ht="15.75" customHeight="1">
      <c r="A379" s="3">
        <v>43649.0</v>
      </c>
      <c r="B379" s="17">
        <v>298.8</v>
      </c>
      <c r="C379" s="18">
        <f t="shared" si="1"/>
        <v>0.007963350384</v>
      </c>
      <c r="D379" s="18">
        <v>0.0016932124438885621</v>
      </c>
    </row>
    <row r="380" ht="15.75" customHeight="1">
      <c r="A380" s="3">
        <v>43651.0</v>
      </c>
      <c r="B380" s="17">
        <v>298.46</v>
      </c>
      <c r="C380" s="18">
        <f t="shared" si="1"/>
        <v>-0.001138532755</v>
      </c>
      <c r="D380" s="18">
        <v>0.0010062916585288602</v>
      </c>
    </row>
    <row r="381" ht="15.75" customHeight="1">
      <c r="A381" s="3">
        <v>43654.0</v>
      </c>
      <c r="B381" s="17">
        <v>296.82</v>
      </c>
      <c r="C381" s="18">
        <f t="shared" si="1"/>
        <v>-0.005510026036</v>
      </c>
      <c r="D381" s="18">
        <v>0.006282725984177101</v>
      </c>
    </row>
    <row r="382" ht="15.75" customHeight="1">
      <c r="A382" s="3">
        <v>43655.0</v>
      </c>
      <c r="B382" s="17">
        <v>297.19</v>
      </c>
      <c r="C382" s="18">
        <f t="shared" si="1"/>
        <v>0.001245770434</v>
      </c>
      <c r="D382" s="18">
        <v>0.0072454949528119655</v>
      </c>
    </row>
    <row r="383" ht="15.75" customHeight="1">
      <c r="A383" s="3">
        <v>43656.0</v>
      </c>
      <c r="B383" s="17">
        <v>298.61</v>
      </c>
      <c r="C383" s="18">
        <f t="shared" si="1"/>
        <v>0.004766709261</v>
      </c>
      <c r="D383" s="18">
        <v>-1.1866881258073779E-4</v>
      </c>
    </row>
    <row r="384" ht="15.75" customHeight="1">
      <c r="A384" s="3">
        <v>43657.0</v>
      </c>
      <c r="B384" s="17">
        <v>299.31</v>
      </c>
      <c r="C384" s="18">
        <f t="shared" si="1"/>
        <v>0.002341451431</v>
      </c>
      <c r="D384" s="18">
        <v>0.0015971843348144665</v>
      </c>
    </row>
    <row r="385" ht="15.75" customHeight="1">
      <c r="A385" s="3">
        <v>43658.0</v>
      </c>
      <c r="B385" s="17">
        <v>300.65</v>
      </c>
      <c r="C385" s="18">
        <f t="shared" si="1"/>
        <v>0.004466971892</v>
      </c>
      <c r="D385" s="18">
        <v>0.004478450923114223</v>
      </c>
    </row>
    <row r="386" ht="15.75" customHeight="1">
      <c r="A386" s="3">
        <v>43661.0</v>
      </c>
      <c r="B386" s="17">
        <v>300.75</v>
      </c>
      <c r="C386" s="18">
        <f t="shared" si="1"/>
        <v>0.0003325573692</v>
      </c>
      <c r="D386" s="18">
        <v>0.005555556783685389</v>
      </c>
    </row>
    <row r="387" ht="15.75" customHeight="1">
      <c r="A387" s="3">
        <v>43662.0</v>
      </c>
      <c r="B387" s="17">
        <v>299.71</v>
      </c>
      <c r="C387" s="18">
        <f t="shared" si="1"/>
        <v>-0.003464014389</v>
      </c>
      <c r="D387" s="18">
        <v>0.005160917391407599</v>
      </c>
    </row>
    <row r="388" ht="15.75" customHeight="1">
      <c r="A388" s="3">
        <v>43663.0</v>
      </c>
      <c r="B388" s="17">
        <v>297.74</v>
      </c>
      <c r="C388" s="18">
        <f t="shared" si="1"/>
        <v>-0.006594718017</v>
      </c>
      <c r="D388" s="18">
        <v>0.002717518704901656</v>
      </c>
    </row>
    <row r="389" ht="15.75" customHeight="1">
      <c r="A389" s="3">
        <v>43664.0</v>
      </c>
      <c r="B389" s="17">
        <v>298.83</v>
      </c>
      <c r="C389" s="18">
        <f t="shared" si="1"/>
        <v>0.003654227376</v>
      </c>
      <c r="D389" s="18">
        <v>-5.732437979083095E-4</v>
      </c>
    </row>
    <row r="390" ht="15.75" customHeight="1">
      <c r="A390" s="3">
        <v>43665.0</v>
      </c>
      <c r="B390" s="17">
        <v>297.17</v>
      </c>
      <c r="C390" s="18">
        <f t="shared" si="1"/>
        <v>-0.005570484203</v>
      </c>
      <c r="D390" s="18">
        <v>-0.0027065332132708403</v>
      </c>
    </row>
    <row r="391" ht="15.75" customHeight="1">
      <c r="A391" s="3">
        <v>43668.0</v>
      </c>
      <c r="B391" s="17">
        <v>297.9</v>
      </c>
      <c r="C391" s="18">
        <f t="shared" si="1"/>
        <v>0.002453494097</v>
      </c>
      <c r="D391" s="18">
        <v>-0.0054554473494377075</v>
      </c>
    </row>
    <row r="392" ht="15.75" customHeight="1">
      <c r="A392" s="3">
        <v>43669.0</v>
      </c>
      <c r="B392" s="17">
        <v>300.03</v>
      </c>
      <c r="C392" s="18">
        <f t="shared" si="1"/>
        <v>0.007124609937</v>
      </c>
      <c r="D392" s="18">
        <v>-0.004769983254951584</v>
      </c>
    </row>
    <row r="393" ht="15.75" customHeight="1">
      <c r="A393" s="3">
        <v>43670.0</v>
      </c>
      <c r="B393" s="17">
        <v>301.44</v>
      </c>
      <c r="C393" s="18">
        <f t="shared" si="1"/>
        <v>0.004688521731</v>
      </c>
      <c r="D393" s="18">
        <v>-0.0020694297521673985</v>
      </c>
    </row>
    <row r="394" ht="15.75" customHeight="1">
      <c r="A394" s="3">
        <v>43671.0</v>
      </c>
      <c r="B394" s="17">
        <v>300.0</v>
      </c>
      <c r="C394" s="18">
        <f t="shared" si="1"/>
        <v>-0.004788516732</v>
      </c>
      <c r="D394" s="18">
        <v>0.0028058673766155275</v>
      </c>
    </row>
    <row r="395" ht="15.75" customHeight="1">
      <c r="A395" s="3">
        <v>43672.0</v>
      </c>
      <c r="B395" s="17">
        <v>302.01</v>
      </c>
      <c r="C395" s="18">
        <f t="shared" si="1"/>
        <v>0.006677654753</v>
      </c>
      <c r="D395" s="18">
        <v>7.215392513192033E-4</v>
      </c>
    </row>
    <row r="396" ht="15.75" customHeight="1">
      <c r="A396" s="3">
        <v>43675.0</v>
      </c>
      <c r="B396" s="17">
        <v>301.46</v>
      </c>
      <c r="C396" s="18">
        <f t="shared" si="1"/>
        <v>-0.001822792027</v>
      </c>
      <c r="D396" s="18">
        <v>0.003880063416700839</v>
      </c>
    </row>
    <row r="397" ht="15.75" customHeight="1">
      <c r="A397" s="3">
        <v>43676.0</v>
      </c>
      <c r="B397" s="17">
        <v>300.72</v>
      </c>
      <c r="C397" s="18">
        <f t="shared" si="1"/>
        <v>-0.002457738126</v>
      </c>
      <c r="D397" s="18">
        <v>0.0022594721857691277</v>
      </c>
    </row>
    <row r="398" ht="15.75" customHeight="1">
      <c r="A398" s="3">
        <v>43677.0</v>
      </c>
      <c r="B398" s="17">
        <v>297.43</v>
      </c>
      <c r="C398" s="18">
        <f t="shared" si="1"/>
        <v>-0.01100069607</v>
      </c>
      <c r="D398" s="18">
        <v>8.993253442563855E-4</v>
      </c>
    </row>
    <row r="399" ht="15.75" customHeight="1">
      <c r="A399" s="3">
        <v>43678.0</v>
      </c>
      <c r="B399" s="17">
        <v>294.84</v>
      </c>
      <c r="C399" s="18">
        <f t="shared" si="1"/>
        <v>-0.008746066861</v>
      </c>
      <c r="D399" s="18">
        <v>-9.334981655157688E-4</v>
      </c>
    </row>
    <row r="400" ht="15.75" customHeight="1">
      <c r="A400" s="3">
        <v>43679.0</v>
      </c>
      <c r="B400" s="17">
        <v>292.62</v>
      </c>
      <c r="C400" s="18">
        <f t="shared" si="1"/>
        <v>-0.007557997371</v>
      </c>
      <c r="D400" s="18">
        <v>-0.001738146889832032</v>
      </c>
    </row>
    <row r="401" ht="15.75" customHeight="1">
      <c r="A401" s="3">
        <v>43682.0</v>
      </c>
      <c r="B401" s="17">
        <v>283.82</v>
      </c>
      <c r="C401" s="18">
        <f t="shared" si="1"/>
        <v>-0.03053460454</v>
      </c>
      <c r="D401" s="18">
        <v>0.0017451121456066741</v>
      </c>
    </row>
    <row r="402" ht="15.75" customHeight="1">
      <c r="A402" s="3">
        <v>43683.0</v>
      </c>
      <c r="B402" s="17">
        <v>287.8</v>
      </c>
      <c r="C402" s="18">
        <f t="shared" si="1"/>
        <v>0.01392556005</v>
      </c>
      <c r="D402" s="18">
        <v>-0.016819122365657642</v>
      </c>
    </row>
    <row r="403" ht="15.75" customHeight="1">
      <c r="A403" s="3">
        <v>43684.0</v>
      </c>
      <c r="B403" s="17">
        <v>287.97</v>
      </c>
      <c r="C403" s="18">
        <f t="shared" si="1"/>
        <v>0.0005905135903</v>
      </c>
      <c r="D403" s="18">
        <v>-0.009467667054349701</v>
      </c>
    </row>
    <row r="404" ht="15.75" customHeight="1">
      <c r="A404" s="3">
        <v>43685.0</v>
      </c>
      <c r="B404" s="17">
        <v>293.62</v>
      </c>
      <c r="C404" s="18">
        <f t="shared" si="1"/>
        <v>0.01943010627</v>
      </c>
      <c r="D404" s="18">
        <v>0.005403936020032602</v>
      </c>
    </row>
    <row r="405" ht="15.75" customHeight="1">
      <c r="A405" s="3">
        <v>43686.0</v>
      </c>
      <c r="B405" s="17">
        <v>291.62</v>
      </c>
      <c r="C405" s="18">
        <f t="shared" si="1"/>
        <v>-0.006834829423</v>
      </c>
      <c r="D405" s="18">
        <v>0.003535283837847939</v>
      </c>
    </row>
    <row r="406" ht="15.75" customHeight="1">
      <c r="A406" s="3">
        <v>43689.0</v>
      </c>
      <c r="B406" s="17">
        <v>288.07</v>
      </c>
      <c r="C406" s="18">
        <f t="shared" si="1"/>
        <v>-0.01224807873</v>
      </c>
      <c r="D406" s="18">
        <v>0.0033218771760621484</v>
      </c>
    </row>
    <row r="407" ht="15.75" customHeight="1">
      <c r="A407" s="3">
        <v>43690.0</v>
      </c>
      <c r="B407" s="17">
        <v>292.55</v>
      </c>
      <c r="C407" s="18">
        <f t="shared" si="1"/>
        <v>0.01543208608</v>
      </c>
      <c r="D407" s="18">
        <v>-0.00206435452441591</v>
      </c>
    </row>
    <row r="408" ht="15.75" customHeight="1">
      <c r="A408" s="3">
        <v>43691.0</v>
      </c>
      <c r="B408" s="17">
        <v>283.9</v>
      </c>
      <c r="C408" s="18">
        <f t="shared" si="1"/>
        <v>-0.03001352876</v>
      </c>
      <c r="D408" s="18">
        <v>0.010823630055261553</v>
      </c>
    </row>
    <row r="409" ht="15.75" customHeight="1">
      <c r="A409" s="3">
        <v>43692.0</v>
      </c>
      <c r="B409" s="17">
        <v>284.65</v>
      </c>
      <c r="C409" s="18">
        <f t="shared" si="1"/>
        <v>0.002638291918</v>
      </c>
      <c r="D409" s="18">
        <v>-0.006969244294960916</v>
      </c>
    </row>
    <row r="410" ht="15.75" customHeight="1">
      <c r="A410" s="3">
        <v>43693.0</v>
      </c>
      <c r="B410" s="17">
        <v>288.85</v>
      </c>
      <c r="C410" s="18">
        <f t="shared" si="1"/>
        <v>0.01464716683</v>
      </c>
      <c r="D410" s="18">
        <v>-0.007836284124107383</v>
      </c>
    </row>
    <row r="411" ht="15.75" customHeight="1">
      <c r="A411" s="3">
        <v>43696.0</v>
      </c>
      <c r="B411" s="17">
        <v>292.33</v>
      </c>
      <c r="C411" s="18">
        <f t="shared" si="1"/>
        <v>0.0119757789</v>
      </c>
      <c r="D411" s="18">
        <v>0.0015647602943873785</v>
      </c>
    </row>
    <row r="412" ht="15.75" customHeight="1">
      <c r="A412" s="3">
        <v>43697.0</v>
      </c>
      <c r="B412" s="17">
        <v>290.09</v>
      </c>
      <c r="C412" s="18">
        <f t="shared" si="1"/>
        <v>-0.007692081469</v>
      </c>
      <c r="D412" s="18">
        <v>0.003916676431437632</v>
      </c>
    </row>
    <row r="413" ht="15.75" customHeight="1">
      <c r="A413" s="3">
        <v>43698.0</v>
      </c>
      <c r="B413" s="17">
        <v>292.45</v>
      </c>
      <c r="C413" s="18">
        <f t="shared" si="1"/>
        <v>0.008102492228</v>
      </c>
      <c r="D413" s="18">
        <v>0.001180794728384339</v>
      </c>
    </row>
    <row r="414" ht="15.75" customHeight="1">
      <c r="A414" s="3">
        <v>43699.0</v>
      </c>
      <c r="B414" s="17">
        <v>292.36</v>
      </c>
      <c r="C414" s="18">
        <f t="shared" si="1"/>
        <v>-0.0003077922768</v>
      </c>
      <c r="D414" s="18">
        <v>-0.0019902062893232438</v>
      </c>
    </row>
    <row r="415" ht="15.75" customHeight="1">
      <c r="A415" s="3">
        <v>43700.0</v>
      </c>
      <c r="B415" s="17">
        <v>284.85</v>
      </c>
      <c r="C415" s="18">
        <f t="shared" si="1"/>
        <v>-0.02602319369</v>
      </c>
      <c r="D415" s="18">
        <v>-0.0035238486205803696</v>
      </c>
    </row>
    <row r="416" ht="15.75" customHeight="1">
      <c r="A416" s="3">
        <v>43703.0</v>
      </c>
      <c r="B416" s="17">
        <v>288.0</v>
      </c>
      <c r="C416" s="18">
        <f t="shared" si="1"/>
        <v>0.01099775421</v>
      </c>
      <c r="D416" s="18">
        <v>-4.8076316202211067E-4</v>
      </c>
    </row>
    <row r="417" ht="15.75" customHeight="1">
      <c r="A417" s="3">
        <v>43704.0</v>
      </c>
      <c r="B417" s="17">
        <v>286.87</v>
      </c>
      <c r="C417" s="18">
        <f t="shared" si="1"/>
        <v>-0.003931328667</v>
      </c>
      <c r="D417" s="18">
        <v>0.0010331807767709833</v>
      </c>
    </row>
    <row r="418" ht="15.75" customHeight="1">
      <c r="A418" s="3">
        <v>43705.0</v>
      </c>
      <c r="B418" s="17">
        <v>288.89</v>
      </c>
      <c r="C418" s="18">
        <f t="shared" si="1"/>
        <v>0.007016841351</v>
      </c>
      <c r="D418" s="18">
        <v>0.0018824333393273475</v>
      </c>
    </row>
    <row r="419" ht="15.75" customHeight="1">
      <c r="A419" s="3">
        <v>43706.0</v>
      </c>
      <c r="B419" s="17">
        <v>292.58</v>
      </c>
      <c r="C419" s="18">
        <f t="shared" si="1"/>
        <v>0.01269214073</v>
      </c>
      <c r="D419" s="18">
        <v>-0.0010889326522625796</v>
      </c>
    </row>
    <row r="420" ht="15.75" customHeight="1">
      <c r="A420" s="3">
        <v>43707.0</v>
      </c>
      <c r="B420" s="17">
        <v>292.45</v>
      </c>
      <c r="C420" s="18">
        <f t="shared" si="1"/>
        <v>-0.0004444216609</v>
      </c>
      <c r="D420" s="18">
        <v>0.0018112628253315536</v>
      </c>
    </row>
    <row r="421" ht="15.75" customHeight="1">
      <c r="A421" s="3">
        <v>43711.0</v>
      </c>
      <c r="B421" s="17">
        <v>290.74</v>
      </c>
      <c r="C421" s="18">
        <f t="shared" si="1"/>
        <v>-0.005864314891</v>
      </c>
      <c r="D421" s="18">
        <v>-6.985180252943747E-4</v>
      </c>
    </row>
    <row r="422" ht="15.75" customHeight="1">
      <c r="A422" s="3">
        <v>43712.0</v>
      </c>
      <c r="B422" s="17">
        <v>294.04</v>
      </c>
      <c r="C422" s="18">
        <f t="shared" si="1"/>
        <v>0.01128641551</v>
      </c>
      <c r="D422" s="18">
        <v>-0.0036620857998405512</v>
      </c>
    </row>
    <row r="423" ht="15.75" customHeight="1">
      <c r="A423" s="3">
        <v>43713.0</v>
      </c>
      <c r="B423" s="17">
        <v>297.82</v>
      </c>
      <c r="C423" s="18">
        <f t="shared" si="1"/>
        <v>0.01277346466</v>
      </c>
      <c r="D423" s="18">
        <v>0.0018762680802083221</v>
      </c>
    </row>
    <row r="424" ht="15.75" customHeight="1">
      <c r="A424" s="3">
        <v>43714.0</v>
      </c>
      <c r="B424" s="17">
        <v>298.05</v>
      </c>
      <c r="C424" s="18">
        <f t="shared" si="1"/>
        <v>0.0007719805039</v>
      </c>
      <c r="D424" s="18">
        <v>0.0039641038193203495</v>
      </c>
    </row>
    <row r="425" ht="15.75" customHeight="1">
      <c r="A425" s="3">
        <v>43717.0</v>
      </c>
      <c r="B425" s="17">
        <v>298.2</v>
      </c>
      <c r="C425" s="18">
        <f t="shared" si="1"/>
        <v>0.0005031446647</v>
      </c>
      <c r="D425" s="18">
        <v>0.0028981626294756913</v>
      </c>
    </row>
    <row r="426" ht="15.75" customHeight="1">
      <c r="A426" s="3">
        <v>43718.0</v>
      </c>
      <c r="B426" s="17">
        <v>298.13</v>
      </c>
      <c r="C426" s="18">
        <f t="shared" si="1"/>
        <v>-0.0002347693402</v>
      </c>
      <c r="D426" s="18">
        <v>0.012383388973339403</v>
      </c>
    </row>
    <row r="427" ht="15.75" customHeight="1">
      <c r="A427" s="3">
        <v>43719.0</v>
      </c>
      <c r="B427" s="17">
        <v>300.25</v>
      </c>
      <c r="C427" s="18">
        <f t="shared" si="1"/>
        <v>0.00708582797</v>
      </c>
      <c r="D427" s="18">
        <v>0.004002840586735772</v>
      </c>
    </row>
    <row r="428" ht="15.75" customHeight="1">
      <c r="A428" s="3">
        <v>43720.0</v>
      </c>
      <c r="B428" s="17">
        <v>301.29</v>
      </c>
      <c r="C428" s="18">
        <f t="shared" si="1"/>
        <v>0.003457795113</v>
      </c>
      <c r="D428" s="18">
        <v>0.0013691072826705934</v>
      </c>
    </row>
    <row r="429" ht="15.75" customHeight="1">
      <c r="A429" s="3">
        <v>43721.0</v>
      </c>
      <c r="B429" s="17">
        <v>301.09</v>
      </c>
      <c r="C429" s="18">
        <f t="shared" si="1"/>
        <v>-0.0006640326948</v>
      </c>
      <c r="D429" s="18">
        <v>9.138127620123011E-4</v>
      </c>
    </row>
    <row r="430" ht="15.75" customHeight="1">
      <c r="A430" s="3">
        <v>43724.0</v>
      </c>
      <c r="B430" s="17">
        <v>300.16</v>
      </c>
      <c r="C430" s="18">
        <f t="shared" si="1"/>
        <v>-0.003093557561</v>
      </c>
      <c r="D430" s="18">
        <v>0.01632405971325268</v>
      </c>
    </row>
    <row r="431" ht="15.75" customHeight="1">
      <c r="A431" s="3">
        <v>43725.0</v>
      </c>
      <c r="B431" s="17">
        <v>300.92</v>
      </c>
      <c r="C431" s="18">
        <f t="shared" si="1"/>
        <v>0.002528782874</v>
      </c>
      <c r="D431" s="18">
        <v>-0.011062160694628315</v>
      </c>
    </row>
    <row r="432" ht="15.75" customHeight="1">
      <c r="A432" s="3">
        <v>43726.0</v>
      </c>
      <c r="B432" s="17">
        <v>301.1</v>
      </c>
      <c r="C432" s="18">
        <f t="shared" si="1"/>
        <v>0.0005979867957</v>
      </c>
      <c r="D432" s="18">
        <v>-4.929701773093162E-4</v>
      </c>
    </row>
    <row r="433" ht="15.75" customHeight="1">
      <c r="A433" s="3">
        <v>43727.0</v>
      </c>
      <c r="B433" s="17">
        <v>301.08</v>
      </c>
      <c r="C433" s="18">
        <f t="shared" si="1"/>
        <v>-0.00006642532136</v>
      </c>
      <c r="D433" s="18">
        <v>0.005897976618850203</v>
      </c>
    </row>
    <row r="434" ht="15.75" customHeight="1">
      <c r="A434" s="3">
        <v>43728.0</v>
      </c>
      <c r="B434" s="17">
        <v>298.28</v>
      </c>
      <c r="C434" s="18">
        <f t="shared" si="1"/>
        <v>-0.009343367491</v>
      </c>
      <c r="D434" s="18">
        <v>-0.015198766910507493</v>
      </c>
    </row>
    <row r="435" ht="15.75" customHeight="1">
      <c r="A435" s="3">
        <v>43731.0</v>
      </c>
      <c r="B435" s="17">
        <v>298.21</v>
      </c>
      <c r="C435" s="18">
        <f t="shared" si="1"/>
        <v>-0.0002347063666</v>
      </c>
      <c r="D435" s="18">
        <v>-0.0016784720512869327</v>
      </c>
    </row>
    <row r="436" ht="15.75" customHeight="1">
      <c r="A436" s="3">
        <v>43732.0</v>
      </c>
      <c r="B436" s="17">
        <v>295.87</v>
      </c>
      <c r="C436" s="18">
        <f t="shared" si="1"/>
        <v>-0.007877767646</v>
      </c>
      <c r="D436" s="18">
        <v>0.007234646677475103</v>
      </c>
    </row>
    <row r="437" ht="15.75" customHeight="1">
      <c r="A437" s="3">
        <v>43733.0</v>
      </c>
      <c r="B437" s="17">
        <v>297.62</v>
      </c>
      <c r="C437" s="18">
        <f t="shared" si="1"/>
        <v>0.005897336339</v>
      </c>
      <c r="D437" s="18">
        <v>0.008191398678856827</v>
      </c>
    </row>
    <row r="438" ht="15.75" customHeight="1">
      <c r="A438" s="3">
        <v>43734.0</v>
      </c>
      <c r="B438" s="17">
        <v>297.0</v>
      </c>
      <c r="C438" s="18">
        <f t="shared" si="1"/>
        <v>-0.002085366199</v>
      </c>
      <c r="D438" s="18">
        <v>0.00595746084659035</v>
      </c>
    </row>
    <row r="439" ht="15.75" customHeight="1">
      <c r="A439" s="3">
        <v>43735.0</v>
      </c>
      <c r="B439" s="17">
        <v>295.4</v>
      </c>
      <c r="C439" s="18">
        <f t="shared" si="1"/>
        <v>-0.005401768705</v>
      </c>
      <c r="D439" s="18">
        <v>-0.0014390781522788311</v>
      </c>
    </row>
    <row r="440" ht="15.75" customHeight="1">
      <c r="A440" s="3">
        <v>43738.0</v>
      </c>
      <c r="B440" s="17">
        <v>296.77</v>
      </c>
      <c r="C440" s="18">
        <f t="shared" si="1"/>
        <v>0.00462705792</v>
      </c>
      <c r="D440" s="18">
        <v>-0.005664781345768464</v>
      </c>
    </row>
    <row r="441" ht="15.75" customHeight="1">
      <c r="A441" s="3">
        <v>43739.0</v>
      </c>
      <c r="B441" s="17">
        <v>293.24</v>
      </c>
      <c r="C441" s="18">
        <f t="shared" si="1"/>
        <v>-0.01196604166</v>
      </c>
      <c r="D441" s="18">
        <v>0.0020182267343953507</v>
      </c>
    </row>
    <row r="442" ht="15.75" customHeight="1">
      <c r="A442" s="3">
        <v>43740.0</v>
      </c>
      <c r="B442" s="17">
        <v>288.06</v>
      </c>
      <c r="C442" s="18">
        <f t="shared" si="1"/>
        <v>-0.01782259458</v>
      </c>
      <c r="D442" s="18">
        <v>2.9534430537827715E-4</v>
      </c>
    </row>
    <row r="443" ht="15.75" customHeight="1">
      <c r="A443" s="3">
        <v>43741.0</v>
      </c>
      <c r="B443" s="17">
        <v>290.42</v>
      </c>
      <c r="C443" s="18">
        <f t="shared" si="1"/>
        <v>0.008159359332</v>
      </c>
      <c r="D443" s="18">
        <v>-0.007549472016151742</v>
      </c>
    </row>
    <row r="444" ht="15.75" customHeight="1">
      <c r="A444" s="3">
        <v>43742.0</v>
      </c>
      <c r="B444" s="17">
        <v>294.35</v>
      </c>
      <c r="C444" s="18">
        <f t="shared" si="1"/>
        <v>0.01344138437</v>
      </c>
      <c r="D444" s="18">
        <v>-0.007662728521295398</v>
      </c>
    </row>
    <row r="445" ht="15.75" customHeight="1">
      <c r="A445" s="3">
        <v>43745.0</v>
      </c>
      <c r="B445" s="17">
        <v>293.08</v>
      </c>
      <c r="C445" s="18">
        <f t="shared" si="1"/>
        <v>-0.004323926183</v>
      </c>
      <c r="D445" s="18">
        <v>0.005592580672177458</v>
      </c>
    </row>
    <row r="446" ht="15.75" customHeight="1">
      <c r="A446" s="3">
        <v>43746.0</v>
      </c>
      <c r="B446" s="17">
        <v>288.53</v>
      </c>
      <c r="C446" s="18">
        <f t="shared" si="1"/>
        <v>-0.01564654261</v>
      </c>
      <c r="D446" s="18">
        <v>-0.00534677078790811</v>
      </c>
    </row>
    <row r="447" ht="15.75" customHeight="1">
      <c r="A447" s="3">
        <v>43747.0</v>
      </c>
      <c r="B447" s="17">
        <v>291.27</v>
      </c>
      <c r="C447" s="18">
        <f t="shared" si="1"/>
        <v>0.009451605373</v>
      </c>
      <c r="D447" s="18">
        <v>-0.004158618266617628</v>
      </c>
    </row>
    <row r="448" ht="15.75" customHeight="1">
      <c r="A448" s="3">
        <v>43748.0</v>
      </c>
      <c r="B448" s="17">
        <v>293.24</v>
      </c>
      <c r="C448" s="18">
        <f t="shared" si="1"/>
        <v>0.006740714305</v>
      </c>
      <c r="D448" s="18">
        <v>0.0026211330722119125</v>
      </c>
    </row>
    <row r="449" ht="15.75" customHeight="1">
      <c r="A449" s="3">
        <v>43749.0</v>
      </c>
      <c r="B449" s="17">
        <v>296.28</v>
      </c>
      <c r="C449" s="18">
        <f t="shared" si="1"/>
        <v>0.01031356679</v>
      </c>
      <c r="D449" s="18">
        <v>0.0018244110941280712</v>
      </c>
    </row>
    <row r="450" ht="15.75" customHeight="1">
      <c r="A450" s="3">
        <v>43752.0</v>
      </c>
      <c r="B450" s="17">
        <v>295.95</v>
      </c>
      <c r="C450" s="18">
        <f t="shared" si="1"/>
        <v>-0.001114432008</v>
      </c>
      <c r="D450" s="18">
        <v>0.0061653720720614485</v>
      </c>
    </row>
    <row r="451" ht="15.75" customHeight="1">
      <c r="A451" s="3">
        <v>43753.0</v>
      </c>
      <c r="B451" s="17">
        <v>298.88</v>
      </c>
      <c r="C451" s="18">
        <f t="shared" si="1"/>
        <v>0.009851633904</v>
      </c>
      <c r="D451" s="18">
        <v>-0.0011446334008551255</v>
      </c>
    </row>
    <row r="452" ht="15.75" customHeight="1">
      <c r="A452" s="3">
        <v>43754.0</v>
      </c>
      <c r="B452" s="17">
        <v>298.4</v>
      </c>
      <c r="C452" s="18">
        <f t="shared" si="1"/>
        <v>-0.001607286711</v>
      </c>
      <c r="D452" s="18">
        <v>9.78581112990731E-4</v>
      </c>
    </row>
    <row r="453" ht="15.75" customHeight="1">
      <c r="A453" s="3">
        <v>43755.0</v>
      </c>
      <c r="B453" s="17">
        <v>299.28</v>
      </c>
      <c r="C453" s="18">
        <f t="shared" si="1"/>
        <v>0.00294472171</v>
      </c>
      <c r="D453" s="18">
        <v>-0.00306914962483774</v>
      </c>
    </row>
    <row r="454" ht="15.75" customHeight="1">
      <c r="A454" s="3">
        <v>43756.0</v>
      </c>
      <c r="B454" s="17">
        <v>297.97</v>
      </c>
      <c r="C454" s="18">
        <f t="shared" si="1"/>
        <v>-0.004386779743</v>
      </c>
      <c r="D454" s="18">
        <v>4.6217403367369863E-4</v>
      </c>
    </row>
    <row r="455" ht="15.75" customHeight="1">
      <c r="A455" s="3">
        <v>43759.0</v>
      </c>
      <c r="B455" s="17">
        <v>299.99</v>
      </c>
      <c r="C455" s="18">
        <f t="shared" si="1"/>
        <v>0.006756330471</v>
      </c>
      <c r="D455" s="18">
        <v>-0.005756802671374303</v>
      </c>
    </row>
    <row r="456" ht="15.75" customHeight="1">
      <c r="A456" s="3">
        <v>43760.0</v>
      </c>
      <c r="B456" s="17">
        <v>299.01</v>
      </c>
      <c r="C456" s="18">
        <f t="shared" si="1"/>
        <v>-0.00327212312</v>
      </c>
      <c r="D456" s="18">
        <v>-5.7796332579491E-6</v>
      </c>
    </row>
    <row r="457" ht="15.75" customHeight="1">
      <c r="A457" s="3">
        <v>43761.0</v>
      </c>
      <c r="B457" s="17">
        <v>299.88</v>
      </c>
      <c r="C457" s="18">
        <f t="shared" si="1"/>
        <v>0.002905376987</v>
      </c>
      <c r="D457" s="18">
        <v>0.004969153763060775</v>
      </c>
    </row>
    <row r="458" ht="15.75" customHeight="1">
      <c r="A458" s="3">
        <v>43762.0</v>
      </c>
      <c r="B458" s="17">
        <v>300.37</v>
      </c>
      <c r="C458" s="18">
        <f t="shared" si="1"/>
        <v>0.001632653424</v>
      </c>
      <c r="D458" s="18">
        <v>-0.001178675584684395</v>
      </c>
    </row>
    <row r="459" ht="15.75" customHeight="1">
      <c r="A459" s="3">
        <v>43763.0</v>
      </c>
      <c r="B459" s="17">
        <v>301.6</v>
      </c>
      <c r="C459" s="18">
        <f t="shared" si="1"/>
        <v>0.004086588075</v>
      </c>
      <c r="D459" s="18">
        <v>0.00225062499247696</v>
      </c>
    </row>
    <row r="460" ht="15.75" customHeight="1">
      <c r="A460" s="3">
        <v>43766.0</v>
      </c>
      <c r="B460" s="17">
        <v>303.3</v>
      </c>
      <c r="C460" s="18">
        <f t="shared" si="1"/>
        <v>0.005620778561</v>
      </c>
      <c r="D460" s="18">
        <v>-0.007324319587269342</v>
      </c>
    </row>
    <row r="461" ht="15.75" customHeight="1">
      <c r="A461" s="3">
        <v>43767.0</v>
      </c>
      <c r="B461" s="17">
        <v>303.21</v>
      </c>
      <c r="C461" s="18">
        <f t="shared" si="1"/>
        <v>-0.0002967799399</v>
      </c>
      <c r="D461" s="18">
        <v>0.003002339368392889</v>
      </c>
    </row>
    <row r="462" ht="15.75" customHeight="1">
      <c r="A462" s="3">
        <v>43768.0</v>
      </c>
      <c r="B462" s="17">
        <v>304.14</v>
      </c>
      <c r="C462" s="18">
        <f t="shared" si="1"/>
        <v>0.003062486958</v>
      </c>
      <c r="D462" s="18">
        <v>-0.004917502517764935</v>
      </c>
    </row>
    <row r="463" ht="15.75" customHeight="1">
      <c r="A463" s="3">
        <v>43769.0</v>
      </c>
      <c r="B463" s="17">
        <v>303.33</v>
      </c>
      <c r="C463" s="18">
        <f t="shared" si="1"/>
        <v>-0.002666799941</v>
      </c>
      <c r="D463" s="18">
        <v>-0.0024423436086324513</v>
      </c>
    </row>
    <row r="464" ht="15.75" customHeight="1">
      <c r="A464" s="3">
        <v>43770.0</v>
      </c>
      <c r="B464" s="17">
        <v>306.14</v>
      </c>
      <c r="C464" s="18">
        <f t="shared" si="1"/>
        <v>0.009221191892</v>
      </c>
      <c r="D464" s="18">
        <v>-0.0028074617163628066</v>
      </c>
    </row>
    <row r="465" ht="15.75" customHeight="1">
      <c r="A465" s="3">
        <v>43773.0</v>
      </c>
      <c r="B465" s="17">
        <v>307.37</v>
      </c>
      <c r="C465" s="18">
        <f t="shared" si="1"/>
        <v>0.004009719965</v>
      </c>
      <c r="D465" s="18">
        <v>0.007108106538131041</v>
      </c>
    </row>
    <row r="466" ht="15.75" customHeight="1">
      <c r="A466" s="3">
        <v>43774.0</v>
      </c>
      <c r="B466" s="17">
        <v>307.03</v>
      </c>
      <c r="C466" s="18">
        <f t="shared" si="1"/>
        <v>-0.001106770946</v>
      </c>
      <c r="D466" s="18">
        <v>6.531729403951136E-4</v>
      </c>
    </row>
    <row r="467" ht="15.75" customHeight="1">
      <c r="A467" s="3">
        <v>43775.0</v>
      </c>
      <c r="B467" s="17">
        <v>307.1</v>
      </c>
      <c r="C467" s="18">
        <f t="shared" si="1"/>
        <v>0.0002279647641</v>
      </c>
      <c r="D467" s="18">
        <v>0.0031199402573743847</v>
      </c>
    </row>
    <row r="468" ht="15.75" customHeight="1">
      <c r="A468" s="3">
        <v>43776.0</v>
      </c>
      <c r="B468" s="17">
        <v>308.18</v>
      </c>
      <c r="C468" s="18">
        <f t="shared" si="1"/>
        <v>0.003510600407</v>
      </c>
      <c r="D468" s="18">
        <v>-0.001676987207478433</v>
      </c>
    </row>
    <row r="469" ht="15.75" customHeight="1">
      <c r="A469" s="3">
        <v>43777.0</v>
      </c>
      <c r="B469" s="17">
        <v>308.94</v>
      </c>
      <c r="C469" s="18">
        <f t="shared" si="1"/>
        <v>0.002463055432</v>
      </c>
      <c r="D469" s="18">
        <v>-0.0034040803308277075</v>
      </c>
    </row>
    <row r="470" ht="15.75" customHeight="1">
      <c r="A470" s="3">
        <v>43780.0</v>
      </c>
      <c r="B470" s="17">
        <v>308.35</v>
      </c>
      <c r="C470" s="18">
        <f t="shared" si="1"/>
        <v>-0.001911581849</v>
      </c>
      <c r="D470" s="18">
        <v>0.0016977246755229488</v>
      </c>
    </row>
    <row r="471" ht="15.75" customHeight="1">
      <c r="A471" s="3">
        <v>43781.0</v>
      </c>
      <c r="B471" s="17">
        <v>309.0</v>
      </c>
      <c r="C471" s="18">
        <f t="shared" si="1"/>
        <v>0.00210577546</v>
      </c>
      <c r="D471" s="18">
        <v>-0.002488877451707382</v>
      </c>
    </row>
    <row r="472" ht="15.75" customHeight="1">
      <c r="A472" s="3">
        <v>43782.0</v>
      </c>
      <c r="B472" s="17">
        <v>309.1</v>
      </c>
      <c r="C472" s="18">
        <f t="shared" si="1"/>
        <v>0.0003235722403</v>
      </c>
      <c r="D472" s="18">
        <v>-0.0015271899518242774</v>
      </c>
    </row>
    <row r="473" ht="15.75" customHeight="1">
      <c r="A473" s="3">
        <v>43783.0</v>
      </c>
      <c r="B473" s="17">
        <v>309.55</v>
      </c>
      <c r="C473" s="18">
        <f t="shared" si="1"/>
        <v>0.001454780827</v>
      </c>
      <c r="D473" s="18">
        <v>0.0016246257197829934</v>
      </c>
    </row>
    <row r="474" ht="15.75" customHeight="1">
      <c r="A474" s="3">
        <v>43784.0</v>
      </c>
      <c r="B474" s="17">
        <v>311.79</v>
      </c>
      <c r="C474" s="18">
        <f t="shared" si="1"/>
        <v>0.007210254303</v>
      </c>
      <c r="D474" s="18">
        <v>-0.005768296680725557</v>
      </c>
    </row>
    <row r="475" ht="15.75" customHeight="1">
      <c r="A475" s="3">
        <v>43787.0</v>
      </c>
      <c r="B475" s="17">
        <v>312.02</v>
      </c>
      <c r="C475" s="18">
        <f t="shared" si="1"/>
        <v>0.0007374040507</v>
      </c>
      <c r="D475" s="18">
        <v>-0.0035629136333711967</v>
      </c>
    </row>
    <row r="476" ht="15.75" customHeight="1">
      <c r="A476" s="3">
        <v>43788.0</v>
      </c>
      <c r="B476" s="17">
        <v>311.93</v>
      </c>
      <c r="C476" s="18">
        <f t="shared" si="1"/>
        <v>-0.0002884846562</v>
      </c>
      <c r="D476" s="18">
        <v>8.146029503693565E-5</v>
      </c>
    </row>
    <row r="477" ht="15.75" customHeight="1">
      <c r="A477" s="3">
        <v>43789.0</v>
      </c>
      <c r="B477" s="17">
        <v>310.77</v>
      </c>
      <c r="C477" s="18">
        <f t="shared" si="1"/>
        <v>-0.003725714925</v>
      </c>
      <c r="D477" s="18">
        <v>0.0026363776075848926</v>
      </c>
    </row>
    <row r="478" ht="15.75" customHeight="1">
      <c r="A478" s="3">
        <v>43790.0</v>
      </c>
      <c r="B478" s="17">
        <v>310.27</v>
      </c>
      <c r="C478" s="18">
        <f t="shared" si="1"/>
        <v>-0.001610202589</v>
      </c>
      <c r="D478" s="18">
        <v>0.0035953848381419418</v>
      </c>
    </row>
    <row r="479" ht="15.75" customHeight="1">
      <c r="A479" s="3">
        <v>43791.0</v>
      </c>
      <c r="B479" s="17">
        <v>310.96</v>
      </c>
      <c r="C479" s="18">
        <f t="shared" si="1"/>
        <v>0.002221400395</v>
      </c>
      <c r="D479" s="18">
        <v>0.002987333966187428</v>
      </c>
    </row>
    <row r="480" ht="15.75" customHeight="1">
      <c r="A480" s="3">
        <v>43794.0</v>
      </c>
      <c r="B480" s="17">
        <v>313.37</v>
      </c>
      <c r="C480" s="18">
        <f t="shared" si="1"/>
        <v>0.007720314482</v>
      </c>
      <c r="D480" s="18">
        <v>0.0018236633213236971</v>
      </c>
    </row>
    <row r="481" ht="15.75" customHeight="1">
      <c r="A481" s="3">
        <v>43795.0</v>
      </c>
      <c r="B481" s="17">
        <v>314.08</v>
      </c>
      <c r="C481" s="18">
        <f t="shared" si="1"/>
        <v>0.002263129502</v>
      </c>
      <c r="D481" s="18">
        <v>0.004797382230205051</v>
      </c>
    </row>
    <row r="482" ht="15.75" customHeight="1">
      <c r="A482" s="3">
        <v>43796.0</v>
      </c>
      <c r="B482" s="17">
        <v>315.48</v>
      </c>
      <c r="C482" s="18">
        <f t="shared" si="1"/>
        <v>0.004447558002</v>
      </c>
      <c r="D482" s="18">
        <v>-0.0013112889471904594</v>
      </c>
    </row>
    <row r="483" ht="15.75" customHeight="1">
      <c r="A483" s="3">
        <v>43798.0</v>
      </c>
      <c r="B483" s="17">
        <v>314.31</v>
      </c>
      <c r="C483" s="18">
        <f t="shared" si="1"/>
        <v>-0.003715528497</v>
      </c>
      <c r="D483" s="18">
        <v>0.007865018036635599</v>
      </c>
    </row>
    <row r="484" ht="15.75" customHeight="1">
      <c r="A484" s="3">
        <v>43801.0</v>
      </c>
      <c r="B484" s="17">
        <v>311.64</v>
      </c>
      <c r="C484" s="18">
        <f t="shared" si="1"/>
        <v>-0.00853108457</v>
      </c>
      <c r="D484" s="18">
        <v>0.005998740450164469</v>
      </c>
    </row>
    <row r="485" ht="15.75" customHeight="1">
      <c r="A485" s="3">
        <v>43802.0</v>
      </c>
      <c r="B485" s="17">
        <v>309.55</v>
      </c>
      <c r="C485" s="18">
        <f t="shared" si="1"/>
        <v>-0.006729045497</v>
      </c>
      <c r="D485" s="18">
        <v>0.009896501077267136</v>
      </c>
    </row>
    <row r="486" ht="15.75" customHeight="1">
      <c r="A486" s="3">
        <v>43803.0</v>
      </c>
      <c r="B486" s="17">
        <v>311.46</v>
      </c>
      <c r="C486" s="18">
        <f t="shared" si="1"/>
        <v>0.006151289102</v>
      </c>
      <c r="D486" s="18">
        <v>-0.00382610536805041</v>
      </c>
    </row>
    <row r="487" ht="15.75" customHeight="1">
      <c r="A487" s="3">
        <v>43804.0</v>
      </c>
      <c r="B487" s="17">
        <v>312.02</v>
      </c>
      <c r="C487" s="18">
        <f t="shared" si="1"/>
        <v>0.001796369252</v>
      </c>
      <c r="D487" s="18">
        <v>-0.0010379870266416951</v>
      </c>
    </row>
    <row r="488" ht="15.75" customHeight="1">
      <c r="A488" s="3">
        <v>43805.0</v>
      </c>
      <c r="B488" s="17">
        <v>314.87</v>
      </c>
      <c r="C488" s="18">
        <f t="shared" si="1"/>
        <v>0.00909256691</v>
      </c>
      <c r="D488" s="18">
        <v>0.0012478211942837326</v>
      </c>
    </row>
    <row r="489" ht="15.75" customHeight="1">
      <c r="A489" s="3">
        <v>43808.0</v>
      </c>
      <c r="B489" s="17">
        <v>313.88</v>
      </c>
      <c r="C489" s="18">
        <f t="shared" si="1"/>
        <v>-0.00314910797</v>
      </c>
      <c r="D489" s="18">
        <v>-0.0020008307983292437</v>
      </c>
    </row>
    <row r="490" ht="15.75" customHeight="1">
      <c r="A490" s="3">
        <v>43809.0</v>
      </c>
      <c r="B490" s="17">
        <v>313.53</v>
      </c>
      <c r="C490" s="18">
        <f t="shared" si="1"/>
        <v>-0.001115697985</v>
      </c>
      <c r="D490" s="18">
        <v>0.004852368075490024</v>
      </c>
    </row>
    <row r="491" ht="15.75" customHeight="1">
      <c r="A491" s="3">
        <v>43810.0</v>
      </c>
      <c r="B491" s="17">
        <v>314.42</v>
      </c>
      <c r="C491" s="18">
        <f t="shared" si="1"/>
        <v>0.002834622489</v>
      </c>
      <c r="D491" s="18">
        <v>-0.0016751199825881915</v>
      </c>
    </row>
    <row r="492" ht="15.75" customHeight="1">
      <c r="A492" s="3">
        <v>43811.0</v>
      </c>
      <c r="B492" s="17">
        <v>317.13</v>
      </c>
      <c r="C492" s="18">
        <f t="shared" si="1"/>
        <v>0.008582112685</v>
      </c>
      <c r="D492" s="18">
        <v>0.0022848116679705707</v>
      </c>
    </row>
    <row r="493" ht="15.75" customHeight="1">
      <c r="A493" s="3">
        <v>43812.0</v>
      </c>
      <c r="B493" s="17">
        <v>317.32</v>
      </c>
      <c r="C493" s="18">
        <f t="shared" si="1"/>
        <v>0.0005989439851</v>
      </c>
      <c r="D493" s="18">
        <v>0.0071715248381264245</v>
      </c>
    </row>
    <row r="494" ht="15.75" customHeight="1">
      <c r="A494" s="3">
        <v>43815.0</v>
      </c>
      <c r="B494" s="17">
        <v>319.5</v>
      </c>
      <c r="C494" s="18">
        <f t="shared" si="1"/>
        <v>0.006846545384</v>
      </c>
      <c r="D494" s="18">
        <v>0.002435563286436409</v>
      </c>
    </row>
    <row r="495" ht="15.75" customHeight="1">
      <c r="A495" s="3">
        <v>43816.0</v>
      </c>
      <c r="B495" s="17">
        <v>319.57</v>
      </c>
      <c r="C495" s="18">
        <f t="shared" si="1"/>
        <v>0.0002190683345</v>
      </c>
      <c r="D495" s="18">
        <v>0.009238200126156846</v>
      </c>
    </row>
    <row r="496" ht="15.75" customHeight="1">
      <c r="A496" s="3">
        <v>43817.0</v>
      </c>
      <c r="B496" s="17">
        <v>319.59</v>
      </c>
      <c r="C496" s="18">
        <f t="shared" si="1"/>
        <v>0.00006258213908</v>
      </c>
      <c r="D496" s="18">
        <v>-0.015311514247330665</v>
      </c>
    </row>
    <row r="497" ht="15.75" customHeight="1">
      <c r="A497" s="3">
        <v>43818.0</v>
      </c>
      <c r="B497" s="17">
        <v>320.9</v>
      </c>
      <c r="C497" s="18">
        <f t="shared" si="1"/>
        <v>0.004090623825</v>
      </c>
      <c r="D497" s="18">
        <v>-2.425825399552479E-5</v>
      </c>
    </row>
    <row r="498" ht="15.75" customHeight="1">
      <c r="A498" s="3">
        <v>43819.0</v>
      </c>
      <c r="B498" s="17">
        <v>320.73</v>
      </c>
      <c r="C498" s="18">
        <f t="shared" si="1"/>
        <v>-0.0005299004223</v>
      </c>
      <c r="D498" s="18">
        <v>-0.014577043535186818</v>
      </c>
    </row>
    <row r="499" ht="15.75" customHeight="1">
      <c r="A499" s="3">
        <v>43822.0</v>
      </c>
      <c r="B499" s="17">
        <v>321.22</v>
      </c>
      <c r="C499" s="18">
        <f t="shared" si="1"/>
        <v>0.001526598941</v>
      </c>
      <c r="D499" s="18">
        <v>0.02729377868530905</v>
      </c>
    </row>
    <row r="500" ht="15.75" customHeight="1">
      <c r="A500" s="3">
        <v>43823.0</v>
      </c>
      <c r="B500" s="17">
        <v>321.23</v>
      </c>
      <c r="C500" s="18">
        <f t="shared" si="1"/>
        <v>0.0000311308273</v>
      </c>
      <c r="D500" s="18">
        <v>-0.007548282136552092</v>
      </c>
    </row>
    <row r="501" ht="15.75" customHeight="1">
      <c r="A501" s="3">
        <v>43825.0</v>
      </c>
      <c r="B501" s="17">
        <v>322.94</v>
      </c>
      <c r="C501" s="18">
        <f t="shared" si="1"/>
        <v>0.005309169991</v>
      </c>
      <c r="D501" s="18">
        <v>-3.7958039806475127E-4</v>
      </c>
    </row>
    <row r="502" ht="15.75" customHeight="1">
      <c r="A502" s="3">
        <v>43826.0</v>
      </c>
      <c r="B502" s="17">
        <v>322.86</v>
      </c>
      <c r="C502" s="18">
        <f t="shared" si="1"/>
        <v>-0.0002477547241</v>
      </c>
      <c r="D502" s="18">
        <v>8.605638073242799E-4</v>
      </c>
    </row>
    <row r="503" ht="15.75" customHeight="1">
      <c r="A503" s="3">
        <v>43829.0</v>
      </c>
      <c r="B503" s="17">
        <v>321.08</v>
      </c>
      <c r="C503" s="18">
        <f t="shared" si="1"/>
        <v>-0.005528479466</v>
      </c>
      <c r="D503" s="18">
        <v>0.006593735951666428</v>
      </c>
    </row>
    <row r="504" ht="15.75" customHeight="1">
      <c r="A504" s="3">
        <v>43830.0</v>
      </c>
      <c r="B504" s="17">
        <v>321.86</v>
      </c>
      <c r="C504" s="18">
        <f t="shared" si="1"/>
        <v>0.002426355127</v>
      </c>
      <c r="D504" s="18">
        <v>5.695632555283418E-4</v>
      </c>
    </row>
    <row r="505" ht="15.75" customHeight="1">
      <c r="A505" s="3">
        <v>43832.0</v>
      </c>
      <c r="B505" s="17">
        <v>324.87</v>
      </c>
      <c r="C505" s="18">
        <f t="shared" si="1"/>
        <v>0.009308433918</v>
      </c>
      <c r="D505" s="18">
        <v>0.013285328264629323</v>
      </c>
    </row>
    <row r="506" ht="15.75" customHeight="1">
      <c r="A506" s="3">
        <v>43833.0</v>
      </c>
      <c r="B506" s="17">
        <v>322.41</v>
      </c>
      <c r="C506" s="18">
        <f t="shared" si="1"/>
        <v>-0.007601074787</v>
      </c>
      <c r="D506" s="18">
        <v>0.003200889200164807</v>
      </c>
    </row>
    <row r="507" ht="15.75" customHeight="1">
      <c r="A507" s="3">
        <v>43836.0</v>
      </c>
      <c r="B507" s="17">
        <v>323.64</v>
      </c>
      <c r="C507" s="18">
        <f t="shared" si="1"/>
        <v>0.003807759418</v>
      </c>
      <c r="D507" s="18">
        <v>-0.004248322485595948</v>
      </c>
    </row>
    <row r="508" ht="15.75" customHeight="1">
      <c r="A508" s="3">
        <v>43837.0</v>
      </c>
      <c r="B508" s="17">
        <v>322.73</v>
      </c>
      <c r="C508" s="18">
        <f t="shared" si="1"/>
        <v>-0.0028157266</v>
      </c>
      <c r="D508" s="18">
        <v>-0.00742206933987644</v>
      </c>
    </row>
    <row r="509" ht="15.75" customHeight="1">
      <c r="A509" s="3">
        <v>43838.0</v>
      </c>
      <c r="B509" s="17">
        <v>324.45</v>
      </c>
      <c r="C509" s="18">
        <f t="shared" si="1"/>
        <v>0.005315380728</v>
      </c>
      <c r="D509" s="18">
        <v>1.307619739250622E-4</v>
      </c>
    </row>
    <row r="510" ht="15.75" customHeight="1">
      <c r="A510" s="3">
        <v>43839.0</v>
      </c>
      <c r="B510" s="17">
        <v>326.65</v>
      </c>
      <c r="C510" s="18">
        <f t="shared" si="1"/>
        <v>0.00675782022</v>
      </c>
      <c r="D510" s="18">
        <v>0.0051161682882190475</v>
      </c>
    </row>
    <row r="511" ht="15.75" customHeight="1">
      <c r="A511" s="3">
        <v>43840.0</v>
      </c>
      <c r="B511" s="17">
        <v>325.71</v>
      </c>
      <c r="C511" s="18">
        <f t="shared" si="1"/>
        <v>-0.002881846375</v>
      </c>
      <c r="D511" s="18">
        <v>0.006706942341158157</v>
      </c>
    </row>
    <row r="512" ht="15.75" customHeight="1">
      <c r="A512" s="3">
        <v>43843.0</v>
      </c>
      <c r="B512" s="17">
        <v>327.95</v>
      </c>
      <c r="C512" s="18">
        <f t="shared" si="1"/>
        <v>0.006853742828</v>
      </c>
      <c r="D512" s="18">
        <v>-0.004074198276186648</v>
      </c>
    </row>
    <row r="513" ht="15.75" customHeight="1">
      <c r="A513" s="3">
        <v>43844.0</v>
      </c>
      <c r="B513" s="17">
        <v>327.45</v>
      </c>
      <c r="C513" s="18">
        <f t="shared" si="1"/>
        <v>-0.001525786076</v>
      </c>
      <c r="D513" s="18">
        <v>8.993250052914169E-4</v>
      </c>
    </row>
    <row r="514" ht="15.75" customHeight="1">
      <c r="A514" s="3">
        <v>43845.0</v>
      </c>
      <c r="B514" s="17">
        <v>328.19</v>
      </c>
      <c r="C514" s="18">
        <f t="shared" si="1"/>
        <v>0.002257337302</v>
      </c>
      <c r="D514" s="18">
        <v>1.028746856137326E-4</v>
      </c>
    </row>
    <row r="515" ht="15.75" customHeight="1">
      <c r="A515" s="3">
        <v>43846.0</v>
      </c>
      <c r="B515" s="17">
        <v>330.92</v>
      </c>
      <c r="C515" s="18">
        <f t="shared" si="1"/>
        <v>0.008283945356</v>
      </c>
      <c r="D515" s="18">
        <v>-0.0035828527009245355</v>
      </c>
    </row>
    <row r="516" ht="15.75" customHeight="1">
      <c r="A516" s="3">
        <v>43847.0</v>
      </c>
      <c r="B516" s="17">
        <v>331.95</v>
      </c>
      <c r="C516" s="18">
        <f t="shared" si="1"/>
        <v>0.003107700843</v>
      </c>
      <c r="D516" s="18">
        <v>5.131329803176948E-4</v>
      </c>
    </row>
    <row r="517" ht="15.75" customHeight="1">
      <c r="A517" s="3">
        <v>43851.0</v>
      </c>
      <c r="B517" s="17">
        <v>331.3</v>
      </c>
      <c r="C517" s="18">
        <f t="shared" si="1"/>
        <v>-0.001960045859</v>
      </c>
      <c r="D517" s="18">
        <v>-0.0021081063892617277</v>
      </c>
    </row>
    <row r="518" ht="15.75" customHeight="1">
      <c r="A518" s="3">
        <v>43852.0</v>
      </c>
      <c r="B518" s="17">
        <v>331.34</v>
      </c>
      <c r="C518" s="18">
        <f t="shared" si="1"/>
        <v>0.0001207292045</v>
      </c>
      <c r="D518" s="18">
        <v>-0.0015289987444131385</v>
      </c>
    </row>
    <row r="519" ht="15.75" customHeight="1">
      <c r="A519" s="3">
        <v>43853.0</v>
      </c>
      <c r="B519" s="17">
        <v>331.72</v>
      </c>
      <c r="C519" s="18">
        <f t="shared" si="1"/>
        <v>0.001146201073</v>
      </c>
      <c r="D519" s="18">
        <v>-0.003191788243625437</v>
      </c>
    </row>
    <row r="520" ht="15.75" customHeight="1">
      <c r="A520" s="3">
        <v>43854.0</v>
      </c>
      <c r="B520" s="17">
        <v>328.77</v>
      </c>
      <c r="C520" s="18">
        <f t="shared" si="1"/>
        <v>-0.00893282144</v>
      </c>
      <c r="D520" s="18">
        <v>0.005442066838038691</v>
      </c>
    </row>
    <row r="521" ht="15.75" customHeight="1">
      <c r="A521" s="3">
        <v>43857.0</v>
      </c>
      <c r="B521" s="17">
        <v>323.5</v>
      </c>
      <c r="C521" s="18">
        <f t="shared" si="1"/>
        <v>-0.0161593042</v>
      </c>
      <c r="D521" s="18">
        <v>9.853957874600917E-4</v>
      </c>
    </row>
    <row r="522" ht="15.75" customHeight="1">
      <c r="A522" s="3">
        <v>43858.0</v>
      </c>
      <c r="B522" s="17">
        <v>326.89</v>
      </c>
      <c r="C522" s="18">
        <f t="shared" si="1"/>
        <v>0.01042460893</v>
      </c>
      <c r="D522" s="18">
        <v>-0.0013358779328297523</v>
      </c>
    </row>
    <row r="523" ht="15.75" customHeight="1">
      <c r="A523" s="3">
        <v>43859.0</v>
      </c>
      <c r="B523" s="17">
        <v>326.62</v>
      </c>
      <c r="C523" s="18">
        <f t="shared" si="1"/>
        <v>-0.0008263072191</v>
      </c>
      <c r="D523" s="18">
        <v>3.4276560800605585E-4</v>
      </c>
    </row>
    <row r="524" ht="15.75" customHeight="1">
      <c r="A524" s="3">
        <v>43860.0</v>
      </c>
      <c r="B524" s="17">
        <v>327.68</v>
      </c>
      <c r="C524" s="18">
        <f t="shared" si="1"/>
        <v>0.003240106762</v>
      </c>
      <c r="D524" s="18">
        <v>0.002639409229504181</v>
      </c>
    </row>
    <row r="525" ht="15.75" customHeight="1">
      <c r="A525" s="3">
        <v>43861.0</v>
      </c>
      <c r="B525" s="17">
        <v>321.73</v>
      </c>
      <c r="C525" s="18">
        <f t="shared" si="1"/>
        <v>-0.01832483793</v>
      </c>
      <c r="D525" s="18">
        <v>0.0012774216579831059</v>
      </c>
    </row>
    <row r="526" ht="15.75" customHeight="1">
      <c r="A526" s="3">
        <v>43864.0</v>
      </c>
      <c r="B526" s="17">
        <v>324.12</v>
      </c>
      <c r="C526" s="18">
        <f t="shared" si="1"/>
        <v>0.00740113311</v>
      </c>
      <c r="D526" s="18">
        <v>0.016922300762850458</v>
      </c>
    </row>
    <row r="527" ht="15.75" customHeight="1">
      <c r="A527" s="3">
        <v>43865.0</v>
      </c>
      <c r="B527" s="17">
        <v>329.06</v>
      </c>
      <c r="C527" s="18">
        <f t="shared" si="1"/>
        <v>0.01512628737</v>
      </c>
      <c r="D527" s="18">
        <v>-0.009450577467966638</v>
      </c>
    </row>
    <row r="528" ht="15.75" customHeight="1">
      <c r="A528" s="3">
        <v>43866.0</v>
      </c>
      <c r="B528" s="17">
        <v>332.86</v>
      </c>
      <c r="C528" s="18">
        <f t="shared" si="1"/>
        <v>0.0114818762</v>
      </c>
      <c r="D528" s="18">
        <v>0.018893412507762348</v>
      </c>
    </row>
    <row r="529" ht="15.75" customHeight="1">
      <c r="A529" s="3">
        <v>43867.0</v>
      </c>
      <c r="B529" s="17">
        <v>333.98</v>
      </c>
      <c r="C529" s="18">
        <f t="shared" si="1"/>
        <v>0.003359129786</v>
      </c>
      <c r="D529" s="18">
        <v>0.006934232732533414</v>
      </c>
    </row>
    <row r="530" ht="15.75" customHeight="1">
      <c r="A530" s="3">
        <v>43868.0</v>
      </c>
      <c r="B530" s="17">
        <v>332.2</v>
      </c>
      <c r="C530" s="18">
        <f t="shared" si="1"/>
        <v>-0.005343913765</v>
      </c>
      <c r="D530" s="18">
        <v>-0.001195008989523502</v>
      </c>
    </row>
    <row r="531" ht="15.75" customHeight="1">
      <c r="A531" s="3">
        <v>43871.0</v>
      </c>
      <c r="B531" s="17">
        <v>334.68</v>
      </c>
      <c r="C531" s="18">
        <f t="shared" si="1"/>
        <v>0.007437654248</v>
      </c>
      <c r="D531" s="18">
        <v>4.943175311495403E-4</v>
      </c>
    </row>
    <row r="532" ht="15.75" customHeight="1">
      <c r="A532" s="3">
        <v>43872.0</v>
      </c>
      <c r="B532" s="17">
        <v>335.26</v>
      </c>
      <c r="C532" s="18">
        <f t="shared" si="1"/>
        <v>0.001731498776</v>
      </c>
      <c r="D532" s="18">
        <v>9.497852927276097E-4</v>
      </c>
    </row>
    <row r="533" ht="15.75" customHeight="1">
      <c r="A533" s="3">
        <v>43873.0</v>
      </c>
      <c r="B533" s="17">
        <v>337.42</v>
      </c>
      <c r="C533" s="18">
        <f t="shared" si="1"/>
        <v>0.006422094975</v>
      </c>
      <c r="D533" s="18">
        <v>0.00593686245063112</v>
      </c>
    </row>
    <row r="534" ht="15.75" customHeight="1">
      <c r="A534" s="3">
        <v>43874.0</v>
      </c>
      <c r="B534" s="17">
        <v>337.06</v>
      </c>
      <c r="C534" s="18">
        <f t="shared" si="1"/>
        <v>-0.00106748913</v>
      </c>
      <c r="D534" s="18">
        <v>1.0237988211357143E-4</v>
      </c>
    </row>
    <row r="535" ht="15.75" customHeight="1">
      <c r="A535" s="3">
        <v>43875.0</v>
      </c>
      <c r="B535" s="17">
        <v>337.6</v>
      </c>
      <c r="C535" s="18">
        <f t="shared" si="1"/>
        <v>0.001600806674</v>
      </c>
      <c r="D535" s="18">
        <v>-0.004153231421649391</v>
      </c>
    </row>
    <row r="536" ht="15.75" customHeight="1">
      <c r="A536" s="3">
        <v>43879.0</v>
      </c>
      <c r="B536" s="17">
        <v>336.73</v>
      </c>
      <c r="C536" s="18">
        <f t="shared" si="1"/>
        <v>-0.002580340435</v>
      </c>
      <c r="D536" s="18">
        <v>-3.241088718557564E-5</v>
      </c>
    </row>
    <row r="537" ht="15.75" customHeight="1">
      <c r="A537" s="3">
        <v>43880.0</v>
      </c>
      <c r="B537" s="17">
        <v>338.34</v>
      </c>
      <c r="C537" s="18">
        <f t="shared" si="1"/>
        <v>0.00476988476</v>
      </c>
      <c r="D537" s="18">
        <v>-0.005509719993858411</v>
      </c>
    </row>
    <row r="538" ht="15.75" customHeight="1">
      <c r="A538" s="3">
        <v>43881.0</v>
      </c>
      <c r="B538" s="17">
        <v>336.95</v>
      </c>
      <c r="C538" s="18">
        <f t="shared" si="1"/>
        <v>-0.004116755655</v>
      </c>
      <c r="D538" s="18">
        <v>0.0010779159948090037</v>
      </c>
    </row>
    <row r="539" ht="15.75" customHeight="1">
      <c r="A539" s="3">
        <v>43882.0</v>
      </c>
      <c r="B539" s="17">
        <v>333.48</v>
      </c>
      <c r="C539" s="18">
        <f t="shared" si="1"/>
        <v>-0.01035165785</v>
      </c>
      <c r="D539" s="18">
        <v>5.656153958003406E-4</v>
      </c>
    </row>
    <row r="540" ht="15.75" customHeight="1">
      <c r="A540" s="3">
        <v>43885.0</v>
      </c>
      <c r="B540" s="17">
        <v>322.42</v>
      </c>
      <c r="C540" s="18">
        <f t="shared" si="1"/>
        <v>-0.03372785009</v>
      </c>
      <c r="D540" s="18">
        <v>-0.012653935032672432</v>
      </c>
    </row>
    <row r="541" ht="15.75" customHeight="1">
      <c r="A541" s="3">
        <v>43886.0</v>
      </c>
      <c r="B541" s="17">
        <v>312.65</v>
      </c>
      <c r="C541" s="18">
        <f t="shared" si="1"/>
        <v>-0.03077068943</v>
      </c>
      <c r="D541" s="18">
        <v>-0.008021606002987016</v>
      </c>
    </row>
    <row r="542" ht="15.75" customHeight="1">
      <c r="A542" s="3">
        <v>43887.0</v>
      </c>
      <c r="B542" s="17">
        <v>311.5</v>
      </c>
      <c r="C542" s="18">
        <f t="shared" si="1"/>
        <v>-0.003685015786</v>
      </c>
      <c r="D542" s="18">
        <v>-0.016990329862982195</v>
      </c>
    </row>
    <row r="543" ht="15.75" customHeight="1">
      <c r="A543" s="3">
        <v>43888.0</v>
      </c>
      <c r="B543" s="17">
        <v>297.51</v>
      </c>
      <c r="C543" s="18">
        <f t="shared" si="1"/>
        <v>-0.04595150036</v>
      </c>
      <c r="D543" s="18">
        <v>-0.010251903598614612</v>
      </c>
    </row>
    <row r="544" ht="15.75" customHeight="1">
      <c r="A544" s="3">
        <v>43889.0</v>
      </c>
      <c r="B544" s="17">
        <v>296.26</v>
      </c>
      <c r="C544" s="18">
        <f t="shared" si="1"/>
        <v>-0.004210390712</v>
      </c>
      <c r="D544" s="18">
        <v>-0.0037459980627667137</v>
      </c>
    </row>
    <row r="545" ht="15.75" customHeight="1">
      <c r="A545" s="3">
        <v>43892.0</v>
      </c>
      <c r="B545" s="17">
        <v>309.09</v>
      </c>
      <c r="C545" s="18">
        <f t="shared" si="1"/>
        <v>0.04239504947</v>
      </c>
      <c r="D545" s="18">
        <v>-0.010825164743910147</v>
      </c>
    </row>
    <row r="546" ht="15.75" customHeight="1">
      <c r="A546" s="3">
        <v>43893.0</v>
      </c>
      <c r="B546" s="17">
        <v>300.24</v>
      </c>
      <c r="C546" s="18">
        <f t="shared" si="1"/>
        <v>-0.0290503418</v>
      </c>
      <c r="D546" s="18">
        <v>0.009736254309733423</v>
      </c>
    </row>
    <row r="547" ht="15.75" customHeight="1">
      <c r="A547" s="3">
        <v>43894.0</v>
      </c>
      <c r="B547" s="17">
        <v>312.86</v>
      </c>
      <c r="C547" s="18">
        <f t="shared" si="1"/>
        <v>0.04117365131</v>
      </c>
      <c r="D547" s="18">
        <v>0.015013316569077437</v>
      </c>
    </row>
    <row r="548" ht="15.75" customHeight="1">
      <c r="A548" s="3">
        <v>43895.0</v>
      </c>
      <c r="B548" s="17">
        <v>302.46</v>
      </c>
      <c r="C548" s="18">
        <f t="shared" si="1"/>
        <v>-0.03380676881</v>
      </c>
      <c r="D548" s="18">
        <v>0.0015039076248896093</v>
      </c>
    </row>
    <row r="549" ht="15.75" customHeight="1">
      <c r="A549" s="3">
        <v>43896.0</v>
      </c>
      <c r="B549" s="17">
        <v>297.46</v>
      </c>
      <c r="C549" s="18">
        <f t="shared" si="1"/>
        <v>-0.01666927516</v>
      </c>
      <c r="D549" s="18">
        <v>-0.0013080562159219276</v>
      </c>
    </row>
    <row r="550" ht="15.75" customHeight="1">
      <c r="A550" s="3">
        <v>43899.0</v>
      </c>
      <c r="B550" s="17">
        <v>274.23</v>
      </c>
      <c r="C550" s="18">
        <f t="shared" si="1"/>
        <v>-0.08131259183</v>
      </c>
      <c r="D550" s="18">
        <v>-0.006505047754650981</v>
      </c>
    </row>
    <row r="551" ht="15.75" customHeight="1">
      <c r="A551" s="3">
        <v>43900.0</v>
      </c>
      <c r="B551" s="17">
        <v>288.42</v>
      </c>
      <c r="C551" s="18">
        <f t="shared" si="1"/>
        <v>0.0504505808</v>
      </c>
      <c r="D551" s="18">
        <v>0.006799431680668907</v>
      </c>
    </row>
    <row r="552" ht="15.75" customHeight="1">
      <c r="A552" s="3">
        <v>43901.0</v>
      </c>
      <c r="B552" s="17">
        <v>274.36</v>
      </c>
      <c r="C552" s="18">
        <f t="shared" si="1"/>
        <v>-0.0499766385</v>
      </c>
      <c r="D552" s="18">
        <v>0.006285324517114267</v>
      </c>
    </row>
    <row r="553" ht="15.75" customHeight="1">
      <c r="A553" s="3">
        <v>43902.0</v>
      </c>
      <c r="B553" s="17">
        <v>248.11</v>
      </c>
      <c r="C553" s="18">
        <f t="shared" si="1"/>
        <v>-0.1005689164</v>
      </c>
      <c r="D553" s="18">
        <v>0.011240542213154202</v>
      </c>
    </row>
    <row r="554" ht="15.75" customHeight="1">
      <c r="A554" s="3">
        <v>43903.0</v>
      </c>
      <c r="B554" s="17">
        <v>269.32</v>
      </c>
      <c r="C554" s="18">
        <f t="shared" si="1"/>
        <v>0.08202806746</v>
      </c>
      <c r="D554" s="18">
        <v>0.013957827167652464</v>
      </c>
    </row>
    <row r="555" ht="15.75" customHeight="1">
      <c r="A555" s="3">
        <v>43906.0</v>
      </c>
      <c r="B555" s="17">
        <v>239.85</v>
      </c>
      <c r="C555" s="18">
        <f t="shared" si="1"/>
        <v>-0.1158865357</v>
      </c>
      <c r="D555" s="18">
        <v>0.0015232106566233602</v>
      </c>
    </row>
    <row r="556" ht="15.75" customHeight="1">
      <c r="A556" s="3">
        <v>43907.0</v>
      </c>
      <c r="B556" s="17">
        <v>252.8</v>
      </c>
      <c r="C556" s="18">
        <f t="shared" si="1"/>
        <v>0.05258493432</v>
      </c>
      <c r="D556" s="18">
        <v>0.021118247942403953</v>
      </c>
    </row>
    <row r="557" ht="15.75" customHeight="1">
      <c r="A557" s="3">
        <v>43908.0</v>
      </c>
      <c r="B557" s="17">
        <v>240.0</v>
      </c>
      <c r="C557" s="18">
        <f t="shared" si="1"/>
        <v>-0.05195973893</v>
      </c>
      <c r="D557" s="18">
        <v>-0.030356771651914687</v>
      </c>
    </row>
    <row r="558" ht="15.75" customHeight="1">
      <c r="A558" s="3">
        <v>43909.0</v>
      </c>
      <c r="B558" s="17">
        <v>240.51</v>
      </c>
      <c r="C558" s="18">
        <f t="shared" si="1"/>
        <v>0.002122745381</v>
      </c>
      <c r="D558" s="18">
        <v>0.0015784020720178776</v>
      </c>
    </row>
    <row r="559" ht="15.75" customHeight="1">
      <c r="A559" s="3">
        <v>43910.0</v>
      </c>
      <c r="B559" s="17">
        <v>228.8</v>
      </c>
      <c r="C559" s="18">
        <f t="shared" si="1"/>
        <v>-0.04991340922</v>
      </c>
      <c r="D559" s="18">
        <v>-0.012010297275073184</v>
      </c>
    </row>
    <row r="560" ht="15.75" customHeight="1">
      <c r="A560" s="3">
        <v>43913.0</v>
      </c>
      <c r="B560" s="17">
        <v>222.95</v>
      </c>
      <c r="C560" s="18">
        <f t="shared" si="1"/>
        <v>-0.02590072843</v>
      </c>
      <c r="D560" s="18">
        <v>0.012957495387208919</v>
      </c>
    </row>
    <row r="561" ht="15.75" customHeight="1">
      <c r="A561" s="3">
        <v>43914.0</v>
      </c>
      <c r="B561" s="17">
        <v>243.15</v>
      </c>
      <c r="C561" s="18">
        <f t="shared" si="1"/>
        <v>0.08673100578</v>
      </c>
      <c r="D561" s="18">
        <v>-0.013748242621371694</v>
      </c>
    </row>
    <row r="562" ht="15.75" customHeight="1">
      <c r="A562" s="3">
        <v>43915.0</v>
      </c>
      <c r="B562" s="17">
        <v>246.79</v>
      </c>
      <c r="C562" s="18">
        <f t="shared" si="1"/>
        <v>0.01485923572</v>
      </c>
      <c r="D562" s="18">
        <v>0.004285320648897662</v>
      </c>
    </row>
    <row r="563" ht="15.75" customHeight="1">
      <c r="A563" s="3">
        <v>43916.0</v>
      </c>
      <c r="B563" s="17">
        <v>261.2</v>
      </c>
      <c r="C563" s="18">
        <f t="shared" si="1"/>
        <v>0.05674862483</v>
      </c>
      <c r="D563" s="18">
        <v>6.209206186925507E-4</v>
      </c>
    </row>
    <row r="564" ht="15.75" customHeight="1">
      <c r="A564" s="3">
        <v>43917.0</v>
      </c>
      <c r="B564" s="17">
        <v>253.42</v>
      </c>
      <c r="C564" s="18">
        <f t="shared" si="1"/>
        <v>-0.03023820603</v>
      </c>
      <c r="D564" s="18">
        <v>5.384012043383584E-4</v>
      </c>
    </row>
    <row r="565" ht="15.75" customHeight="1">
      <c r="A565" s="3">
        <v>43920.0</v>
      </c>
      <c r="B565" s="17">
        <v>261.65</v>
      </c>
      <c r="C565" s="18">
        <f t="shared" si="1"/>
        <v>0.03195954145</v>
      </c>
      <c r="D565" s="18">
        <v>-0.0026311291278668346</v>
      </c>
    </row>
    <row r="566" ht="15.75" customHeight="1">
      <c r="A566" s="3">
        <v>43921.0</v>
      </c>
      <c r="B566" s="17">
        <v>257.75</v>
      </c>
      <c r="C566" s="18">
        <f t="shared" si="1"/>
        <v>-0.01501760992</v>
      </c>
      <c r="D566" s="18">
        <v>0.0030606747397556463</v>
      </c>
    </row>
    <row r="567" ht="15.75" customHeight="1">
      <c r="A567" s="3">
        <v>43922.0</v>
      </c>
      <c r="B567" s="17">
        <v>246.15</v>
      </c>
      <c r="C567" s="18">
        <f t="shared" si="1"/>
        <v>-0.04604901669</v>
      </c>
      <c r="D567" s="18">
        <v>-0.005794365888446467</v>
      </c>
    </row>
    <row r="568" ht="15.75" customHeight="1">
      <c r="A568" s="3">
        <v>43923.0</v>
      </c>
      <c r="B568" s="17">
        <v>251.83</v>
      </c>
      <c r="C568" s="18">
        <f t="shared" si="1"/>
        <v>0.02281315049</v>
      </c>
      <c r="D568" s="18">
        <v>-0.01129632240687341</v>
      </c>
    </row>
    <row r="569" ht="15.75" customHeight="1">
      <c r="A569" s="3">
        <v>43924.0</v>
      </c>
      <c r="B569" s="17">
        <v>248.19</v>
      </c>
      <c r="C569" s="18">
        <f t="shared" si="1"/>
        <v>-0.01455967482</v>
      </c>
      <c r="D569" s="18">
        <v>0.016155346281062678</v>
      </c>
    </row>
    <row r="570" ht="15.75" customHeight="1">
      <c r="A570" s="3">
        <v>43927.0</v>
      </c>
      <c r="B570" s="17">
        <v>264.86</v>
      </c>
      <c r="C570" s="18">
        <f t="shared" si="1"/>
        <v>0.06500680263</v>
      </c>
      <c r="D570" s="18">
        <v>0.0019976142737633453</v>
      </c>
    </row>
    <row r="571" ht="15.75" customHeight="1">
      <c r="A571" s="3">
        <v>43928.0</v>
      </c>
      <c r="B571" s="17">
        <v>265.13</v>
      </c>
      <c r="C571" s="18">
        <f t="shared" si="1"/>
        <v>0.001018887237</v>
      </c>
      <c r="D571" s="18">
        <v>0.011136956642277478</v>
      </c>
    </row>
    <row r="572" ht="15.75" customHeight="1">
      <c r="A572" s="3">
        <v>43929.0</v>
      </c>
      <c r="B572" s="17">
        <v>274.03</v>
      </c>
      <c r="C572" s="18">
        <f t="shared" si="1"/>
        <v>0.03301731771</v>
      </c>
      <c r="D572" s="18">
        <v>0.004060354867581325</v>
      </c>
    </row>
    <row r="573" ht="15.75" customHeight="1">
      <c r="A573" s="3">
        <v>43930.0</v>
      </c>
      <c r="B573" s="17">
        <v>278.2</v>
      </c>
      <c r="C573" s="18">
        <f t="shared" si="1"/>
        <v>0.01510269004</v>
      </c>
      <c r="D573" s="18">
        <v>-0.00546597586104124</v>
      </c>
    </row>
    <row r="574" ht="15.75" customHeight="1">
      <c r="A574" s="3">
        <v>43934.0</v>
      </c>
      <c r="B574" s="17">
        <v>275.66</v>
      </c>
      <c r="C574" s="18">
        <f t="shared" si="1"/>
        <v>-0.009172057223</v>
      </c>
      <c r="D574" s="18">
        <v>-0.011738846838598589</v>
      </c>
    </row>
    <row r="575" ht="15.75" customHeight="1">
      <c r="A575" s="3">
        <v>43935.0</v>
      </c>
      <c r="B575" s="17">
        <v>283.79</v>
      </c>
      <c r="C575" s="18">
        <f t="shared" si="1"/>
        <v>0.02906630576</v>
      </c>
      <c r="D575" s="18">
        <v>-0.007839623559814456</v>
      </c>
    </row>
    <row r="576" ht="15.75" customHeight="1">
      <c r="A576" s="3">
        <v>43936.0</v>
      </c>
      <c r="B576" s="17">
        <v>277.76</v>
      </c>
      <c r="C576" s="18">
        <f t="shared" si="1"/>
        <v>-0.02147709655</v>
      </c>
      <c r="D576" s="18">
        <v>0.014168041595778582</v>
      </c>
    </row>
    <row r="577" ht="15.75" customHeight="1">
      <c r="A577" s="3">
        <v>43937.0</v>
      </c>
      <c r="B577" s="17">
        <v>279.1</v>
      </c>
      <c r="C577" s="18">
        <f t="shared" si="1"/>
        <v>0.00481270907</v>
      </c>
      <c r="D577" s="18">
        <v>-0.004906595044260304</v>
      </c>
    </row>
    <row r="578" ht="15.75" customHeight="1">
      <c r="A578" s="3">
        <v>43938.0</v>
      </c>
      <c r="B578" s="17">
        <v>286.64</v>
      </c>
      <c r="C578" s="18">
        <f t="shared" si="1"/>
        <v>0.02665693245</v>
      </c>
      <c r="D578" s="18">
        <v>-0.00498301237468209</v>
      </c>
    </row>
    <row r="579" ht="15.75" customHeight="1">
      <c r="A579" s="3">
        <v>43941.0</v>
      </c>
      <c r="B579" s="17">
        <v>281.59</v>
      </c>
      <c r="C579" s="18">
        <f t="shared" si="1"/>
        <v>-0.01777496071</v>
      </c>
      <c r="D579" s="18">
        <v>0.005198426303013053</v>
      </c>
    </row>
    <row r="580" ht="15.75" customHeight="1">
      <c r="A580" s="3">
        <v>43942.0</v>
      </c>
      <c r="B580" s="17">
        <v>273.04</v>
      </c>
      <c r="C580" s="18">
        <f t="shared" si="1"/>
        <v>-0.03083380769</v>
      </c>
      <c r="D580" s="18">
        <v>0.0032124740111896823</v>
      </c>
    </row>
    <row r="581" ht="15.75" customHeight="1">
      <c r="A581" s="3">
        <v>43943.0</v>
      </c>
      <c r="B581" s="17">
        <v>279.1</v>
      </c>
      <c r="C581" s="18">
        <f t="shared" si="1"/>
        <v>0.02195183594</v>
      </c>
      <c r="D581" s="18">
        <v>-0.004918401392626236</v>
      </c>
    </row>
    <row r="582" ht="15.75" customHeight="1">
      <c r="A582" s="3">
        <v>43944.0</v>
      </c>
      <c r="B582" s="17">
        <v>279.08</v>
      </c>
      <c r="C582" s="18">
        <f t="shared" si="1"/>
        <v>-0.00007166147124</v>
      </c>
      <c r="D582" s="18">
        <v>-0.008369948624602126</v>
      </c>
    </row>
    <row r="583" ht="15.75" customHeight="1">
      <c r="A583" s="3">
        <v>43945.0</v>
      </c>
      <c r="B583" s="17">
        <v>282.97</v>
      </c>
      <c r="C583" s="18">
        <f t="shared" si="1"/>
        <v>0.01384240589</v>
      </c>
      <c r="D583" s="18">
        <v>-0.003015965523708385</v>
      </c>
    </row>
    <row r="584" ht="15.75" customHeight="1">
      <c r="A584" s="3">
        <v>43948.0</v>
      </c>
      <c r="B584" s="17">
        <v>287.05</v>
      </c>
      <c r="C584" s="18">
        <f t="shared" si="1"/>
        <v>0.01431553166</v>
      </c>
      <c r="D584" s="18">
        <v>-0.0052145405612482034</v>
      </c>
    </row>
    <row r="585" ht="15.75" customHeight="1">
      <c r="A585" s="3">
        <v>43949.0</v>
      </c>
      <c r="B585" s="17">
        <v>285.73</v>
      </c>
      <c r="C585" s="18">
        <f t="shared" si="1"/>
        <v>-0.004609107639</v>
      </c>
      <c r="D585" s="18">
        <v>0.005902463175883993</v>
      </c>
    </row>
    <row r="586" ht="15.75" customHeight="1">
      <c r="A586" s="3">
        <v>43950.0</v>
      </c>
      <c r="B586" s="17">
        <v>293.21</v>
      </c>
      <c r="C586" s="18">
        <f t="shared" si="1"/>
        <v>0.02584176687</v>
      </c>
      <c r="D586" s="18">
        <v>-0.00976013795446815</v>
      </c>
    </row>
    <row r="587" ht="15.75" customHeight="1">
      <c r="A587" s="3">
        <v>43951.0</v>
      </c>
      <c r="B587" s="17">
        <v>290.48</v>
      </c>
      <c r="C587" s="18">
        <f t="shared" si="1"/>
        <v>-0.009354348737</v>
      </c>
      <c r="D587" s="18">
        <v>-0.002717056385111017</v>
      </c>
    </row>
    <row r="588" ht="15.75" customHeight="1">
      <c r="A588" s="3">
        <v>43952.0</v>
      </c>
      <c r="B588" s="17">
        <v>282.79</v>
      </c>
      <c r="C588" s="18">
        <f t="shared" si="1"/>
        <v>-0.02683015439</v>
      </c>
      <c r="D588" s="18">
        <v>-0.005802674267718861</v>
      </c>
    </row>
    <row r="589" ht="15.75" customHeight="1">
      <c r="A589" s="3">
        <v>43955.0</v>
      </c>
      <c r="B589" s="17">
        <v>283.57</v>
      </c>
      <c r="C589" s="18">
        <f t="shared" si="1"/>
        <v>0.002754433552</v>
      </c>
      <c r="D589" s="18">
        <v>-0.0032616997250325816</v>
      </c>
    </row>
    <row r="590" ht="15.75" customHeight="1">
      <c r="A590" s="3">
        <v>43956.0</v>
      </c>
      <c r="B590" s="17">
        <v>286.19</v>
      </c>
      <c r="C590" s="18">
        <f t="shared" si="1"/>
        <v>0.009196919641</v>
      </c>
      <c r="D590" s="18">
        <v>-0.00798823544289067</v>
      </c>
    </row>
    <row r="591" ht="15.75" customHeight="1">
      <c r="A591" s="3">
        <v>43957.0</v>
      </c>
      <c r="B591" s="17">
        <v>284.25</v>
      </c>
      <c r="C591" s="18">
        <f t="shared" si="1"/>
        <v>-0.00680179328</v>
      </c>
      <c r="D591" s="18">
        <v>0.003960193848135708</v>
      </c>
    </row>
    <row r="592" ht="15.75" customHeight="1">
      <c r="A592" s="3">
        <v>43958.0</v>
      </c>
      <c r="B592" s="17">
        <v>287.68</v>
      </c>
      <c r="C592" s="18">
        <f t="shared" si="1"/>
        <v>0.01199461865</v>
      </c>
      <c r="D592" s="18">
        <v>4.915103793565542E-4</v>
      </c>
    </row>
    <row r="593" ht="15.75" customHeight="1">
      <c r="A593" s="3">
        <v>43959.0</v>
      </c>
      <c r="B593" s="17">
        <v>292.44</v>
      </c>
      <c r="C593" s="18">
        <f t="shared" si="1"/>
        <v>0.01641076614</v>
      </c>
      <c r="D593" s="18">
        <v>2.2378257587500668E-4</v>
      </c>
    </row>
    <row r="594" ht="15.75" customHeight="1">
      <c r="A594" s="3">
        <v>43962.0</v>
      </c>
      <c r="B594" s="17">
        <v>292.5</v>
      </c>
      <c r="C594" s="18">
        <f t="shared" si="1"/>
        <v>0.0002051492468</v>
      </c>
      <c r="D594" s="18">
        <v>0.0052771520019834805</v>
      </c>
    </row>
    <row r="595" ht="15.75" customHeight="1">
      <c r="A595" s="3">
        <v>43963.0</v>
      </c>
      <c r="B595" s="17">
        <v>286.67</v>
      </c>
      <c r="C595" s="18">
        <f t="shared" si="1"/>
        <v>-0.02013293825</v>
      </c>
      <c r="D595" s="18">
        <v>-0.002691102268258316</v>
      </c>
    </row>
    <row r="596" ht="15.75" customHeight="1">
      <c r="A596" s="3">
        <v>43964.0</v>
      </c>
      <c r="B596" s="17">
        <v>281.6</v>
      </c>
      <c r="C596" s="18">
        <f t="shared" si="1"/>
        <v>-0.01784410413</v>
      </c>
      <c r="D596" s="18">
        <v>0.004407000073574308</v>
      </c>
    </row>
    <row r="597" ht="15.75" customHeight="1">
      <c r="A597" s="3">
        <v>43965.0</v>
      </c>
      <c r="B597" s="17">
        <v>284.97</v>
      </c>
      <c r="C597" s="18">
        <f t="shared" si="1"/>
        <v>0.01189628729</v>
      </c>
      <c r="D597" s="18">
        <v>-0.006157833197197312</v>
      </c>
    </row>
    <row r="598" ht="15.75" customHeight="1">
      <c r="A598" s="3">
        <v>43966.0</v>
      </c>
      <c r="B598" s="17">
        <v>286.28</v>
      </c>
      <c r="C598" s="18">
        <f t="shared" si="1"/>
        <v>0.0045864413</v>
      </c>
      <c r="D598" s="18">
        <v>-0.0046915211934027085</v>
      </c>
    </row>
    <row r="599" ht="15.75" customHeight="1">
      <c r="A599" s="3">
        <v>43969.0</v>
      </c>
      <c r="B599" s="17">
        <v>295.0</v>
      </c>
      <c r="C599" s="18">
        <f t="shared" si="1"/>
        <v>0.03000500347</v>
      </c>
      <c r="D599" s="18">
        <v>0.0015263704940696402</v>
      </c>
    </row>
    <row r="600" ht="15.75" customHeight="1">
      <c r="A600" s="3">
        <v>43970.0</v>
      </c>
      <c r="B600" s="17">
        <v>291.97</v>
      </c>
      <c r="C600" s="18">
        <f t="shared" si="1"/>
        <v>-0.01032429908</v>
      </c>
      <c r="D600" s="18">
        <v>7.449626276500927E-4</v>
      </c>
    </row>
    <row r="601" ht="15.75" customHeight="1">
      <c r="A601" s="3">
        <v>43971.0</v>
      </c>
      <c r="B601" s="17">
        <v>296.93</v>
      </c>
      <c r="C601" s="18">
        <f t="shared" si="1"/>
        <v>0.01684536352</v>
      </c>
      <c r="D601" s="18">
        <v>-0.004895880647016638</v>
      </c>
    </row>
    <row r="602" ht="15.75" customHeight="1">
      <c r="A602" s="3">
        <v>43972.0</v>
      </c>
      <c r="B602" s="17">
        <v>294.88</v>
      </c>
      <c r="C602" s="18">
        <f t="shared" si="1"/>
        <v>-0.006927926866</v>
      </c>
      <c r="D602" s="18">
        <v>2.9948865540222033E-4</v>
      </c>
    </row>
    <row r="603" ht="15.75" customHeight="1">
      <c r="A603" s="3">
        <v>43973.0</v>
      </c>
      <c r="B603" s="17">
        <v>295.44</v>
      </c>
      <c r="C603" s="18">
        <f t="shared" si="1"/>
        <v>0.001897276623</v>
      </c>
      <c r="D603" s="18">
        <v>0.00116415880247299</v>
      </c>
    </row>
    <row r="604" ht="15.75" customHeight="1">
      <c r="A604" s="3">
        <v>43977.0</v>
      </c>
      <c r="B604" s="17">
        <v>299.08</v>
      </c>
      <c r="C604" s="18">
        <f t="shared" si="1"/>
        <v>0.01224532559</v>
      </c>
      <c r="D604" s="18">
        <v>9.807892984445665E-4</v>
      </c>
    </row>
    <row r="605" ht="15.75" customHeight="1">
      <c r="A605" s="3">
        <v>43978.0</v>
      </c>
      <c r="B605" s="17">
        <v>303.53</v>
      </c>
      <c r="C605" s="18">
        <f t="shared" si="1"/>
        <v>0.01476935627</v>
      </c>
      <c r="D605" s="18">
        <v>-9.476100043395029E-4</v>
      </c>
    </row>
    <row r="606" ht="15.75" customHeight="1">
      <c r="A606" s="3">
        <v>43979.0</v>
      </c>
      <c r="B606" s="17">
        <v>302.97</v>
      </c>
      <c r="C606" s="18">
        <f t="shared" si="1"/>
        <v>-0.001846661695</v>
      </c>
      <c r="D606" s="18">
        <v>-0.004336547279146499</v>
      </c>
    </row>
    <row r="607" ht="15.75" customHeight="1">
      <c r="A607" s="3">
        <v>43980.0</v>
      </c>
      <c r="B607" s="17">
        <v>304.32</v>
      </c>
      <c r="C607" s="18">
        <f t="shared" si="1"/>
        <v>0.00444598865</v>
      </c>
      <c r="D607" s="18">
        <v>0.00935941645943118</v>
      </c>
    </row>
    <row r="608" ht="15.75" customHeight="1">
      <c r="A608" s="3">
        <v>43983.0</v>
      </c>
      <c r="B608" s="17">
        <v>305.55</v>
      </c>
      <c r="C608" s="18">
        <f t="shared" si="1"/>
        <v>0.004033651984</v>
      </c>
      <c r="D608" s="18">
        <v>9.03545221580856E-4</v>
      </c>
    </row>
    <row r="609" ht="15.75" customHeight="1">
      <c r="A609" s="3">
        <v>43984.0</v>
      </c>
      <c r="B609" s="17">
        <v>308.08</v>
      </c>
      <c r="C609" s="18">
        <f t="shared" si="1"/>
        <v>0.008246058166</v>
      </c>
      <c r="D609" s="18">
        <v>-0.0017369567669749662</v>
      </c>
    </row>
    <row r="610" ht="15.75" customHeight="1">
      <c r="A610" s="3">
        <v>43985.0</v>
      </c>
      <c r="B610" s="17">
        <v>312.18</v>
      </c>
      <c r="C610" s="18">
        <f t="shared" si="1"/>
        <v>0.01322045502</v>
      </c>
      <c r="D610" s="18">
        <v>-0.01086230415811322</v>
      </c>
    </row>
    <row r="611" ht="15.75" customHeight="1">
      <c r="A611" s="3">
        <v>43986.0</v>
      </c>
      <c r="B611" s="17">
        <v>311.36</v>
      </c>
      <c r="C611" s="18">
        <f t="shared" si="1"/>
        <v>-0.002630145533</v>
      </c>
      <c r="D611" s="18">
        <v>0.009869077205875636</v>
      </c>
    </row>
    <row r="612" ht="15.75" customHeight="1">
      <c r="A612" s="3">
        <v>43987.0</v>
      </c>
      <c r="B612" s="17">
        <v>319.34</v>
      </c>
      <c r="C612" s="18">
        <f t="shared" si="1"/>
        <v>0.02530656691</v>
      </c>
      <c r="D612" s="18">
        <v>8.960423851399897E-4</v>
      </c>
    </row>
    <row r="613" ht="15.75" customHeight="1">
      <c r="A613" s="3">
        <v>43990.0</v>
      </c>
      <c r="B613" s="17">
        <v>323.2</v>
      </c>
      <c r="C613" s="18">
        <f t="shared" si="1"/>
        <v>0.01201496074</v>
      </c>
      <c r="D613" s="18">
        <v>0.013265467493710069</v>
      </c>
    </row>
    <row r="614" ht="15.75" customHeight="1">
      <c r="A614" s="3">
        <v>43991.0</v>
      </c>
      <c r="B614" s="17">
        <v>320.79</v>
      </c>
      <c r="C614" s="18">
        <f t="shared" si="1"/>
        <v>-0.00748462321</v>
      </c>
      <c r="D614" s="18">
        <v>-0.011369265732065007</v>
      </c>
    </row>
    <row r="615" ht="15.75" customHeight="1">
      <c r="A615" s="3">
        <v>43992.0</v>
      </c>
      <c r="B615" s="17">
        <v>319.0</v>
      </c>
      <c r="C615" s="18">
        <f t="shared" si="1"/>
        <v>-0.005595600652</v>
      </c>
      <c r="D615" s="18">
        <v>0.012017691317600832</v>
      </c>
    </row>
    <row r="616" ht="15.75" customHeight="1">
      <c r="A616" s="3">
        <v>43993.0</v>
      </c>
      <c r="B616" s="17">
        <v>300.61</v>
      </c>
      <c r="C616" s="18">
        <f t="shared" si="1"/>
        <v>-0.05937735922</v>
      </c>
      <c r="D616" s="18">
        <v>-0.011672856823163314</v>
      </c>
    </row>
    <row r="617" ht="15.75" customHeight="1">
      <c r="A617" s="3">
        <v>43994.0</v>
      </c>
      <c r="B617" s="17">
        <v>304.21</v>
      </c>
      <c r="C617" s="18">
        <f t="shared" si="1"/>
        <v>0.01190450883</v>
      </c>
      <c r="D617" s="18">
        <v>0.0030115485165793793</v>
      </c>
    </row>
    <row r="618" ht="15.75" customHeight="1">
      <c r="A618" s="3">
        <v>43997.0</v>
      </c>
      <c r="B618" s="17">
        <v>307.05</v>
      </c>
      <c r="C618" s="18">
        <f t="shared" si="1"/>
        <v>0.009292348381</v>
      </c>
      <c r="D618" s="18">
        <v>-0.00397192640795962</v>
      </c>
    </row>
    <row r="619" ht="15.75" customHeight="1">
      <c r="A619" s="3">
        <v>43998.0</v>
      </c>
      <c r="B619" s="17">
        <v>312.96</v>
      </c>
      <c r="C619" s="18">
        <f t="shared" si="1"/>
        <v>0.01906478607</v>
      </c>
      <c r="D619" s="18">
        <v>-0.005065013703998045</v>
      </c>
    </row>
    <row r="620" ht="15.75" customHeight="1">
      <c r="A620" s="3">
        <v>43999.0</v>
      </c>
      <c r="B620" s="17">
        <v>311.66</v>
      </c>
      <c r="C620" s="18">
        <f t="shared" si="1"/>
        <v>-0.004162536829</v>
      </c>
      <c r="D620" s="18">
        <v>0.00892906904203957</v>
      </c>
    </row>
    <row r="621" ht="15.75" customHeight="1">
      <c r="A621" s="3">
        <v>44000.0</v>
      </c>
      <c r="B621" s="17">
        <v>311.78</v>
      </c>
      <c r="C621" s="18">
        <f t="shared" si="1"/>
        <v>0.0003849608671</v>
      </c>
      <c r="D621" s="18">
        <v>7.623187377739535E-4</v>
      </c>
    </row>
    <row r="622" ht="15.75" customHeight="1">
      <c r="A622" s="3">
        <v>44001.0</v>
      </c>
      <c r="B622" s="17">
        <v>308.64</v>
      </c>
      <c r="C622" s="18">
        <f t="shared" si="1"/>
        <v>-0.01012226173</v>
      </c>
      <c r="D622" s="18">
        <v>0.01312798566222164</v>
      </c>
    </row>
    <row r="623" ht="15.75" customHeight="1">
      <c r="A623" s="3">
        <v>44004.0</v>
      </c>
      <c r="B623" s="17">
        <v>310.62</v>
      </c>
      <c r="C623" s="18">
        <f t="shared" si="1"/>
        <v>0.006394750984</v>
      </c>
      <c r="D623" s="18">
        <v>-0.006031381620697331</v>
      </c>
    </row>
    <row r="624" ht="15.75" customHeight="1">
      <c r="A624" s="3">
        <v>44005.0</v>
      </c>
      <c r="B624" s="17">
        <v>312.05</v>
      </c>
      <c r="C624" s="18">
        <f t="shared" si="1"/>
        <v>0.004593131238</v>
      </c>
      <c r="D624" s="18">
        <v>0.005188031504892556</v>
      </c>
    </row>
    <row r="625" ht="15.75" customHeight="1">
      <c r="A625" s="3">
        <v>44006.0</v>
      </c>
      <c r="B625" s="17">
        <v>304.09</v>
      </c>
      <c r="C625" s="18">
        <f t="shared" si="1"/>
        <v>-0.02583972116</v>
      </c>
      <c r="D625" s="18">
        <v>0.005858583621652999</v>
      </c>
    </row>
    <row r="626" ht="15.75" customHeight="1">
      <c r="A626" s="3">
        <v>44007.0</v>
      </c>
      <c r="B626" s="17">
        <v>307.35</v>
      </c>
      <c r="C626" s="18">
        <f t="shared" si="1"/>
        <v>0.01066345313</v>
      </c>
      <c r="D626" s="18">
        <v>-0.0020191581655031286</v>
      </c>
    </row>
    <row r="627" ht="15.75" customHeight="1">
      <c r="A627" s="3">
        <v>44008.0</v>
      </c>
      <c r="B627" s="17">
        <v>300.05</v>
      </c>
      <c r="C627" s="18">
        <f t="shared" si="1"/>
        <v>-0.02403803592</v>
      </c>
      <c r="D627" s="18">
        <v>0.006132252304806645</v>
      </c>
    </row>
    <row r="628" ht="15.75" customHeight="1">
      <c r="A628" s="3">
        <v>44011.0</v>
      </c>
      <c r="B628" s="17">
        <v>304.46</v>
      </c>
      <c r="C628" s="18">
        <f t="shared" si="1"/>
        <v>0.0145905882</v>
      </c>
      <c r="D628" s="18">
        <v>-0.005386174691424424</v>
      </c>
    </row>
    <row r="629" ht="15.75" customHeight="1">
      <c r="A629" s="3">
        <v>44012.0</v>
      </c>
      <c r="B629" s="17">
        <v>308.36</v>
      </c>
      <c r="C629" s="18">
        <f t="shared" si="1"/>
        <v>0.01272821596</v>
      </c>
      <c r="D629" s="18">
        <v>0.0014130711030088529</v>
      </c>
    </row>
    <row r="630" ht="15.75" customHeight="1">
      <c r="A630" s="3">
        <v>44013.0</v>
      </c>
      <c r="B630" s="17">
        <v>310.52</v>
      </c>
      <c r="C630" s="18">
        <f t="shared" si="1"/>
        <v>0.006980379946</v>
      </c>
      <c r="D630" s="18">
        <v>-0.0014131169458126995</v>
      </c>
    </row>
    <row r="631" ht="15.75" customHeight="1">
      <c r="A631" s="3">
        <v>44014.0</v>
      </c>
      <c r="B631" s="17">
        <v>312.23</v>
      </c>
      <c r="C631" s="18">
        <f t="shared" si="1"/>
        <v>0.005491784176</v>
      </c>
      <c r="D631" s="18">
        <v>7.613968617518406E-4</v>
      </c>
    </row>
    <row r="632" ht="15.75" customHeight="1">
      <c r="A632" s="3">
        <v>44018.0</v>
      </c>
      <c r="B632" s="17">
        <v>317.05</v>
      </c>
      <c r="C632" s="18">
        <f t="shared" si="1"/>
        <v>0.01531939443</v>
      </c>
      <c r="D632" s="18">
        <v>-1.9359439188810078E-4</v>
      </c>
    </row>
    <row r="633" ht="15.75" customHeight="1">
      <c r="A633" s="3">
        <v>44019.0</v>
      </c>
      <c r="B633" s="17">
        <v>313.78</v>
      </c>
      <c r="C633" s="18">
        <f t="shared" si="1"/>
        <v>-0.01036738674</v>
      </c>
      <c r="D633" s="18">
        <v>-0.002031846494792927</v>
      </c>
    </row>
    <row r="634" ht="15.75" customHeight="1">
      <c r="A634" s="3">
        <v>44020.0</v>
      </c>
      <c r="B634" s="17">
        <v>316.18</v>
      </c>
      <c r="C634" s="18">
        <f t="shared" si="1"/>
        <v>0.007619568263</v>
      </c>
      <c r="D634" s="18">
        <v>0.002776532850353591</v>
      </c>
    </row>
    <row r="635" ht="15.75" customHeight="1">
      <c r="A635" s="3">
        <v>44021.0</v>
      </c>
      <c r="B635" s="17">
        <v>314.38</v>
      </c>
      <c r="C635" s="18">
        <f t="shared" si="1"/>
        <v>-0.005709226368</v>
      </c>
      <c r="D635" s="18">
        <v>-0.005680614431052235</v>
      </c>
    </row>
    <row r="636" ht="15.75" customHeight="1">
      <c r="A636" s="3">
        <v>44022.0</v>
      </c>
      <c r="B636" s="17">
        <v>317.59</v>
      </c>
      <c r="C636" s="18">
        <f t="shared" si="1"/>
        <v>0.01015879743</v>
      </c>
      <c r="D636" s="18">
        <v>-0.004890901988898411</v>
      </c>
    </row>
    <row r="637" ht="15.75" customHeight="1">
      <c r="A637" s="3">
        <v>44025.0</v>
      </c>
      <c r="B637" s="17">
        <v>314.84</v>
      </c>
      <c r="C637" s="18">
        <f t="shared" si="1"/>
        <v>-0.008696669457</v>
      </c>
      <c r="D637" s="18">
        <v>2.340689102113347E-4</v>
      </c>
    </row>
    <row r="638" ht="15.75" customHeight="1">
      <c r="A638" s="3">
        <v>44026.0</v>
      </c>
      <c r="B638" s="17">
        <v>318.92</v>
      </c>
      <c r="C638" s="18">
        <f t="shared" si="1"/>
        <v>0.01287571436</v>
      </c>
      <c r="D638" s="18">
        <v>0.004883298238340088</v>
      </c>
    </row>
    <row r="639" ht="15.75" customHeight="1">
      <c r="A639" s="3">
        <v>44027.0</v>
      </c>
      <c r="B639" s="17">
        <v>321.85</v>
      </c>
      <c r="C639" s="18">
        <f t="shared" si="1"/>
        <v>0.009145310864</v>
      </c>
      <c r="D639" s="18">
        <v>-0.002310185959084292</v>
      </c>
    </row>
    <row r="640" ht="15.75" customHeight="1">
      <c r="A640" s="3">
        <v>44028.0</v>
      </c>
      <c r="B640" s="17">
        <v>320.79</v>
      </c>
      <c r="C640" s="18">
        <f t="shared" si="1"/>
        <v>-0.003298895062</v>
      </c>
      <c r="D640" s="18">
        <v>0.011430102652347587</v>
      </c>
    </row>
    <row r="641" ht="15.75" customHeight="1">
      <c r="A641" s="3">
        <v>44029.0</v>
      </c>
      <c r="B641" s="17">
        <v>321.72</v>
      </c>
      <c r="C641" s="18">
        <f t="shared" si="1"/>
        <v>0.002894898599</v>
      </c>
      <c r="D641" s="18">
        <v>-0.0037665172758008275</v>
      </c>
    </row>
    <row r="642" ht="15.75" customHeight="1">
      <c r="A642" s="3">
        <v>44032.0</v>
      </c>
      <c r="B642" s="17">
        <v>324.32</v>
      </c>
      <c r="C642" s="18">
        <f t="shared" si="1"/>
        <v>0.008049080668</v>
      </c>
      <c r="D642" s="18">
        <v>0.005077603444614433</v>
      </c>
    </row>
    <row r="643" ht="15.75" customHeight="1">
      <c r="A643" s="3">
        <v>44033.0</v>
      </c>
      <c r="B643" s="17">
        <v>325.01</v>
      </c>
      <c r="C643" s="18">
        <f t="shared" si="1"/>
        <v>0.002125268383</v>
      </c>
      <c r="D643" s="18">
        <v>-0.004086811082181463</v>
      </c>
    </row>
    <row r="644" ht="15.75" customHeight="1">
      <c r="A644" s="3">
        <v>44034.0</v>
      </c>
      <c r="B644" s="17">
        <v>326.86</v>
      </c>
      <c r="C644" s="18">
        <f t="shared" si="1"/>
        <v>0.005675993578</v>
      </c>
      <c r="D644" s="18">
        <v>0.002150798783260951</v>
      </c>
    </row>
    <row r="645" ht="15.75" customHeight="1">
      <c r="A645" s="3">
        <v>44035.0</v>
      </c>
      <c r="B645" s="17">
        <v>322.96</v>
      </c>
      <c r="C645" s="18">
        <f t="shared" si="1"/>
        <v>-0.01200346812</v>
      </c>
      <c r="D645" s="18">
        <v>-0.0028057291081504624</v>
      </c>
    </row>
    <row r="646" ht="15.75" customHeight="1">
      <c r="A646" s="3">
        <v>44036.0</v>
      </c>
      <c r="B646" s="17">
        <v>320.88</v>
      </c>
      <c r="C646" s="18">
        <f t="shared" si="1"/>
        <v>-0.006461255083</v>
      </c>
      <c r="D646" s="18">
        <v>0.002477993798272889</v>
      </c>
    </row>
    <row r="647" ht="15.75" customHeight="1">
      <c r="A647" s="3">
        <v>44039.0</v>
      </c>
      <c r="B647" s="17">
        <v>323.22</v>
      </c>
      <c r="C647" s="18">
        <f t="shared" si="1"/>
        <v>0.007265984459</v>
      </c>
      <c r="D647" s="18">
        <v>0.0011924315612454053</v>
      </c>
    </row>
    <row r="648" ht="15.75" customHeight="1">
      <c r="A648" s="3">
        <v>44040.0</v>
      </c>
      <c r="B648" s="17">
        <v>321.17</v>
      </c>
      <c r="C648" s="18">
        <f t="shared" si="1"/>
        <v>-0.006362627961</v>
      </c>
      <c r="D648" s="18">
        <v>-0.0055815915106152796</v>
      </c>
    </row>
    <row r="649" ht="15.75" customHeight="1">
      <c r="A649" s="3">
        <v>44041.0</v>
      </c>
      <c r="B649" s="17">
        <v>325.12</v>
      </c>
      <c r="C649" s="18">
        <f t="shared" si="1"/>
        <v>0.01222376699</v>
      </c>
      <c r="D649" s="18">
        <v>0.0018881569177004725</v>
      </c>
    </row>
    <row r="650" ht="15.75" customHeight="1">
      <c r="A650" s="3">
        <v>44042.0</v>
      </c>
      <c r="B650" s="17">
        <v>323.96</v>
      </c>
      <c r="C650" s="18">
        <f t="shared" si="1"/>
        <v>-0.003574293569</v>
      </c>
      <c r="D650" s="18">
        <v>-0.0060245802414370005</v>
      </c>
    </row>
    <row r="651" ht="15.75" customHeight="1">
      <c r="A651" s="3">
        <v>44043.0</v>
      </c>
      <c r="B651" s="17">
        <v>326.52</v>
      </c>
      <c r="C651" s="18">
        <f t="shared" si="1"/>
        <v>0.007871151202</v>
      </c>
      <c r="D651" s="18">
        <v>5.826507486163127E-4</v>
      </c>
    </row>
    <row r="652" ht="15.75" customHeight="1">
      <c r="A652" s="3">
        <v>44046.0</v>
      </c>
      <c r="B652" s="17">
        <v>328.79</v>
      </c>
      <c r="C652" s="18">
        <f t="shared" si="1"/>
        <v>0.006928046511</v>
      </c>
      <c r="D652" s="18">
        <v>-0.0066261387016005695</v>
      </c>
    </row>
    <row r="653" ht="15.75" customHeight="1">
      <c r="A653" s="3">
        <v>44047.0</v>
      </c>
      <c r="B653" s="17">
        <v>330.06</v>
      </c>
      <c r="C653" s="18">
        <f t="shared" si="1"/>
        <v>0.003855207021</v>
      </c>
      <c r="D653" s="18">
        <v>0.006601294743309951</v>
      </c>
    </row>
    <row r="654" ht="15.75" customHeight="1">
      <c r="A654" s="3">
        <v>44048.0</v>
      </c>
      <c r="B654" s="17">
        <v>332.11</v>
      </c>
      <c r="C654" s="18">
        <f t="shared" si="1"/>
        <v>0.006191783226</v>
      </c>
      <c r="D654" s="18">
        <v>3.306815657150342E-4</v>
      </c>
    </row>
    <row r="655" ht="15.75" customHeight="1">
      <c r="A655" s="3">
        <v>44049.0</v>
      </c>
      <c r="B655" s="17">
        <v>334.33</v>
      </c>
      <c r="C655" s="18">
        <f t="shared" si="1"/>
        <v>0.006662289813</v>
      </c>
      <c r="D655" s="18">
        <v>0.0019078749034779454</v>
      </c>
    </row>
    <row r="656" ht="15.75" customHeight="1">
      <c r="A656" s="3">
        <v>44050.0</v>
      </c>
      <c r="B656" s="17">
        <v>334.57</v>
      </c>
      <c r="C656" s="18">
        <f t="shared" si="1"/>
        <v>0.000717596084</v>
      </c>
      <c r="D656" s="18">
        <v>-0.0011801302826235473</v>
      </c>
    </row>
    <row r="657" ht="15.75" customHeight="1">
      <c r="A657" s="3">
        <v>44053.0</v>
      </c>
      <c r="B657" s="17">
        <v>335.57</v>
      </c>
      <c r="C657" s="18">
        <f t="shared" si="1"/>
        <v>0.002984453225</v>
      </c>
      <c r="D657" s="18">
        <v>-0.0012932273262330773</v>
      </c>
    </row>
    <row r="658" ht="15.75" customHeight="1">
      <c r="A658" s="3">
        <v>44054.0</v>
      </c>
      <c r="B658" s="17">
        <v>332.8</v>
      </c>
      <c r="C658" s="18">
        <f t="shared" si="1"/>
        <v>-0.008288869517</v>
      </c>
      <c r="D658" s="18">
        <v>0.005293536929751687</v>
      </c>
    </row>
    <row r="659" ht="15.75" customHeight="1">
      <c r="A659" s="3">
        <v>44055.0</v>
      </c>
      <c r="B659" s="17">
        <v>337.44</v>
      </c>
      <c r="C659" s="18">
        <f t="shared" si="1"/>
        <v>0.01384600778</v>
      </c>
      <c r="D659" s="18">
        <v>9.526477127288463E-4</v>
      </c>
    </row>
    <row r="660" ht="15.75" customHeight="1">
      <c r="A660" s="3">
        <v>44056.0</v>
      </c>
      <c r="B660" s="17">
        <v>336.83</v>
      </c>
      <c r="C660" s="18">
        <f t="shared" si="1"/>
        <v>-0.001809364695</v>
      </c>
      <c r="D660" s="18">
        <v>-0.00162648699702353</v>
      </c>
    </row>
    <row r="661" ht="15.75" customHeight="1">
      <c r="A661" s="3">
        <v>44057.0</v>
      </c>
      <c r="B661" s="17">
        <v>336.84</v>
      </c>
      <c r="C661" s="18">
        <f t="shared" si="1"/>
        <v>0.00002968812624</v>
      </c>
      <c r="D661" s="18">
        <v>-0.0027682918669824337</v>
      </c>
    </row>
    <row r="662" ht="15.75" customHeight="1">
      <c r="A662" s="3">
        <v>44060.0</v>
      </c>
      <c r="B662" s="17">
        <v>337.91</v>
      </c>
      <c r="C662" s="18">
        <f t="shared" si="1"/>
        <v>0.003171547675</v>
      </c>
      <c r="D662" s="18">
        <v>-0.0050942866107384355</v>
      </c>
    </row>
    <row r="663" ht="15.75" customHeight="1">
      <c r="A663" s="3">
        <v>44061.0</v>
      </c>
      <c r="B663" s="17">
        <v>338.64</v>
      </c>
      <c r="C663" s="18">
        <f t="shared" si="1"/>
        <v>0.002158008376</v>
      </c>
      <c r="D663" s="18">
        <v>-0.002068477435234812</v>
      </c>
    </row>
    <row r="664" ht="15.75" customHeight="1">
      <c r="A664" s="3">
        <v>44062.0</v>
      </c>
      <c r="B664" s="17">
        <v>337.23</v>
      </c>
      <c r="C664" s="18">
        <f t="shared" si="1"/>
        <v>-0.004172406071</v>
      </c>
      <c r="D664" s="18">
        <v>0.0018865441411411376</v>
      </c>
    </row>
    <row r="665" ht="15.75" customHeight="1">
      <c r="A665" s="3">
        <v>44063.0</v>
      </c>
      <c r="B665" s="17">
        <v>338.28</v>
      </c>
      <c r="C665" s="18">
        <f t="shared" si="1"/>
        <v>0.003108764772</v>
      </c>
      <c r="D665" s="18">
        <v>0.0016428184191162169</v>
      </c>
    </row>
    <row r="666" ht="15.75" customHeight="1">
      <c r="A666" s="3">
        <v>44064.0</v>
      </c>
      <c r="B666" s="17">
        <v>339.48</v>
      </c>
      <c r="C666" s="18">
        <f t="shared" si="1"/>
        <v>0.003541080187</v>
      </c>
      <c r="D666" s="18">
        <v>-0.0011111181740245796</v>
      </c>
    </row>
    <row r="667" ht="15.75" customHeight="1">
      <c r="A667" s="3">
        <v>44067.0</v>
      </c>
      <c r="B667" s="17">
        <v>342.92</v>
      </c>
      <c r="C667" s="18">
        <f t="shared" si="1"/>
        <v>0.01008214871</v>
      </c>
      <c r="D667" s="18">
        <v>-0.008133779997939277</v>
      </c>
    </row>
    <row r="668" ht="15.75" customHeight="1">
      <c r="A668" s="3">
        <v>44068.0</v>
      </c>
      <c r="B668" s="17">
        <v>344.12</v>
      </c>
      <c r="C668" s="18">
        <f t="shared" si="1"/>
        <v>0.003493249943</v>
      </c>
      <c r="D668" s="18">
        <v>-0.0027531221583945087</v>
      </c>
    </row>
    <row r="669" ht="15.75" customHeight="1">
      <c r="A669" s="3">
        <v>44069.0</v>
      </c>
      <c r="B669" s="17">
        <v>347.57</v>
      </c>
      <c r="C669" s="18">
        <f t="shared" si="1"/>
        <v>0.009975649815</v>
      </c>
      <c r="D669" s="18">
        <v>0.005291610034408762</v>
      </c>
    </row>
    <row r="670" ht="15.75" customHeight="1">
      <c r="A670" s="3">
        <v>44070.0</v>
      </c>
      <c r="B670" s="17">
        <v>348.33</v>
      </c>
      <c r="C670" s="18">
        <f t="shared" si="1"/>
        <v>0.002184222739</v>
      </c>
      <c r="D670" s="18">
        <v>-5.864157845799129E-4</v>
      </c>
    </row>
    <row r="671" ht="15.75" customHeight="1">
      <c r="A671" s="3">
        <v>44071.0</v>
      </c>
      <c r="B671" s="17">
        <v>350.58</v>
      </c>
      <c r="C671" s="18">
        <f t="shared" si="1"/>
        <v>0.006438619487</v>
      </c>
      <c r="D671" s="18">
        <v>9.204088929357243E-4</v>
      </c>
    </row>
    <row r="672" ht="15.75" customHeight="1">
      <c r="A672" s="3">
        <v>44074.0</v>
      </c>
      <c r="B672" s="17">
        <v>349.31</v>
      </c>
      <c r="C672" s="18">
        <f t="shared" si="1"/>
        <v>-0.003629145705</v>
      </c>
      <c r="D672" s="18">
        <v>-6.598049279425847E-4</v>
      </c>
    </row>
    <row r="673" ht="15.75" customHeight="1">
      <c r="A673" s="3">
        <v>44075.0</v>
      </c>
      <c r="B673" s="17">
        <v>352.6</v>
      </c>
      <c r="C673" s="18">
        <f t="shared" si="1"/>
        <v>0.009374489875</v>
      </c>
      <c r="D673" s="18">
        <v>-0.005202539335819863</v>
      </c>
    </row>
    <row r="674" ht="15.75" customHeight="1">
      <c r="A674" s="3">
        <v>44076.0</v>
      </c>
      <c r="B674" s="17">
        <v>357.7</v>
      </c>
      <c r="C674" s="18">
        <f t="shared" si="1"/>
        <v>0.0143603763</v>
      </c>
      <c r="D674" s="18">
        <v>-0.006918476525759714</v>
      </c>
    </row>
    <row r="675" ht="15.75" customHeight="1">
      <c r="A675" s="3">
        <v>44077.0</v>
      </c>
      <c r="B675" s="17">
        <v>345.39</v>
      </c>
      <c r="C675" s="18">
        <f t="shared" si="1"/>
        <v>-0.03502043291</v>
      </c>
      <c r="D675" s="18">
        <v>0.006961489523026674</v>
      </c>
    </row>
    <row r="676" ht="15.75" customHeight="1">
      <c r="A676" s="3">
        <v>44078.0</v>
      </c>
      <c r="B676" s="17">
        <v>342.57</v>
      </c>
      <c r="C676" s="18">
        <f t="shared" si="1"/>
        <v>-0.008198196972</v>
      </c>
      <c r="D676" s="18">
        <v>5.002410461855077E-4</v>
      </c>
    </row>
    <row r="677" ht="15.75" customHeight="1">
      <c r="A677" s="3">
        <v>44082.0</v>
      </c>
      <c r="B677" s="17">
        <v>333.21</v>
      </c>
      <c r="C677" s="18">
        <f t="shared" si="1"/>
        <v>-0.02770309453</v>
      </c>
      <c r="D677" s="18">
        <v>0.007247062959148642</v>
      </c>
    </row>
    <row r="678" ht="15.75" customHeight="1">
      <c r="A678" s="3">
        <v>44083.0</v>
      </c>
      <c r="B678" s="17">
        <v>339.79</v>
      </c>
      <c r="C678" s="18">
        <f t="shared" si="1"/>
        <v>0.01955485788</v>
      </c>
      <c r="D678" s="18">
        <v>0.00805223448171253</v>
      </c>
    </row>
    <row r="679" ht="15.75" customHeight="1">
      <c r="A679" s="3">
        <v>44084.0</v>
      </c>
      <c r="B679" s="17">
        <v>333.89</v>
      </c>
      <c r="C679" s="18">
        <f t="shared" si="1"/>
        <v>-0.01751618231</v>
      </c>
      <c r="D679" s="18">
        <v>-9.160420356386799E-4</v>
      </c>
    </row>
    <row r="680" ht="15.75" customHeight="1">
      <c r="A680" s="3">
        <v>44085.0</v>
      </c>
      <c r="B680" s="17">
        <v>334.06</v>
      </c>
      <c r="C680" s="18">
        <f t="shared" si="1"/>
        <v>0.0005090201472</v>
      </c>
      <c r="D680" s="18">
        <v>-0.001784552242326693</v>
      </c>
    </row>
    <row r="681" ht="15.75" customHeight="1">
      <c r="A681" s="3">
        <v>44088.0</v>
      </c>
      <c r="B681" s="17">
        <v>338.46</v>
      </c>
      <c r="C681" s="18">
        <f t="shared" si="1"/>
        <v>0.01308529942</v>
      </c>
      <c r="D681" s="18">
        <v>0.0035963898649881234</v>
      </c>
    </row>
    <row r="682" ht="15.75" customHeight="1">
      <c r="A682" s="3">
        <v>44089.0</v>
      </c>
      <c r="B682" s="17">
        <v>340.17</v>
      </c>
      <c r="C682" s="18">
        <f t="shared" si="1"/>
        <v>0.005039575672</v>
      </c>
      <c r="D682" s="18">
        <v>0.009152689283738278</v>
      </c>
    </row>
    <row r="683" ht="15.75" customHeight="1">
      <c r="A683" s="3">
        <v>44090.0</v>
      </c>
      <c r="B683" s="17">
        <v>338.82</v>
      </c>
      <c r="C683" s="18">
        <f t="shared" si="1"/>
        <v>-0.003976499739</v>
      </c>
      <c r="D683" s="18">
        <v>0.011687555369488938</v>
      </c>
    </row>
    <row r="684" ht="15.75" customHeight="1">
      <c r="A684" s="3">
        <v>44091.0</v>
      </c>
      <c r="B684" s="17">
        <v>335.84</v>
      </c>
      <c r="C684" s="18">
        <f t="shared" si="1"/>
        <v>-0.00883413684</v>
      </c>
      <c r="D684" s="18">
        <v>8.910728422221743E-4</v>
      </c>
    </row>
    <row r="685" ht="15.75" customHeight="1">
      <c r="A685" s="3">
        <v>44092.0</v>
      </c>
      <c r="B685" s="17">
        <v>330.65</v>
      </c>
      <c r="C685" s="18">
        <f t="shared" si="1"/>
        <v>-0.01557444195</v>
      </c>
      <c r="D685" s="18">
        <v>-0.002479959197246624</v>
      </c>
    </row>
    <row r="686" ht="15.75" customHeight="1">
      <c r="A686" s="3">
        <v>44095.0</v>
      </c>
      <c r="B686" s="17">
        <v>326.97</v>
      </c>
      <c r="C686" s="18">
        <f t="shared" si="1"/>
        <v>-0.01119199055</v>
      </c>
      <c r="D686" s="18">
        <v>0.00647257675450737</v>
      </c>
    </row>
    <row r="687" ht="15.75" customHeight="1">
      <c r="A687" s="3">
        <v>44096.0</v>
      </c>
      <c r="B687" s="17">
        <v>330.3</v>
      </c>
      <c r="C687" s="18">
        <f t="shared" si="1"/>
        <v>0.01013290883</v>
      </c>
      <c r="D687" s="18">
        <v>-0.01964077433933879</v>
      </c>
    </row>
    <row r="688" ht="15.75" customHeight="1">
      <c r="A688" s="3">
        <v>44097.0</v>
      </c>
      <c r="B688" s="17">
        <v>322.64</v>
      </c>
      <c r="C688" s="18">
        <f t="shared" si="1"/>
        <v>-0.02346418183</v>
      </c>
      <c r="D688" s="18">
        <v>-0.005280134567183121</v>
      </c>
    </row>
    <row r="689" ht="15.75" customHeight="1">
      <c r="A689" s="3">
        <v>44098.0</v>
      </c>
      <c r="B689" s="17">
        <v>323.5</v>
      </c>
      <c r="C689" s="18">
        <f t="shared" si="1"/>
        <v>0.002661963376</v>
      </c>
      <c r="D689" s="18">
        <v>-0.0038539708130753726</v>
      </c>
    </row>
    <row r="690" ht="15.75" customHeight="1">
      <c r="A690" s="3">
        <v>44099.0</v>
      </c>
      <c r="B690" s="17">
        <v>328.73</v>
      </c>
      <c r="C690" s="18">
        <f t="shared" si="1"/>
        <v>0.0160376312</v>
      </c>
      <c r="D690" s="18">
        <v>0.0025321237501496276</v>
      </c>
    </row>
    <row r="691" ht="15.75" customHeight="1">
      <c r="A691" s="3">
        <v>44102.0</v>
      </c>
      <c r="B691" s="17">
        <v>334.19</v>
      </c>
      <c r="C691" s="18">
        <f t="shared" si="1"/>
        <v>0.01647294837</v>
      </c>
      <c r="D691" s="18">
        <v>-0.0032291325570649727</v>
      </c>
    </row>
    <row r="692" ht="15.75" customHeight="1">
      <c r="A692" s="3">
        <v>44103.0</v>
      </c>
      <c r="B692" s="17">
        <v>332.37</v>
      </c>
      <c r="C692" s="18">
        <f t="shared" si="1"/>
        <v>-0.005460887311</v>
      </c>
      <c r="D692" s="18">
        <v>0.007401209161890813</v>
      </c>
    </row>
    <row r="693" ht="15.75" customHeight="1">
      <c r="A693" s="3">
        <v>44104.0</v>
      </c>
      <c r="B693" s="17">
        <v>334.89</v>
      </c>
      <c r="C693" s="18">
        <f t="shared" si="1"/>
        <v>0.007553313494</v>
      </c>
      <c r="D693" s="18">
        <v>0.0064912119364272545</v>
      </c>
    </row>
    <row r="694" ht="15.75" customHeight="1">
      <c r="A694" s="3">
        <v>44105.0</v>
      </c>
      <c r="B694" s="17">
        <v>337.04</v>
      </c>
      <c r="C694" s="18">
        <f t="shared" si="1"/>
        <v>0.006399497976</v>
      </c>
      <c r="D694" s="18">
        <v>-0.007741348628386051</v>
      </c>
    </row>
    <row r="695" ht="15.75" customHeight="1">
      <c r="A695" s="3">
        <v>44106.0</v>
      </c>
      <c r="B695" s="17">
        <v>333.84</v>
      </c>
      <c r="C695" s="18">
        <f t="shared" si="1"/>
        <v>-0.009539781387</v>
      </c>
      <c r="D695" s="18">
        <v>-0.01255350753748829</v>
      </c>
    </row>
    <row r="696" ht="15.75" customHeight="1">
      <c r="A696" s="3">
        <v>44109.0</v>
      </c>
      <c r="B696" s="17">
        <v>339.76</v>
      </c>
      <c r="C696" s="18">
        <f t="shared" si="1"/>
        <v>0.01757764972</v>
      </c>
      <c r="D696" s="18">
        <v>9.809613820718352E-5</v>
      </c>
    </row>
    <row r="697" ht="15.75" customHeight="1">
      <c r="A697" s="3">
        <v>44110.0</v>
      </c>
      <c r="B697" s="17">
        <v>334.93</v>
      </c>
      <c r="C697" s="18">
        <f t="shared" si="1"/>
        <v>-0.01431793124</v>
      </c>
      <c r="D697" s="18">
        <v>0.0023838675194365992</v>
      </c>
    </row>
    <row r="698" ht="15.75" customHeight="1">
      <c r="A698" s="3">
        <v>44111.0</v>
      </c>
      <c r="B698" s="17">
        <v>340.76</v>
      </c>
      <c r="C698" s="18">
        <f t="shared" si="1"/>
        <v>0.01725686241</v>
      </c>
      <c r="D698" s="18">
        <v>-5.074803922288346E-4</v>
      </c>
    </row>
    <row r="699" ht="15.75" customHeight="1">
      <c r="A699" s="3">
        <v>44112.0</v>
      </c>
      <c r="B699" s="17">
        <v>343.78</v>
      </c>
      <c r="C699" s="18">
        <f t="shared" si="1"/>
        <v>0.008823500725</v>
      </c>
      <c r="D699" s="18">
        <v>-6.785206599379579E-4</v>
      </c>
    </row>
    <row r="700" ht="15.75" customHeight="1">
      <c r="A700" s="3">
        <v>44113.0</v>
      </c>
      <c r="B700" s="17">
        <v>346.85</v>
      </c>
      <c r="C700" s="18">
        <f t="shared" si="1"/>
        <v>0.008890491931</v>
      </c>
      <c r="D700" s="18">
        <v>0.003625676167918634</v>
      </c>
    </row>
    <row r="701" ht="15.75" customHeight="1">
      <c r="A701" s="3">
        <v>44116.0</v>
      </c>
      <c r="B701" s="17">
        <v>352.43</v>
      </c>
      <c r="C701" s="18">
        <f t="shared" si="1"/>
        <v>0.01595961114</v>
      </c>
      <c r="D701" s="18">
        <v>0.00648079769701617</v>
      </c>
    </row>
    <row r="702" ht="15.75" customHeight="1">
      <c r="A702" s="3">
        <v>44117.0</v>
      </c>
      <c r="B702" s="17">
        <v>350.13</v>
      </c>
      <c r="C702" s="18">
        <f t="shared" si="1"/>
        <v>-0.00654750688</v>
      </c>
      <c r="D702" s="18">
        <v>-0.004298355961998462</v>
      </c>
    </row>
    <row r="703" ht="15.75" customHeight="1">
      <c r="A703" s="3">
        <v>44118.0</v>
      </c>
      <c r="B703" s="17">
        <v>347.93</v>
      </c>
      <c r="C703" s="18">
        <f t="shared" si="1"/>
        <v>-0.006303203976</v>
      </c>
      <c r="D703" s="18">
        <v>-0.005640956169755459</v>
      </c>
    </row>
    <row r="704" ht="15.75" customHeight="1">
      <c r="A704" s="3">
        <v>44119.0</v>
      </c>
      <c r="B704" s="17">
        <v>347.5</v>
      </c>
      <c r="C704" s="18">
        <f t="shared" si="1"/>
        <v>-0.001236645111</v>
      </c>
      <c r="D704" s="18">
        <v>1.8932976115914327E-4</v>
      </c>
    </row>
    <row r="705" ht="15.75" customHeight="1">
      <c r="A705" s="3">
        <v>44120.0</v>
      </c>
      <c r="B705" s="17">
        <v>347.29</v>
      </c>
      <c r="C705" s="18">
        <f t="shared" si="1"/>
        <v>-0.0006044992196</v>
      </c>
      <c r="D705" s="18">
        <v>0.004413589430885817</v>
      </c>
    </row>
    <row r="706" ht="15.75" customHeight="1">
      <c r="A706" s="3">
        <v>44123.0</v>
      </c>
      <c r="B706" s="17">
        <v>342.01</v>
      </c>
      <c r="C706" s="18">
        <f t="shared" si="1"/>
        <v>-0.01532018938</v>
      </c>
      <c r="D706" s="18">
        <v>0.012531334795479897</v>
      </c>
    </row>
    <row r="707" ht="15.75" customHeight="1">
      <c r="A707" s="3">
        <v>44124.0</v>
      </c>
      <c r="B707" s="17">
        <v>343.38</v>
      </c>
      <c r="C707" s="18">
        <f t="shared" si="1"/>
        <v>0.003997729248</v>
      </c>
      <c r="D707" s="18">
        <v>-4.2066785651334273E-4</v>
      </c>
    </row>
    <row r="708" ht="15.75" customHeight="1">
      <c r="A708" s="3">
        <v>44125.0</v>
      </c>
      <c r="B708" s="17">
        <v>342.73</v>
      </c>
      <c r="C708" s="18">
        <f t="shared" si="1"/>
        <v>-0.001894740477</v>
      </c>
      <c r="D708" s="18">
        <v>-0.0023424621096580904</v>
      </c>
    </row>
    <row r="709" ht="15.75" customHeight="1">
      <c r="A709" s="3">
        <v>44126.0</v>
      </c>
      <c r="B709" s="17">
        <v>344.61</v>
      </c>
      <c r="C709" s="18">
        <f t="shared" si="1"/>
        <v>0.005470377654</v>
      </c>
      <c r="D709" s="18">
        <v>-0.004765146495283755</v>
      </c>
    </row>
    <row r="710" ht="15.75" customHeight="1">
      <c r="A710" s="3">
        <v>44127.0</v>
      </c>
      <c r="B710" s="17">
        <v>345.78</v>
      </c>
      <c r="C710" s="18">
        <f t="shared" si="1"/>
        <v>0.003389391851</v>
      </c>
      <c r="D710" s="18">
        <v>6.819965275965644E-5</v>
      </c>
    </row>
    <row r="711" ht="15.75" customHeight="1">
      <c r="A711" s="3">
        <v>44130.0</v>
      </c>
      <c r="B711" s="17">
        <v>339.39</v>
      </c>
      <c r="C711" s="18">
        <f t="shared" si="1"/>
        <v>-0.01865284607</v>
      </c>
      <c r="D711" s="18">
        <v>-0.001268361043520945</v>
      </c>
    </row>
    <row r="712" ht="15.75" customHeight="1">
      <c r="A712" s="3">
        <v>44131.0</v>
      </c>
      <c r="B712" s="17">
        <v>338.22</v>
      </c>
      <c r="C712" s="18">
        <f t="shared" si="1"/>
        <v>-0.003453317285</v>
      </c>
      <c r="D712" s="18">
        <v>-0.003991510990376265</v>
      </c>
    </row>
    <row r="713" ht="15.75" customHeight="1">
      <c r="A713" s="3">
        <v>44132.0</v>
      </c>
      <c r="B713" s="17">
        <v>326.66</v>
      </c>
      <c r="C713" s="18">
        <f t="shared" si="1"/>
        <v>-0.0347766967</v>
      </c>
      <c r="D713" s="18">
        <v>0.003172722194943416</v>
      </c>
    </row>
    <row r="714" ht="15.75" customHeight="1">
      <c r="A714" s="3">
        <v>44133.0</v>
      </c>
      <c r="B714" s="17">
        <v>329.98</v>
      </c>
      <c r="C714" s="18">
        <f t="shared" si="1"/>
        <v>0.01011217194</v>
      </c>
      <c r="D714" s="18">
        <v>-0.008286566632138384</v>
      </c>
    </row>
    <row r="715" ht="15.75" customHeight="1">
      <c r="A715" s="3">
        <v>44134.0</v>
      </c>
      <c r="B715" s="17">
        <v>326.54</v>
      </c>
      <c r="C715" s="18">
        <f t="shared" si="1"/>
        <v>-0.01047959387</v>
      </c>
      <c r="D715" s="18">
        <v>-0.0068902030005382545</v>
      </c>
    </row>
    <row r="716" ht="15.75" customHeight="1">
      <c r="A716" s="3">
        <v>44137.0</v>
      </c>
      <c r="B716" s="17">
        <v>330.2</v>
      </c>
      <c r="C716" s="18">
        <f t="shared" si="1"/>
        <v>0.01114607879</v>
      </c>
      <c r="D716" s="18">
        <v>0.0034909848020498197</v>
      </c>
    </row>
    <row r="717" ht="15.75" customHeight="1">
      <c r="A717" s="3">
        <v>44138.0</v>
      </c>
      <c r="B717" s="17">
        <v>336.03</v>
      </c>
      <c r="C717" s="18">
        <f t="shared" si="1"/>
        <v>0.01750191021</v>
      </c>
      <c r="D717" s="18">
        <v>0.013473533656863268</v>
      </c>
    </row>
    <row r="718" ht="15.75" customHeight="1">
      <c r="A718" s="3">
        <v>44139.0</v>
      </c>
      <c r="B718" s="17">
        <v>343.54</v>
      </c>
      <c r="C718" s="18">
        <f t="shared" si="1"/>
        <v>0.02210311152</v>
      </c>
      <c r="D718" s="18">
        <v>-1.0715672456875369E-4</v>
      </c>
    </row>
    <row r="719" ht="15.75" customHeight="1">
      <c r="A719" s="3">
        <v>44140.0</v>
      </c>
      <c r="B719" s="17">
        <v>350.24</v>
      </c>
      <c r="C719" s="18">
        <f t="shared" si="1"/>
        <v>0.01931508057</v>
      </c>
      <c r="D719" s="18">
        <v>0.005033961053740496</v>
      </c>
    </row>
    <row r="720" ht="15.75" customHeight="1">
      <c r="A720" s="3">
        <v>44141.0</v>
      </c>
      <c r="B720" s="17">
        <v>350.16</v>
      </c>
      <c r="C720" s="18">
        <f t="shared" si="1"/>
        <v>-0.0002284408919</v>
      </c>
      <c r="D720" s="18">
        <v>-0.003152684576763734</v>
      </c>
    </row>
    <row r="721" ht="15.75" customHeight="1">
      <c r="A721" s="3">
        <v>44144.0</v>
      </c>
      <c r="B721" s="17">
        <v>354.56</v>
      </c>
      <c r="C721" s="18">
        <f t="shared" si="1"/>
        <v>0.01248739124</v>
      </c>
      <c r="D721" s="18">
        <v>0.006846668332687203</v>
      </c>
    </row>
    <row r="722" ht="15.75" customHeight="1">
      <c r="A722" s="3">
        <v>44145.0</v>
      </c>
      <c r="B722" s="17">
        <v>354.04</v>
      </c>
      <c r="C722" s="18">
        <f t="shared" si="1"/>
        <v>-0.001467683018</v>
      </c>
      <c r="D722" s="18">
        <v>0.028865497388648777</v>
      </c>
    </row>
    <row r="723" ht="15.75" customHeight="1">
      <c r="A723" s="3">
        <v>44146.0</v>
      </c>
      <c r="B723" s="17">
        <v>356.67</v>
      </c>
      <c r="C723" s="18">
        <f t="shared" si="1"/>
        <v>0.007401083438</v>
      </c>
      <c r="D723" s="18">
        <v>0.004466383721036842</v>
      </c>
    </row>
    <row r="724" ht="15.75" customHeight="1">
      <c r="A724" s="3">
        <v>44147.0</v>
      </c>
      <c r="B724" s="17">
        <v>353.21</v>
      </c>
      <c r="C724" s="18">
        <f t="shared" si="1"/>
        <v>-0.009748203639</v>
      </c>
      <c r="D724" s="18">
        <v>-2.537268148503023E-4</v>
      </c>
    </row>
    <row r="725" ht="15.75" customHeight="1">
      <c r="A725" s="3">
        <v>44148.0</v>
      </c>
      <c r="B725" s="17">
        <v>358.1</v>
      </c>
      <c r="C725" s="18">
        <f t="shared" si="1"/>
        <v>0.0137494961</v>
      </c>
      <c r="D725" s="18">
        <v>-0.008186320302320624</v>
      </c>
    </row>
    <row r="726" ht="15.75" customHeight="1">
      <c r="A726" s="3">
        <v>44151.0</v>
      </c>
      <c r="B726" s="17">
        <v>362.57</v>
      </c>
      <c r="C726" s="18">
        <f t="shared" si="1"/>
        <v>0.0124052821</v>
      </c>
      <c r="D726" s="18">
        <v>-0.005084888826661781</v>
      </c>
    </row>
    <row r="727" ht="15.75" customHeight="1">
      <c r="A727" s="3">
        <v>44152.0</v>
      </c>
      <c r="B727" s="17">
        <v>360.62</v>
      </c>
      <c r="C727" s="18">
        <f t="shared" si="1"/>
        <v>-0.005392786753</v>
      </c>
      <c r="D727" s="18">
        <v>0.00837039780336233</v>
      </c>
    </row>
    <row r="728" ht="15.75" customHeight="1">
      <c r="A728" s="3">
        <v>44153.0</v>
      </c>
      <c r="B728" s="17">
        <v>356.28</v>
      </c>
      <c r="C728" s="18">
        <f t="shared" si="1"/>
        <v>-0.01210783378</v>
      </c>
      <c r="D728" s="18">
        <v>0.002902503531632538</v>
      </c>
    </row>
    <row r="729" ht="15.75" customHeight="1">
      <c r="A729" s="3">
        <v>44154.0</v>
      </c>
      <c r="B729" s="17">
        <v>357.78</v>
      </c>
      <c r="C729" s="18">
        <f t="shared" si="1"/>
        <v>0.004201333799</v>
      </c>
      <c r="D729" s="18">
        <v>-0.006237013188197805</v>
      </c>
    </row>
    <row r="730" ht="15.75" customHeight="1">
      <c r="A730" s="3">
        <v>44155.0</v>
      </c>
      <c r="B730" s="17">
        <v>355.33</v>
      </c>
      <c r="C730" s="18">
        <f t="shared" si="1"/>
        <v>-0.006871337212</v>
      </c>
      <c r="D730" s="18">
        <v>-0.004096039821533471</v>
      </c>
    </row>
    <row r="731" ht="15.75" customHeight="1">
      <c r="A731" s="3">
        <v>44158.0</v>
      </c>
      <c r="B731" s="17">
        <v>357.46</v>
      </c>
      <c r="C731" s="18">
        <f t="shared" si="1"/>
        <v>0.005976532612</v>
      </c>
      <c r="D731" s="18">
        <v>-9.976916237652259E-4</v>
      </c>
    </row>
    <row r="732" ht="15.75" customHeight="1">
      <c r="A732" s="3">
        <v>44159.0</v>
      </c>
      <c r="B732" s="17">
        <v>363.22</v>
      </c>
      <c r="C732" s="18">
        <f t="shared" si="1"/>
        <v>0.01598524353</v>
      </c>
      <c r="D732" s="18">
        <v>0.004370287920586009</v>
      </c>
    </row>
    <row r="733" ht="15.75" customHeight="1">
      <c r="A733" s="3">
        <v>44160.0</v>
      </c>
      <c r="B733" s="17">
        <v>362.66</v>
      </c>
      <c r="C733" s="18">
        <f t="shared" si="1"/>
        <v>-0.001542955064</v>
      </c>
      <c r="D733" s="18">
        <v>0.0022920973584282284</v>
      </c>
    </row>
    <row r="734" ht="15.75" customHeight="1">
      <c r="A734" s="3">
        <v>44162.0</v>
      </c>
      <c r="B734" s="17">
        <v>363.67</v>
      </c>
      <c r="C734" s="18">
        <f t="shared" si="1"/>
        <v>0.0027811068</v>
      </c>
      <c r="D734" s="18">
        <v>0.003053412332558298</v>
      </c>
    </row>
    <row r="735" ht="15.75" customHeight="1">
      <c r="A735" s="3">
        <v>44165.0</v>
      </c>
      <c r="B735" s="17">
        <v>362.06</v>
      </c>
      <c r="C735" s="18">
        <f t="shared" si="1"/>
        <v>-0.004436919078</v>
      </c>
      <c r="D735" s="18">
        <v>-0.002035574103757648</v>
      </c>
    </row>
    <row r="736" ht="15.75" customHeight="1">
      <c r="A736" s="3">
        <v>44166.0</v>
      </c>
      <c r="B736" s="17">
        <v>366.02</v>
      </c>
      <c r="C736" s="18">
        <f t="shared" si="1"/>
        <v>0.01087803277</v>
      </c>
      <c r="D736" s="18">
        <v>0.0077003347380887694</v>
      </c>
    </row>
    <row r="737" ht="15.75" customHeight="1">
      <c r="A737" s="3">
        <v>44167.0</v>
      </c>
      <c r="B737" s="17">
        <v>366.79</v>
      </c>
      <c r="C737" s="18">
        <f t="shared" si="1"/>
        <v>0.00210150048</v>
      </c>
      <c r="D737" s="18">
        <v>-0.0189233410677704</v>
      </c>
    </row>
    <row r="738" ht="15.75" customHeight="1">
      <c r="A738" s="3">
        <v>44168.0</v>
      </c>
      <c r="B738" s="17">
        <v>366.69</v>
      </c>
      <c r="C738" s="18">
        <f t="shared" si="1"/>
        <v>-0.0002726727399</v>
      </c>
      <c r="D738" s="18">
        <v>-0.008331136022479577</v>
      </c>
    </row>
    <row r="739" ht="15.75" customHeight="1">
      <c r="A739" s="3">
        <v>44169.0</v>
      </c>
      <c r="B739" s="17">
        <v>369.85</v>
      </c>
      <c r="C739" s="18">
        <f t="shared" si="1"/>
        <v>0.008580713577</v>
      </c>
      <c r="D739" s="18">
        <v>-0.003255641810997039</v>
      </c>
    </row>
    <row r="740" ht="15.75" customHeight="1">
      <c r="A740" s="3">
        <v>44172.0</v>
      </c>
      <c r="B740" s="17">
        <v>369.09</v>
      </c>
      <c r="C740" s="18">
        <f t="shared" si="1"/>
        <v>-0.002057001294</v>
      </c>
      <c r="D740" s="18">
        <v>-0.008835175694138917</v>
      </c>
    </row>
    <row r="741" ht="15.75" customHeight="1">
      <c r="A741" s="3">
        <v>44173.0</v>
      </c>
      <c r="B741" s="17">
        <v>370.17</v>
      </c>
      <c r="C741" s="18">
        <f t="shared" si="1"/>
        <v>0.002921842838</v>
      </c>
      <c r="D741" s="18">
        <v>-0.005069197442055178</v>
      </c>
    </row>
    <row r="742" ht="15.75" customHeight="1">
      <c r="A742" s="3">
        <v>44174.0</v>
      </c>
      <c r="B742" s="17">
        <v>366.85</v>
      </c>
      <c r="C742" s="18">
        <f t="shared" si="1"/>
        <v>-0.009009314419</v>
      </c>
      <c r="D742" s="18">
        <v>-0.006170074256151453</v>
      </c>
    </row>
    <row r="743" ht="15.75" customHeight="1">
      <c r="A743" s="3">
        <v>44175.0</v>
      </c>
      <c r="B743" s="17">
        <v>366.73</v>
      </c>
      <c r="C743" s="18">
        <f t="shared" si="1"/>
        <v>-0.0003271626846</v>
      </c>
      <c r="D743" s="18">
        <v>0.0064823123055461245</v>
      </c>
    </row>
    <row r="744" ht="15.75" customHeight="1">
      <c r="A744" s="3">
        <v>44176.0</v>
      </c>
      <c r="B744" s="17">
        <v>366.3</v>
      </c>
      <c r="C744" s="18">
        <f t="shared" si="1"/>
        <v>-0.001173212691</v>
      </c>
      <c r="D744" s="18">
        <v>-0.004493979848142166</v>
      </c>
    </row>
    <row r="745" ht="15.75" customHeight="1">
      <c r="A745" s="3">
        <v>44179.0</v>
      </c>
      <c r="B745" s="17">
        <v>364.66</v>
      </c>
      <c r="C745" s="18">
        <f t="shared" si="1"/>
        <v>-0.004487257174</v>
      </c>
      <c r="D745" s="18">
        <v>-0.005753349128211263</v>
      </c>
    </row>
    <row r="746" ht="15.75" customHeight="1">
      <c r="A746" s="3">
        <v>44180.0</v>
      </c>
      <c r="B746" s="17">
        <v>369.59</v>
      </c>
      <c r="C746" s="18">
        <f t="shared" si="1"/>
        <v>0.01342887051</v>
      </c>
      <c r="D746" s="18">
        <v>0.003830888078368247</v>
      </c>
    </row>
    <row r="747" ht="15.75" customHeight="1">
      <c r="A747" s="3">
        <v>44181.0</v>
      </c>
      <c r="B747" s="17">
        <v>370.17</v>
      </c>
      <c r="C747" s="18">
        <f t="shared" si="1"/>
        <v>0.001568076454</v>
      </c>
      <c r="D747" s="18">
        <v>-0.00512876500199859</v>
      </c>
    </row>
    <row r="748" ht="15.75" customHeight="1">
      <c r="A748" s="3">
        <v>44182.0</v>
      </c>
      <c r="B748" s="17">
        <v>372.24</v>
      </c>
      <c r="C748" s="18">
        <f t="shared" si="1"/>
        <v>0.005576447958</v>
      </c>
      <c r="D748" s="18">
        <v>-0.011391560043246976</v>
      </c>
    </row>
    <row r="749" ht="15.75" customHeight="1">
      <c r="A749" s="3">
        <v>44183.0</v>
      </c>
      <c r="B749" s="17">
        <v>369.18</v>
      </c>
      <c r="C749" s="18">
        <f t="shared" si="1"/>
        <v>-0.008254477556</v>
      </c>
      <c r="D749" s="18">
        <v>0.010236530057461578</v>
      </c>
    </row>
    <row r="750" ht="15.75" customHeight="1">
      <c r="A750" s="3">
        <v>44186.0</v>
      </c>
      <c r="B750" s="17">
        <v>367.86</v>
      </c>
      <c r="C750" s="18">
        <f t="shared" si="1"/>
        <v>-0.003581898978</v>
      </c>
      <c r="D750" s="18">
        <v>0.006129330853171726</v>
      </c>
    </row>
    <row r="751" ht="15.75" customHeight="1">
      <c r="A751" s="3">
        <v>44187.0</v>
      </c>
      <c r="B751" s="17">
        <v>367.24</v>
      </c>
      <c r="C751" s="18">
        <f t="shared" si="1"/>
        <v>-0.001686845727</v>
      </c>
      <c r="D751" s="18">
        <v>0.009315475659587546</v>
      </c>
    </row>
    <row r="752" ht="15.75" customHeight="1">
      <c r="A752" s="3">
        <v>44188.0</v>
      </c>
      <c r="B752" s="17">
        <v>367.57</v>
      </c>
      <c r="C752" s="18">
        <f t="shared" si="1"/>
        <v>0.0008981914296</v>
      </c>
      <c r="D752" s="18">
        <v>0.0021216663525377173</v>
      </c>
    </row>
    <row r="753" ht="15.75" customHeight="1">
      <c r="A753" s="3">
        <v>44189.0</v>
      </c>
      <c r="B753" s="17">
        <v>369.0</v>
      </c>
      <c r="C753" s="18">
        <f t="shared" si="1"/>
        <v>0.003882867335</v>
      </c>
      <c r="D753" s="18">
        <v>-0.007418861287574088</v>
      </c>
    </row>
    <row r="754" ht="15.75" customHeight="1">
      <c r="A754" s="3">
        <v>44193.0</v>
      </c>
      <c r="B754" s="17">
        <v>372.17</v>
      </c>
      <c r="C754" s="18">
        <f t="shared" si="1"/>
        <v>0.008554095092</v>
      </c>
      <c r="D754" s="18">
        <v>8.394200606590516E-4</v>
      </c>
    </row>
    <row r="755" ht="15.75" customHeight="1">
      <c r="A755" s="3">
        <v>44194.0</v>
      </c>
      <c r="B755" s="17">
        <v>371.46</v>
      </c>
      <c r="C755" s="18">
        <f t="shared" si="1"/>
        <v>-0.001909552373</v>
      </c>
      <c r="D755" s="18">
        <v>0.004302310501032129</v>
      </c>
    </row>
    <row r="756" ht="15.75" customHeight="1">
      <c r="A756" s="3">
        <v>44195.0</v>
      </c>
      <c r="B756" s="17">
        <v>371.99</v>
      </c>
      <c r="C756" s="18">
        <f t="shared" si="1"/>
        <v>0.001425785432</v>
      </c>
      <c r="D756" s="18">
        <v>0.003908066382173626</v>
      </c>
    </row>
    <row r="757" ht="15.75" customHeight="1">
      <c r="A757" s="3">
        <v>44196.0</v>
      </c>
      <c r="B757" s="17">
        <v>373.88</v>
      </c>
      <c r="C757" s="18">
        <f t="shared" si="1"/>
        <v>0.005067918123</v>
      </c>
      <c r="D757" s="18">
        <v>-0.007321309503782944</v>
      </c>
    </row>
    <row r="758" ht="15.75" customHeight="1">
      <c r="A758" s="3">
        <v>44200.0</v>
      </c>
      <c r="B758" s="17">
        <v>368.79</v>
      </c>
      <c r="C758" s="18">
        <f t="shared" si="1"/>
        <v>-0.01370751397</v>
      </c>
      <c r="D758" s="18">
        <v>0.009031512931700434</v>
      </c>
    </row>
    <row r="759" ht="15.75" customHeight="1">
      <c r="A759" s="3">
        <v>44201.0</v>
      </c>
      <c r="B759" s="17">
        <v>371.33</v>
      </c>
      <c r="C759" s="18">
        <f t="shared" si="1"/>
        <v>0.006863778771</v>
      </c>
      <c r="D759" s="18">
        <v>-9.671040111218972E-4</v>
      </c>
    </row>
    <row r="760" ht="15.75" customHeight="1">
      <c r="A760" s="3">
        <v>44202.0</v>
      </c>
      <c r="B760" s="17">
        <v>373.55</v>
      </c>
      <c r="C760" s="18">
        <f t="shared" si="1"/>
        <v>0.005960709304</v>
      </c>
      <c r="D760" s="18">
        <v>-0.006128940210010401</v>
      </c>
    </row>
    <row r="761" ht="15.75" customHeight="1">
      <c r="A761" s="3">
        <v>44203.0</v>
      </c>
      <c r="B761" s="17">
        <v>379.1</v>
      </c>
      <c r="C761" s="18">
        <f t="shared" si="1"/>
        <v>0.0147481581</v>
      </c>
      <c r="D761" s="18">
        <v>0.00688392578655087</v>
      </c>
    </row>
    <row r="762" ht="15.75" customHeight="1">
      <c r="A762" s="3">
        <v>44204.0</v>
      </c>
      <c r="B762" s="17">
        <v>381.26</v>
      </c>
      <c r="C762" s="18">
        <f t="shared" si="1"/>
        <v>0.005681534564</v>
      </c>
      <c r="D762" s="18">
        <v>-0.008808999564982817</v>
      </c>
    </row>
    <row r="763" ht="15.75" customHeight="1">
      <c r="A763" s="3">
        <v>44207.0</v>
      </c>
      <c r="B763" s="17">
        <v>378.69</v>
      </c>
      <c r="C763" s="18">
        <f t="shared" si="1"/>
        <v>-0.006763628653</v>
      </c>
      <c r="D763" s="18">
        <v>-6.490335485323204E-4</v>
      </c>
    </row>
    <row r="764" ht="15.75" customHeight="1">
      <c r="A764" s="3">
        <v>44208.0</v>
      </c>
      <c r="B764" s="17">
        <v>378.77</v>
      </c>
      <c r="C764" s="18">
        <f t="shared" si="1"/>
        <v>0.0002112322771</v>
      </c>
      <c r="D764" s="18">
        <v>0.002122662065287768</v>
      </c>
    </row>
    <row r="765" ht="15.75" customHeight="1">
      <c r="A765" s="3">
        <v>44209.0</v>
      </c>
      <c r="B765" s="17">
        <v>379.79</v>
      </c>
      <c r="C765" s="18">
        <f t="shared" si="1"/>
        <v>0.002689307674</v>
      </c>
      <c r="D765" s="18">
        <v>9.59545198361086E-4</v>
      </c>
    </row>
    <row r="766" ht="15.75" customHeight="1">
      <c r="A766" s="3">
        <v>44210.0</v>
      </c>
      <c r="B766" s="17">
        <v>378.46</v>
      </c>
      <c r="C766" s="18">
        <f t="shared" si="1"/>
        <v>-0.003508081408</v>
      </c>
      <c r="D766" s="18">
        <v>-0.0018350428531588414</v>
      </c>
    </row>
    <row r="767" ht="15.75" customHeight="1">
      <c r="A767" s="3">
        <v>44211.0</v>
      </c>
      <c r="B767" s="17">
        <v>375.7</v>
      </c>
      <c r="C767" s="18">
        <f t="shared" si="1"/>
        <v>-0.007319434396</v>
      </c>
      <c r="D767" s="18">
        <v>-0.0010360201753086974</v>
      </c>
    </row>
    <row r="768" ht="15.75" customHeight="1">
      <c r="A768" s="3">
        <v>44215.0</v>
      </c>
      <c r="B768" s="17">
        <v>378.65</v>
      </c>
      <c r="C768" s="18">
        <f t="shared" si="1"/>
        <v>0.00782134298</v>
      </c>
      <c r="D768" s="18">
        <v>0.005838623008554906</v>
      </c>
    </row>
    <row r="769" ht="15.75" customHeight="1">
      <c r="A769" s="3">
        <v>44216.0</v>
      </c>
      <c r="B769" s="17">
        <v>383.89</v>
      </c>
      <c r="C769" s="18">
        <f t="shared" si="1"/>
        <v>0.01374375766</v>
      </c>
      <c r="D769" s="18">
        <v>-0.010387461974581251</v>
      </c>
    </row>
    <row r="770" ht="15.75" customHeight="1">
      <c r="A770" s="3">
        <v>44217.0</v>
      </c>
      <c r="B770" s="17">
        <v>384.24</v>
      </c>
      <c r="C770" s="18">
        <f t="shared" si="1"/>
        <v>0.0009113041392</v>
      </c>
      <c r="D770" s="18">
        <v>-0.006685189990386864</v>
      </c>
    </row>
    <row r="771" ht="15.75" customHeight="1">
      <c r="A771" s="3">
        <v>44218.0</v>
      </c>
      <c r="B771" s="17">
        <v>382.88</v>
      </c>
      <c r="C771" s="18">
        <f t="shared" si="1"/>
        <v>-0.003545733197</v>
      </c>
      <c r="D771" s="18">
        <v>-0.002860113213150554</v>
      </c>
    </row>
    <row r="772" ht="15.75" customHeight="1">
      <c r="A772" s="3">
        <v>44221.0</v>
      </c>
      <c r="B772" s="17">
        <v>384.39</v>
      </c>
      <c r="C772" s="18">
        <f t="shared" si="1"/>
        <v>0.00393603803</v>
      </c>
      <c r="D772" s="18">
        <v>0.0015845980374455987</v>
      </c>
    </row>
    <row r="773" ht="15.75" customHeight="1">
      <c r="A773" s="3">
        <v>44222.0</v>
      </c>
      <c r="B773" s="17">
        <v>383.79</v>
      </c>
      <c r="C773" s="18">
        <f t="shared" si="1"/>
        <v>-0.001562134193</v>
      </c>
      <c r="D773" s="18">
        <v>-0.0014106205133038886</v>
      </c>
    </row>
    <row r="774" ht="15.75" customHeight="1">
      <c r="A774" s="3">
        <v>44223.0</v>
      </c>
      <c r="B774" s="17">
        <v>374.41</v>
      </c>
      <c r="C774" s="18">
        <f t="shared" si="1"/>
        <v>-0.02474407435</v>
      </c>
      <c r="D774" s="18">
        <v>-0.001234967687351676</v>
      </c>
    </row>
    <row r="775" ht="15.75" customHeight="1">
      <c r="A775" s="3">
        <v>44224.0</v>
      </c>
      <c r="B775" s="17">
        <v>377.63</v>
      </c>
      <c r="C775" s="18">
        <f t="shared" si="1"/>
        <v>0.00856342662</v>
      </c>
      <c r="D775" s="18">
        <v>-0.006505173102492267</v>
      </c>
    </row>
    <row r="776" ht="15.75" customHeight="1">
      <c r="A776" s="3">
        <v>44225.0</v>
      </c>
      <c r="B776" s="17">
        <v>370.07</v>
      </c>
      <c r="C776" s="18">
        <f t="shared" si="1"/>
        <v>-0.02022270333</v>
      </c>
      <c r="D776" s="18">
        <v>-0.007576350350356837</v>
      </c>
    </row>
    <row r="777" ht="15.75" customHeight="1">
      <c r="A777" s="3">
        <v>44228.0</v>
      </c>
      <c r="B777" s="17">
        <v>376.23</v>
      </c>
      <c r="C777" s="18">
        <f t="shared" si="1"/>
        <v>0.01650848157</v>
      </c>
      <c r="D777" s="18">
        <v>0.0027010633807185405</v>
      </c>
    </row>
    <row r="778" ht="15.75" customHeight="1">
      <c r="A778" s="3">
        <v>44229.0</v>
      </c>
      <c r="B778" s="17">
        <v>381.55</v>
      </c>
      <c r="C778" s="18">
        <f t="shared" si="1"/>
        <v>0.01404124523</v>
      </c>
      <c r="D778" s="18">
        <v>-0.012615260610196962</v>
      </c>
    </row>
    <row r="779" ht="15.75" customHeight="1">
      <c r="A779" s="3">
        <v>44230.0</v>
      </c>
      <c r="B779" s="17">
        <v>381.85</v>
      </c>
      <c r="C779" s="18">
        <f t="shared" si="1"/>
        <v>0.0007859575988</v>
      </c>
      <c r="D779" s="18">
        <v>-0.0027549871504770323</v>
      </c>
    </row>
    <row r="780" ht="15.75" customHeight="1">
      <c r="A780" s="3">
        <v>44231.0</v>
      </c>
      <c r="B780" s="17">
        <v>386.19</v>
      </c>
      <c r="C780" s="18">
        <f t="shared" si="1"/>
        <v>0.01130161501</v>
      </c>
      <c r="D780" s="18">
        <v>0.03022252088469449</v>
      </c>
    </row>
    <row r="781" ht="15.75" customHeight="1">
      <c r="A781" s="3">
        <v>44232.0</v>
      </c>
      <c r="B781" s="17">
        <v>387.71</v>
      </c>
      <c r="C781" s="18">
        <f t="shared" si="1"/>
        <v>0.003928161144</v>
      </c>
      <c r="D781" s="18">
        <v>0.02487682434453803</v>
      </c>
    </row>
    <row r="782" ht="15.75" customHeight="1">
      <c r="A782" s="3">
        <v>44235.0</v>
      </c>
      <c r="B782" s="17">
        <v>390.51</v>
      </c>
      <c r="C782" s="18">
        <f t="shared" si="1"/>
        <v>0.007195939663</v>
      </c>
      <c r="D782" s="18">
        <v>-3.0849408795170574E-4</v>
      </c>
    </row>
    <row r="783" ht="15.75" customHeight="1">
      <c r="A783" s="3">
        <v>44236.0</v>
      </c>
      <c r="B783" s="17">
        <v>390.25</v>
      </c>
      <c r="C783" s="18">
        <f t="shared" si="1"/>
        <v>-0.0006660177509</v>
      </c>
      <c r="D783" s="18">
        <v>0.00466267221928134</v>
      </c>
    </row>
    <row r="784" ht="15.75" customHeight="1">
      <c r="A784" s="3">
        <v>44237.0</v>
      </c>
      <c r="B784" s="17">
        <v>390.08</v>
      </c>
      <c r="C784" s="18">
        <f t="shared" si="1"/>
        <v>-0.0004357131026</v>
      </c>
      <c r="D784" s="18">
        <v>4.786355948185946E-4</v>
      </c>
    </row>
    <row r="785" ht="15.75" customHeight="1">
      <c r="A785" s="3">
        <v>44238.0</v>
      </c>
      <c r="B785" s="17">
        <v>390.71</v>
      </c>
      <c r="C785" s="18">
        <f t="shared" si="1"/>
        <v>0.001613750526</v>
      </c>
      <c r="D785" s="18">
        <v>0.008848560544565709</v>
      </c>
    </row>
    <row r="786" ht="15.75" customHeight="1">
      <c r="A786" s="3">
        <v>44239.0</v>
      </c>
      <c r="B786" s="17">
        <v>392.64</v>
      </c>
      <c r="C786" s="18">
        <f t="shared" si="1"/>
        <v>0.004927564703</v>
      </c>
      <c r="D786" s="18">
        <v>0.0045461434677901685</v>
      </c>
    </row>
    <row r="787" ht="15.75" customHeight="1">
      <c r="A787" s="3">
        <v>44243.0</v>
      </c>
      <c r="B787" s="17">
        <v>392.3</v>
      </c>
      <c r="C787" s="18">
        <f t="shared" si="1"/>
        <v>-0.000866308307</v>
      </c>
      <c r="D787" s="18">
        <v>-0.0044161629916564405</v>
      </c>
    </row>
    <row r="788" ht="15.75" customHeight="1">
      <c r="A788" s="3">
        <v>44244.0</v>
      </c>
      <c r="B788" s="17">
        <v>392.39</v>
      </c>
      <c r="C788" s="18">
        <f t="shared" si="1"/>
        <v>0.0002293899512</v>
      </c>
      <c r="D788" s="18">
        <v>0.002567892616419219</v>
      </c>
    </row>
    <row r="789" ht="15.75" customHeight="1">
      <c r="A789" s="3">
        <v>44245.0</v>
      </c>
      <c r="B789" s="17">
        <v>390.72</v>
      </c>
      <c r="C789" s="18">
        <f t="shared" si="1"/>
        <v>-0.004265052244</v>
      </c>
      <c r="D789" s="18">
        <v>0.004290283181210646</v>
      </c>
    </row>
    <row r="790" ht="15.75" customHeight="1">
      <c r="A790" s="3">
        <v>44246.0</v>
      </c>
      <c r="B790" s="17">
        <v>390.03</v>
      </c>
      <c r="C790" s="18">
        <f t="shared" si="1"/>
        <v>-0.00176753168</v>
      </c>
      <c r="D790" s="18">
        <v>0.0072611314568971136</v>
      </c>
    </row>
    <row r="791" ht="15.75" customHeight="1">
      <c r="A791" s="3">
        <v>44249.0</v>
      </c>
      <c r="B791" s="17">
        <v>387.03</v>
      </c>
      <c r="C791" s="18">
        <f t="shared" si="1"/>
        <v>-0.007721449837</v>
      </c>
      <c r="D791" s="18">
        <v>0.0024793131475971007</v>
      </c>
    </row>
    <row r="792" ht="15.75" customHeight="1">
      <c r="A792" s="3">
        <v>44250.0</v>
      </c>
      <c r="B792" s="17">
        <v>387.5</v>
      </c>
      <c r="C792" s="18">
        <f t="shared" si="1"/>
        <v>0.001213639388</v>
      </c>
      <c r="D792" s="18">
        <v>0.002522901598611378</v>
      </c>
    </row>
    <row r="793" ht="15.75" customHeight="1">
      <c r="A793" s="3">
        <v>44251.0</v>
      </c>
      <c r="B793" s="17">
        <v>391.77</v>
      </c>
      <c r="C793" s="18">
        <f t="shared" si="1"/>
        <v>0.01095908411</v>
      </c>
      <c r="D793" s="18">
        <v>-0.0011909758114932655</v>
      </c>
    </row>
    <row r="794" ht="15.75" customHeight="1">
      <c r="A794" s="3">
        <v>44252.0</v>
      </c>
      <c r="B794" s="17">
        <v>382.33</v>
      </c>
      <c r="C794" s="18">
        <f t="shared" si="1"/>
        <v>-0.02439082287</v>
      </c>
      <c r="D794" s="18">
        <v>-0.0022269033110449655</v>
      </c>
    </row>
    <row r="795" ht="15.75" customHeight="1">
      <c r="A795" s="3">
        <v>44253.0</v>
      </c>
      <c r="B795" s="17">
        <v>380.36</v>
      </c>
      <c r="C795" s="18">
        <f t="shared" si="1"/>
        <v>-0.005165937356</v>
      </c>
      <c r="D795" s="18">
        <v>0.0034662010253146526</v>
      </c>
    </row>
    <row r="796" ht="15.75" customHeight="1">
      <c r="A796" s="3">
        <v>44256.0</v>
      </c>
      <c r="B796" s="17">
        <v>389.58</v>
      </c>
      <c r="C796" s="18">
        <f t="shared" si="1"/>
        <v>0.02395106308</v>
      </c>
      <c r="D796" s="18">
        <v>-0.007857644527010092</v>
      </c>
    </row>
    <row r="797" ht="15.75" customHeight="1">
      <c r="A797" s="3">
        <v>44257.0</v>
      </c>
      <c r="B797" s="17">
        <v>386.54</v>
      </c>
      <c r="C797" s="18">
        <f t="shared" si="1"/>
        <v>-0.007833880191</v>
      </c>
      <c r="D797" s="18">
        <v>-6.283581425569239E-4</v>
      </c>
    </row>
    <row r="798" ht="15.75" customHeight="1">
      <c r="A798" s="3">
        <v>44258.0</v>
      </c>
      <c r="B798" s="17">
        <v>381.42</v>
      </c>
      <c r="C798" s="18">
        <f t="shared" si="1"/>
        <v>-0.01333422538</v>
      </c>
      <c r="D798" s="18">
        <v>-0.0020455629869937583</v>
      </c>
    </row>
    <row r="799" ht="15.75" customHeight="1">
      <c r="A799" s="3">
        <v>44259.0</v>
      </c>
      <c r="B799" s="17">
        <v>376.7</v>
      </c>
      <c r="C799" s="18">
        <f t="shared" si="1"/>
        <v>-0.01245201548</v>
      </c>
      <c r="D799" s="18">
        <v>0.008373547145360245</v>
      </c>
    </row>
    <row r="800" ht="15.75" customHeight="1">
      <c r="A800" s="3">
        <v>44260.0</v>
      </c>
      <c r="B800" s="17">
        <v>383.63</v>
      </c>
      <c r="C800" s="18">
        <f t="shared" si="1"/>
        <v>0.01822943172</v>
      </c>
      <c r="D800" s="18">
        <v>-0.005903979357462111</v>
      </c>
    </row>
    <row r="801" ht="15.75" customHeight="1">
      <c r="A801" s="3">
        <v>44263.0</v>
      </c>
      <c r="B801" s="17">
        <v>381.72</v>
      </c>
      <c r="C801" s="18">
        <f t="shared" si="1"/>
        <v>-0.004991190867</v>
      </c>
      <c r="D801" s="18">
        <v>0.005940586103095178</v>
      </c>
    </row>
    <row r="802" ht="15.75" customHeight="1">
      <c r="A802" s="3">
        <v>44264.0</v>
      </c>
      <c r="B802" s="17">
        <v>387.17</v>
      </c>
      <c r="C802" s="18">
        <f t="shared" si="1"/>
        <v>0.01417651751</v>
      </c>
      <c r="D802" s="18">
        <v>0.0032893425930948794</v>
      </c>
    </row>
    <row r="803" ht="15.75" customHeight="1">
      <c r="A803" s="3">
        <v>44265.0</v>
      </c>
      <c r="B803" s="17">
        <v>389.58</v>
      </c>
      <c r="C803" s="18">
        <f t="shared" si="1"/>
        <v>0.006205362687</v>
      </c>
      <c r="D803" s="18">
        <v>-0.006708817061528525</v>
      </c>
    </row>
    <row r="804" ht="15.75" customHeight="1">
      <c r="A804" s="3">
        <v>44266.0</v>
      </c>
      <c r="B804" s="17">
        <v>393.53</v>
      </c>
      <c r="C804" s="18">
        <f t="shared" si="1"/>
        <v>0.01008806808</v>
      </c>
      <c r="D804" s="18">
        <v>-0.002743823223624807</v>
      </c>
    </row>
    <row r="805" ht="15.75" customHeight="1">
      <c r="A805" s="3">
        <v>44267.0</v>
      </c>
      <c r="B805" s="17">
        <v>394.06</v>
      </c>
      <c r="C805" s="18">
        <f t="shared" si="1"/>
        <v>0.001345878135</v>
      </c>
      <c r="D805" s="18">
        <v>-0.0038267454131775723</v>
      </c>
    </row>
    <row r="806" ht="15.75" customHeight="1">
      <c r="A806" s="3">
        <v>44270.0</v>
      </c>
      <c r="B806" s="17">
        <v>396.41</v>
      </c>
      <c r="C806" s="18">
        <f t="shared" si="1"/>
        <v>0.005945847213</v>
      </c>
      <c r="D806" s="18">
        <v>0.0021261326113796468</v>
      </c>
    </row>
    <row r="807" ht="15.75" customHeight="1">
      <c r="A807" s="3">
        <v>44271.0</v>
      </c>
      <c r="B807" s="17">
        <v>395.91</v>
      </c>
      <c r="C807" s="18">
        <f t="shared" si="1"/>
        <v>-0.001262116484</v>
      </c>
      <c r="D807" s="18">
        <v>-0.0051543349918106995</v>
      </c>
    </row>
    <row r="808" ht="15.75" customHeight="1">
      <c r="A808" s="3">
        <v>44272.0</v>
      </c>
      <c r="B808" s="17">
        <v>397.26</v>
      </c>
      <c r="C808" s="18">
        <f t="shared" si="1"/>
        <v>0.003404065468</v>
      </c>
      <c r="D808" s="18">
        <v>5.949210188069007E-4</v>
      </c>
    </row>
    <row r="809" ht="15.75" customHeight="1">
      <c r="A809" s="3">
        <v>44273.0</v>
      </c>
      <c r="B809" s="17">
        <v>391.48</v>
      </c>
      <c r="C809" s="18">
        <f t="shared" si="1"/>
        <v>-0.01465654961</v>
      </c>
      <c r="D809" s="18">
        <v>0.01100112946054533</v>
      </c>
    </row>
    <row r="810" ht="15.75" customHeight="1">
      <c r="A810" s="3">
        <v>44274.0</v>
      </c>
      <c r="B810" s="17">
        <v>389.48</v>
      </c>
      <c r="C810" s="18">
        <f t="shared" si="1"/>
        <v>-0.005121912447</v>
      </c>
      <c r="D810" s="18">
        <v>0.013626598407857399</v>
      </c>
    </row>
    <row r="811" ht="15.75" customHeight="1">
      <c r="A811" s="3">
        <v>44277.0</v>
      </c>
      <c r="B811" s="17">
        <v>392.59</v>
      </c>
      <c r="C811" s="18">
        <f t="shared" si="1"/>
        <v>0.00795329419</v>
      </c>
      <c r="D811" s="18">
        <v>0.001012583419212092</v>
      </c>
    </row>
    <row r="812" ht="15.75" customHeight="1">
      <c r="A812" s="3">
        <v>44278.0</v>
      </c>
      <c r="B812" s="17">
        <v>389.5</v>
      </c>
      <c r="C812" s="18">
        <f t="shared" si="1"/>
        <v>-0.00790194499</v>
      </c>
      <c r="D812" s="18">
        <v>-0.004986837472085721</v>
      </c>
    </row>
    <row r="813" ht="15.75" customHeight="1">
      <c r="A813" s="3">
        <v>44279.0</v>
      </c>
      <c r="B813" s="17">
        <v>387.52</v>
      </c>
      <c r="C813" s="18">
        <f t="shared" si="1"/>
        <v>-0.005096404946</v>
      </c>
      <c r="D813" s="18">
        <v>0.010795608048664654</v>
      </c>
    </row>
    <row r="814" ht="15.75" customHeight="1">
      <c r="A814" s="3">
        <v>44280.0</v>
      </c>
      <c r="B814" s="17">
        <v>389.7</v>
      </c>
      <c r="C814" s="18">
        <f t="shared" si="1"/>
        <v>0.00560975198</v>
      </c>
      <c r="D814" s="18">
        <v>0.004022749908242481</v>
      </c>
    </row>
    <row r="815" ht="15.75" customHeight="1">
      <c r="A815" s="3">
        <v>44281.0</v>
      </c>
      <c r="B815" s="17">
        <v>395.98</v>
      </c>
      <c r="C815" s="18">
        <f t="shared" si="1"/>
        <v>0.01598649258</v>
      </c>
      <c r="D815" s="18">
        <v>0.0043793776436582554</v>
      </c>
    </row>
    <row r="816" ht="15.75" customHeight="1">
      <c r="A816" s="3">
        <v>44284.0</v>
      </c>
      <c r="B816" s="17">
        <v>395.78</v>
      </c>
      <c r="C816" s="18">
        <f t="shared" si="1"/>
        <v>-0.0005052036078</v>
      </c>
      <c r="D816" s="18">
        <v>-0.018204345919852625</v>
      </c>
    </row>
    <row r="817" ht="15.75" customHeight="1">
      <c r="A817" s="3">
        <v>44285.0</v>
      </c>
      <c r="B817" s="17">
        <v>394.73</v>
      </c>
      <c r="C817" s="18">
        <f t="shared" si="1"/>
        <v>-0.002656514446</v>
      </c>
      <c r="D817" s="18">
        <v>0.0023397546988720703</v>
      </c>
    </row>
    <row r="818" ht="15.75" customHeight="1">
      <c r="A818" s="3">
        <v>44286.0</v>
      </c>
      <c r="B818" s="17">
        <v>396.33</v>
      </c>
      <c r="C818" s="18">
        <f t="shared" si="1"/>
        <v>0.004045210684</v>
      </c>
      <c r="D818" s="18">
        <v>0.008847911985867842</v>
      </c>
    </row>
    <row r="819" ht="15.75" customHeight="1">
      <c r="A819" s="3">
        <v>44287.0</v>
      </c>
      <c r="B819" s="17">
        <v>400.61</v>
      </c>
      <c r="C819" s="18">
        <f t="shared" si="1"/>
        <v>0.01074118792</v>
      </c>
      <c r="D819" s="18">
        <v>0.009791214311309407</v>
      </c>
    </row>
    <row r="820" ht="15.75" customHeight="1">
      <c r="A820" s="3">
        <v>44291.0</v>
      </c>
      <c r="B820" s="17">
        <v>406.36</v>
      </c>
      <c r="C820" s="18">
        <f t="shared" si="1"/>
        <v>0.01425108075</v>
      </c>
      <c r="D820" s="18">
        <v>-0.007907385292261357</v>
      </c>
    </row>
    <row r="821" ht="15.75" customHeight="1">
      <c r="A821" s="3">
        <v>44292.0</v>
      </c>
      <c r="B821" s="17">
        <v>406.12</v>
      </c>
      <c r="C821" s="18">
        <f t="shared" si="1"/>
        <v>-0.0005907837903</v>
      </c>
      <c r="D821" s="18">
        <v>-0.006358298662181275</v>
      </c>
    </row>
    <row r="822" ht="15.75" customHeight="1">
      <c r="A822" s="3">
        <v>44293.0</v>
      </c>
      <c r="B822" s="17">
        <v>406.59</v>
      </c>
      <c r="C822" s="18">
        <f t="shared" si="1"/>
        <v>0.001156624263</v>
      </c>
      <c r="D822" s="18">
        <v>0.006008789092005449</v>
      </c>
    </row>
    <row r="823" ht="15.75" customHeight="1">
      <c r="A823" s="3">
        <v>44294.0</v>
      </c>
      <c r="B823" s="17">
        <v>408.52</v>
      </c>
      <c r="C823" s="18">
        <f t="shared" si="1"/>
        <v>0.004735566014</v>
      </c>
      <c r="D823" s="18">
        <v>0.0037250190764304743</v>
      </c>
    </row>
    <row r="824" ht="15.75" customHeight="1">
      <c r="A824" s="3">
        <v>44295.0</v>
      </c>
      <c r="B824" s="17">
        <v>411.49</v>
      </c>
      <c r="C824" s="18">
        <f t="shared" si="1"/>
        <v>0.007243845775</v>
      </c>
      <c r="D824" s="18">
        <v>-0.0017587197834277376</v>
      </c>
    </row>
    <row r="825" ht="15.75" customHeight="1">
      <c r="A825" s="3">
        <v>44298.0</v>
      </c>
      <c r="B825" s="17">
        <v>411.64</v>
      </c>
      <c r="C825" s="18">
        <f t="shared" si="1"/>
        <v>0.0003644624826</v>
      </c>
      <c r="D825" s="18">
        <v>-0.003236617635229356</v>
      </c>
    </row>
    <row r="826" ht="15.75" customHeight="1">
      <c r="A826" s="3">
        <v>44299.0</v>
      </c>
      <c r="B826" s="17">
        <v>412.86</v>
      </c>
      <c r="C826" s="18">
        <f t="shared" si="1"/>
        <v>0.002959371475</v>
      </c>
      <c r="D826" s="18">
        <v>0.006751450830201297</v>
      </c>
    </row>
    <row r="827" ht="15.75" customHeight="1">
      <c r="A827" s="3">
        <v>44300.0</v>
      </c>
      <c r="B827" s="17">
        <v>411.45</v>
      </c>
      <c r="C827" s="18">
        <f t="shared" si="1"/>
        <v>-0.003421046391</v>
      </c>
      <c r="D827" s="18">
        <v>-0.0020066083118623506</v>
      </c>
    </row>
    <row r="828" ht="15.75" customHeight="1">
      <c r="A828" s="3">
        <v>44301.0</v>
      </c>
      <c r="B828" s="17">
        <v>415.87</v>
      </c>
      <c r="C828" s="18">
        <f t="shared" si="1"/>
        <v>0.01068520537</v>
      </c>
      <c r="D828" s="18">
        <v>0.003468188663332697</v>
      </c>
    </row>
    <row r="829" ht="15.75" customHeight="1">
      <c r="A829" s="3">
        <v>44302.0</v>
      </c>
      <c r="B829" s="17">
        <v>417.26</v>
      </c>
      <c r="C829" s="18">
        <f t="shared" si="1"/>
        <v>0.003336817279</v>
      </c>
      <c r="D829" s="18">
        <v>0.001728885131922152</v>
      </c>
    </row>
    <row r="830" ht="15.75" customHeight="1">
      <c r="A830" s="3">
        <v>44305.0</v>
      </c>
      <c r="B830" s="17">
        <v>415.21</v>
      </c>
      <c r="C830" s="18">
        <f t="shared" si="1"/>
        <v>-0.004925112362</v>
      </c>
      <c r="D830" s="18">
        <v>0.0029925797464191274</v>
      </c>
    </row>
    <row r="831" ht="15.75" customHeight="1">
      <c r="A831" s="3">
        <v>44306.0</v>
      </c>
      <c r="B831" s="17">
        <v>412.17</v>
      </c>
      <c r="C831" s="18">
        <f t="shared" si="1"/>
        <v>-0.007348530736</v>
      </c>
      <c r="D831" s="18">
        <v>-0.001199669991178376</v>
      </c>
    </row>
    <row r="832" ht="15.75" customHeight="1">
      <c r="A832" s="3">
        <v>44307.0</v>
      </c>
      <c r="B832" s="17">
        <v>416.07</v>
      </c>
      <c r="C832" s="18">
        <f t="shared" si="1"/>
        <v>0.009417629732</v>
      </c>
      <c r="D832" s="18">
        <v>0.005031036365803329</v>
      </c>
    </row>
    <row r="833" ht="15.75" customHeight="1">
      <c r="A833" s="3">
        <v>44308.0</v>
      </c>
      <c r="B833" s="17">
        <v>412.27</v>
      </c>
      <c r="C833" s="18">
        <f t="shared" si="1"/>
        <v>-0.009175040822</v>
      </c>
      <c r="D833" s="18">
        <v>-0.009570818683184844</v>
      </c>
    </row>
    <row r="834" ht="15.75" customHeight="1">
      <c r="A834" s="3">
        <v>44309.0</v>
      </c>
      <c r="B834" s="17">
        <v>416.74</v>
      </c>
      <c r="C834" s="18">
        <f t="shared" si="1"/>
        <v>0.01078405163</v>
      </c>
      <c r="D834" s="18">
        <v>-0.0030515598779199066</v>
      </c>
    </row>
    <row r="835" ht="15.75" customHeight="1">
      <c r="A835" s="3">
        <v>44312.0</v>
      </c>
      <c r="B835" s="17">
        <v>417.61</v>
      </c>
      <c r="C835" s="18">
        <f t="shared" si="1"/>
        <v>0.0020854565</v>
      </c>
      <c r="D835" s="18">
        <v>-0.008236978850098331</v>
      </c>
    </row>
    <row r="836" ht="15.75" customHeight="1">
      <c r="A836" s="3">
        <v>44313.0</v>
      </c>
      <c r="B836" s="17">
        <v>417.52</v>
      </c>
      <c r="C836" s="18">
        <f t="shared" si="1"/>
        <v>-0.0002155353067</v>
      </c>
      <c r="D836" s="18">
        <v>0.006787623209482881</v>
      </c>
    </row>
    <row r="837" ht="15.75" customHeight="1">
      <c r="A837" s="3">
        <v>44314.0</v>
      </c>
      <c r="B837" s="17">
        <v>417.4</v>
      </c>
      <c r="C837" s="18">
        <f t="shared" si="1"/>
        <v>-0.0002874526921</v>
      </c>
      <c r="D837" s="18">
        <v>0.00427346429557848</v>
      </c>
    </row>
    <row r="838" ht="15.75" customHeight="1">
      <c r="A838" s="3">
        <v>44315.0</v>
      </c>
      <c r="B838" s="17">
        <v>420.06</v>
      </c>
      <c r="C838" s="18">
        <f t="shared" si="1"/>
        <v>0.006352563574</v>
      </c>
      <c r="D838" s="18">
        <v>3.7436769360460617E-4</v>
      </c>
    </row>
    <row r="839" ht="15.75" customHeight="1">
      <c r="A839" s="3">
        <v>44316.0</v>
      </c>
      <c r="B839" s="17">
        <v>417.3</v>
      </c>
      <c r="C839" s="18">
        <f t="shared" si="1"/>
        <v>-0.00659217062</v>
      </c>
      <c r="D839" s="18">
        <v>0.010664848420909295</v>
      </c>
    </row>
    <row r="840" ht="15.75" customHeight="1">
      <c r="A840" s="3">
        <v>44319.0</v>
      </c>
      <c r="B840" s="17">
        <v>418.2</v>
      </c>
      <c r="C840" s="18">
        <f t="shared" si="1"/>
        <v>0.002154399397</v>
      </c>
      <c r="D840" s="18">
        <v>0.0088278569718666</v>
      </c>
    </row>
    <row r="841" ht="15.75" customHeight="1">
      <c r="A841" s="3">
        <v>44320.0</v>
      </c>
      <c r="B841" s="17">
        <v>415.62</v>
      </c>
      <c r="C841" s="18">
        <f t="shared" si="1"/>
        <v>-0.006188405732</v>
      </c>
      <c r="D841" s="18">
        <v>0.0073817482336901614</v>
      </c>
    </row>
    <row r="842" ht="15.75" customHeight="1">
      <c r="A842" s="3">
        <v>44321.0</v>
      </c>
      <c r="B842" s="17">
        <v>415.75</v>
      </c>
      <c r="C842" s="18">
        <f t="shared" si="1"/>
        <v>0.0003127368105</v>
      </c>
      <c r="D842" s="18">
        <v>-0.013350671240567068</v>
      </c>
    </row>
    <row r="843" ht="15.75" customHeight="1">
      <c r="A843" s="3">
        <v>44322.0</v>
      </c>
      <c r="B843" s="17">
        <v>419.07</v>
      </c>
      <c r="C843" s="18">
        <f t="shared" si="1"/>
        <v>0.007953852335</v>
      </c>
      <c r="D843" s="18">
        <v>-0.004379080743052702</v>
      </c>
    </row>
    <row r="844" ht="15.75" customHeight="1">
      <c r="A844" s="3">
        <v>44323.0</v>
      </c>
      <c r="B844" s="17">
        <v>422.12</v>
      </c>
      <c r="C844" s="18">
        <f t="shared" si="1"/>
        <v>0.007251663395</v>
      </c>
      <c r="D844" s="18">
        <v>-0.0012248467160149764</v>
      </c>
    </row>
    <row r="845" ht="15.75" customHeight="1">
      <c r="A845" s="3">
        <v>44326.0</v>
      </c>
      <c r="B845" s="17">
        <v>417.94</v>
      </c>
      <c r="C845" s="18">
        <f t="shared" si="1"/>
        <v>-0.009951752251</v>
      </c>
      <c r="D845" s="18">
        <v>-0.0010355280968878486</v>
      </c>
    </row>
    <row r="846" ht="15.75" customHeight="1">
      <c r="A846" s="3">
        <v>44327.0</v>
      </c>
      <c r="B846" s="17">
        <v>414.21</v>
      </c>
      <c r="C846" s="18">
        <f t="shared" si="1"/>
        <v>-0.008964789956</v>
      </c>
      <c r="D846" s="18">
        <v>0.004125695504511422</v>
      </c>
    </row>
    <row r="847" ht="15.75" customHeight="1">
      <c r="A847" s="3">
        <v>44328.0</v>
      </c>
      <c r="B847" s="17">
        <v>405.41</v>
      </c>
      <c r="C847" s="18">
        <f t="shared" si="1"/>
        <v>-0.02147419089</v>
      </c>
      <c r="D847" s="18">
        <v>0.0023810200745234154</v>
      </c>
    </row>
    <row r="848" ht="15.75" customHeight="1">
      <c r="A848" s="3">
        <v>44329.0</v>
      </c>
      <c r="B848" s="17">
        <v>410.28</v>
      </c>
      <c r="C848" s="18">
        <f t="shared" si="1"/>
        <v>0.01194095273</v>
      </c>
      <c r="D848" s="18">
        <v>7.685564722149776E-4</v>
      </c>
    </row>
    <row r="849" ht="15.75" customHeight="1">
      <c r="A849" s="3">
        <v>44330.0</v>
      </c>
      <c r="B849" s="17">
        <v>416.58</v>
      </c>
      <c r="C849" s="18">
        <f t="shared" si="1"/>
        <v>0.01523866655</v>
      </c>
      <c r="D849" s="18">
        <v>4.714244500489609E-4</v>
      </c>
    </row>
    <row r="850" ht="15.75" customHeight="1">
      <c r="A850" s="3">
        <v>44333.0</v>
      </c>
      <c r="B850" s="17">
        <v>415.52</v>
      </c>
      <c r="C850" s="18">
        <f t="shared" si="1"/>
        <v>-0.002547772079</v>
      </c>
      <c r="D850" s="18">
        <v>-0.006840046002830579</v>
      </c>
    </row>
    <row r="851" ht="15.75" customHeight="1">
      <c r="A851" s="3">
        <v>44334.0</v>
      </c>
      <c r="B851" s="17">
        <v>411.94</v>
      </c>
      <c r="C851" s="18">
        <f t="shared" si="1"/>
        <v>-0.008653040238</v>
      </c>
      <c r="D851" s="18">
        <v>-0.0045082564812216255</v>
      </c>
    </row>
    <row r="852" ht="15.75" customHeight="1">
      <c r="A852" s="3">
        <v>44335.0</v>
      </c>
      <c r="B852" s="17">
        <v>410.86</v>
      </c>
      <c r="C852" s="18">
        <f t="shared" si="1"/>
        <v>-0.002625183812</v>
      </c>
      <c r="D852" s="18">
        <v>-0.0015805919222584381</v>
      </c>
    </row>
    <row r="853" ht="15.75" customHeight="1">
      <c r="A853" s="3">
        <v>44336.0</v>
      </c>
      <c r="B853" s="17">
        <v>415.28</v>
      </c>
      <c r="C853" s="18">
        <f t="shared" si="1"/>
        <v>0.01070046765</v>
      </c>
      <c r="D853" s="18">
        <v>-0.008679552822403897</v>
      </c>
    </row>
    <row r="854" ht="15.75" customHeight="1">
      <c r="A854" s="3">
        <v>44337.0</v>
      </c>
      <c r="B854" s="17">
        <v>414.94</v>
      </c>
      <c r="C854" s="18">
        <f t="shared" si="1"/>
        <v>-0.000819060054</v>
      </c>
      <c r="D854" s="18">
        <v>0.005480013387561121</v>
      </c>
    </row>
    <row r="855" ht="15.75" customHeight="1">
      <c r="A855" s="3">
        <v>44340.0</v>
      </c>
      <c r="B855" s="17">
        <v>419.17</v>
      </c>
      <c r="C855" s="18">
        <f t="shared" si="1"/>
        <v>0.0101426341</v>
      </c>
      <c r="D855" s="18">
        <v>-0.0031339481435935135</v>
      </c>
    </row>
    <row r="856" ht="15.75" customHeight="1">
      <c r="A856" s="3">
        <v>44341.0</v>
      </c>
      <c r="B856" s="17">
        <v>418.24</v>
      </c>
      <c r="C856" s="18">
        <f t="shared" si="1"/>
        <v>-0.002221135125</v>
      </c>
      <c r="D856" s="18">
        <v>2.8106803007866416E-4</v>
      </c>
    </row>
    <row r="857" ht="15.75" customHeight="1">
      <c r="A857" s="3">
        <v>44342.0</v>
      </c>
      <c r="B857" s="17">
        <v>419.07</v>
      </c>
      <c r="C857" s="18">
        <f t="shared" si="1"/>
        <v>0.001982539972</v>
      </c>
      <c r="D857" s="18">
        <v>0.005301515575674479</v>
      </c>
    </row>
    <row r="858" ht="15.75" customHeight="1">
      <c r="A858" s="3">
        <v>44343.0</v>
      </c>
      <c r="B858" s="17">
        <v>419.29</v>
      </c>
      <c r="C858" s="18">
        <f t="shared" si="1"/>
        <v>0.0005248342122</v>
      </c>
      <c r="D858" s="18">
        <v>8.721236534500213E-4</v>
      </c>
    </row>
    <row r="859" ht="15.75" customHeight="1">
      <c r="A859" s="3">
        <v>44344.0</v>
      </c>
      <c r="B859" s="17">
        <v>420.04</v>
      </c>
      <c r="C859" s="18">
        <f t="shared" si="1"/>
        <v>0.001787140218</v>
      </c>
      <c r="D859" s="18">
        <v>0.005115122482353456</v>
      </c>
    </row>
    <row r="860" ht="15.75" customHeight="1">
      <c r="A860" s="3">
        <v>44348.0</v>
      </c>
      <c r="B860" s="17">
        <v>419.67</v>
      </c>
      <c r="C860" s="18">
        <f t="shared" si="1"/>
        <v>-0.0008812566813</v>
      </c>
      <c r="D860" s="18">
        <v>-0.00754099417846088</v>
      </c>
    </row>
    <row r="861" ht="15.75" customHeight="1">
      <c r="A861" s="3">
        <v>44349.0</v>
      </c>
      <c r="B861" s="17">
        <v>420.33</v>
      </c>
      <c r="C861" s="18">
        <f t="shared" si="1"/>
        <v>0.001571428895</v>
      </c>
      <c r="D861" s="18">
        <v>0.006714296929876907</v>
      </c>
    </row>
    <row r="862" ht="15.75" customHeight="1">
      <c r="A862" s="3">
        <v>44350.0</v>
      </c>
      <c r="B862" s="17">
        <v>418.77</v>
      </c>
      <c r="C862" s="18">
        <f t="shared" si="1"/>
        <v>-0.003718273858</v>
      </c>
      <c r="D862" s="18">
        <v>-0.0052214447241085175</v>
      </c>
    </row>
    <row r="863" ht="15.75" customHeight="1">
      <c r="A863" s="3">
        <v>44351.0</v>
      </c>
      <c r="B863" s="17">
        <v>422.6</v>
      </c>
      <c r="C863" s="18">
        <f t="shared" si="1"/>
        <v>0.009104261989</v>
      </c>
      <c r="D863" s="18">
        <v>0.005719927383321863</v>
      </c>
    </row>
    <row r="864" ht="15.75" customHeight="1">
      <c r="A864" s="3">
        <v>44354.0</v>
      </c>
      <c r="B864" s="17">
        <v>422.19</v>
      </c>
      <c r="C864" s="18">
        <f t="shared" si="1"/>
        <v>-0.0009706555054</v>
      </c>
      <c r="D864" s="18">
        <v>-0.0029392754878717078</v>
      </c>
    </row>
    <row r="865" ht="15.75" customHeight="1">
      <c r="A865" s="3">
        <v>44355.0</v>
      </c>
      <c r="B865" s="17">
        <v>422.28</v>
      </c>
      <c r="C865" s="18">
        <f t="shared" si="1"/>
        <v>0.0002131514449</v>
      </c>
      <c r="D865" s="18">
        <v>-0.004997806596619131</v>
      </c>
    </row>
    <row r="866" ht="15.75" customHeight="1">
      <c r="A866" s="3">
        <v>44356.0</v>
      </c>
      <c r="B866" s="17">
        <v>421.65</v>
      </c>
      <c r="C866" s="18">
        <f t="shared" si="1"/>
        <v>-0.001493015101</v>
      </c>
      <c r="D866" s="18">
        <v>-5.18253993886066E-4</v>
      </c>
    </row>
    <row r="867" ht="15.75" customHeight="1">
      <c r="A867" s="3">
        <v>44357.0</v>
      </c>
      <c r="B867" s="17">
        <v>423.61</v>
      </c>
      <c r="C867" s="18">
        <f t="shared" si="1"/>
        <v>0.004637634605</v>
      </c>
      <c r="D867" s="18">
        <v>0.00669503996730492</v>
      </c>
    </row>
    <row r="868" ht="15.75" customHeight="1">
      <c r="A868" s="3">
        <v>44358.0</v>
      </c>
      <c r="B868" s="17">
        <v>424.31</v>
      </c>
      <c r="C868" s="18">
        <f t="shared" si="1"/>
        <v>0.001651099535</v>
      </c>
      <c r="D868" s="18">
        <v>-0.002952236555648607</v>
      </c>
    </row>
    <row r="869" ht="15.75" customHeight="1">
      <c r="A869" s="3">
        <v>44361.0</v>
      </c>
      <c r="B869" s="17">
        <v>425.26</v>
      </c>
      <c r="C869" s="18">
        <f t="shared" si="1"/>
        <v>0.002236426418</v>
      </c>
      <c r="D869" s="18">
        <v>-0.0011193284221025456</v>
      </c>
    </row>
    <row r="870" ht="15.75" customHeight="1">
      <c r="A870" s="3">
        <v>44362.0</v>
      </c>
      <c r="B870" s="17">
        <v>424.48</v>
      </c>
      <c r="C870" s="18">
        <f t="shared" si="1"/>
        <v>-0.001835856189</v>
      </c>
      <c r="D870" s="18">
        <v>0.006084893400844925</v>
      </c>
    </row>
    <row r="871" ht="15.75" customHeight="1">
      <c r="A871" s="3">
        <v>44363.0</v>
      </c>
      <c r="B871" s="17">
        <v>422.11</v>
      </c>
      <c r="C871" s="18">
        <f t="shared" si="1"/>
        <v>-0.005598946813</v>
      </c>
      <c r="D871" s="18">
        <v>-8.898194378251322E-4</v>
      </c>
    </row>
    <row r="872" ht="15.75" customHeight="1">
      <c r="A872" s="3">
        <v>44364.0</v>
      </c>
      <c r="B872" s="17">
        <v>421.97</v>
      </c>
      <c r="C872" s="18">
        <f t="shared" si="1"/>
        <v>-0.0003317221147</v>
      </c>
      <c r="D872" s="18">
        <v>-9.46851372096471E-5</v>
      </c>
    </row>
    <row r="873" ht="15.75" customHeight="1">
      <c r="A873" s="3">
        <v>44365.0</v>
      </c>
      <c r="B873" s="17">
        <v>414.92</v>
      </c>
      <c r="C873" s="18">
        <f t="shared" si="1"/>
        <v>-0.0168484909</v>
      </c>
      <c r="D873" s="18">
        <v>0.0029855634942616617</v>
      </c>
    </row>
    <row r="874" ht="15.75" customHeight="1">
      <c r="A874" s="3">
        <v>44368.0</v>
      </c>
      <c r="B874" s="17">
        <v>420.86</v>
      </c>
      <c r="C874" s="18">
        <f t="shared" si="1"/>
        <v>0.01421450625</v>
      </c>
      <c r="D874" s="18">
        <v>-0.008356746888907985</v>
      </c>
    </row>
    <row r="875" ht="15.75" customHeight="1">
      <c r="A875" s="3">
        <v>44369.0</v>
      </c>
      <c r="B875" s="17">
        <v>423.11</v>
      </c>
      <c r="C875" s="18">
        <f t="shared" si="1"/>
        <v>0.005331955711</v>
      </c>
      <c r="D875" s="18">
        <v>0.00785891251691528</v>
      </c>
    </row>
    <row r="876" ht="15.75" customHeight="1">
      <c r="A876" s="3">
        <v>44370.0</v>
      </c>
      <c r="B876" s="17">
        <v>422.6</v>
      </c>
      <c r="C876" s="18">
        <f t="shared" si="1"/>
        <v>-0.001206087339</v>
      </c>
      <c r="D876" s="18">
        <v>0.007558269510579383</v>
      </c>
    </row>
    <row r="877" ht="15.75" customHeight="1">
      <c r="A877" s="3">
        <v>44371.0</v>
      </c>
      <c r="B877" s="17">
        <v>425.1</v>
      </c>
      <c r="C877" s="18">
        <f t="shared" si="1"/>
        <v>0.005898330183</v>
      </c>
      <c r="D877" s="18">
        <v>0.003816990721246372</v>
      </c>
    </row>
    <row r="878" ht="15.75" customHeight="1">
      <c r="A878" s="3">
        <v>44372.0</v>
      </c>
      <c r="B878" s="17">
        <v>426.61</v>
      </c>
      <c r="C878" s="18">
        <f t="shared" si="1"/>
        <v>0.00354581156</v>
      </c>
      <c r="D878" s="18">
        <v>0.0018548425107321506</v>
      </c>
    </row>
    <row r="879" ht="15.75" customHeight="1">
      <c r="A879" s="3">
        <v>44375.0</v>
      </c>
      <c r="B879" s="17">
        <v>427.47</v>
      </c>
      <c r="C879" s="18">
        <f t="shared" si="1"/>
        <v>0.002013863551</v>
      </c>
      <c r="D879" s="18">
        <v>0.004653315701734185</v>
      </c>
    </row>
    <row r="880" ht="15.75" customHeight="1">
      <c r="A880" s="3">
        <v>44376.0</v>
      </c>
      <c r="B880" s="17">
        <v>427.7</v>
      </c>
      <c r="C880" s="18">
        <f t="shared" si="1"/>
        <v>0.0005379047571</v>
      </c>
      <c r="D880" s="18">
        <v>-0.0010263903108954963</v>
      </c>
    </row>
    <row r="881" ht="15.75" customHeight="1">
      <c r="A881" s="3">
        <v>44377.0</v>
      </c>
      <c r="B881" s="17">
        <v>428.06</v>
      </c>
      <c r="C881" s="18">
        <f t="shared" si="1"/>
        <v>0.0008413574396</v>
      </c>
      <c r="D881" s="18">
        <v>0.005105961972721777</v>
      </c>
    </row>
    <row r="882" ht="15.75" customHeight="1">
      <c r="A882" s="3">
        <v>44378.0</v>
      </c>
      <c r="B882" s="17">
        <v>430.43</v>
      </c>
      <c r="C882" s="18">
        <f t="shared" si="1"/>
        <v>0.005521336348</v>
      </c>
      <c r="D882" s="18">
        <v>0.005279525922733982</v>
      </c>
    </row>
    <row r="883" ht="15.75" customHeight="1">
      <c r="A883" s="3">
        <v>44379.0</v>
      </c>
      <c r="B883" s="17">
        <v>433.72</v>
      </c>
      <c r="C883" s="18">
        <f t="shared" si="1"/>
        <v>0.007614455583</v>
      </c>
      <c r="D883" s="18">
        <v>0.001246749583570591</v>
      </c>
    </row>
    <row r="884" ht="15.75" customHeight="1">
      <c r="A884" s="3">
        <v>44380.0</v>
      </c>
      <c r="B884" s="17">
        <v>433.72</v>
      </c>
      <c r="C884" s="18">
        <f t="shared" si="1"/>
        <v>0</v>
      </c>
      <c r="D884" s="18">
        <v>0.0</v>
      </c>
    </row>
    <row r="885" ht="15.75" customHeight="1">
      <c r="A885" s="3">
        <v>44381.0</v>
      </c>
      <c r="B885" s="17">
        <v>433.72</v>
      </c>
      <c r="C885" s="18">
        <f t="shared" si="1"/>
        <v>0</v>
      </c>
      <c r="D885" s="18">
        <v>0.0</v>
      </c>
    </row>
    <row r="886" ht="15.75" customHeight="1">
      <c r="A886" s="3">
        <v>44382.0</v>
      </c>
      <c r="B886" s="17">
        <v>433.72</v>
      </c>
      <c r="C886" s="18">
        <f t="shared" si="1"/>
        <v>0</v>
      </c>
      <c r="D886" s="18">
        <v>0.0</v>
      </c>
    </row>
    <row r="887" ht="15.75" customHeight="1">
      <c r="A887" s="3">
        <v>44383.0</v>
      </c>
      <c r="B887" s="17">
        <v>432.93</v>
      </c>
      <c r="C887" s="18">
        <f t="shared" si="1"/>
        <v>-0.001823112488</v>
      </c>
      <c r="D887" s="18">
        <v>0.0026307030255888404</v>
      </c>
    </row>
    <row r="888" ht="15.75" customHeight="1">
      <c r="A888" s="3">
        <v>44384.0</v>
      </c>
      <c r="B888" s="17">
        <v>434.46</v>
      </c>
      <c r="C888" s="18">
        <f t="shared" si="1"/>
        <v>0.003527828513</v>
      </c>
      <c r="D888" s="18">
        <v>0.0022196350699820984</v>
      </c>
    </row>
    <row r="889" ht="15.75" customHeight="1">
      <c r="A889" s="3">
        <v>44385.0</v>
      </c>
      <c r="B889" s="17">
        <v>430.92</v>
      </c>
      <c r="C889" s="18">
        <f t="shared" si="1"/>
        <v>-0.008181422603</v>
      </c>
      <c r="D889" s="18">
        <v>-0.009143597890240227</v>
      </c>
    </row>
    <row r="890" ht="15.75" customHeight="1">
      <c r="A890" s="3">
        <v>44386.0</v>
      </c>
      <c r="B890" s="17">
        <v>435.52</v>
      </c>
      <c r="C890" s="18">
        <f t="shared" si="1"/>
        <v>0.01061826144</v>
      </c>
      <c r="D890" s="18">
        <v>0.007824681228646914</v>
      </c>
    </row>
    <row r="891" ht="15.75" customHeight="1">
      <c r="A891" s="3">
        <v>44389.0</v>
      </c>
      <c r="B891" s="17">
        <v>437.08</v>
      </c>
      <c r="C891" s="18">
        <f t="shared" si="1"/>
        <v>0.003575525239</v>
      </c>
      <c r="D891" s="18">
        <v>0.0026156588712989834</v>
      </c>
    </row>
    <row r="892" ht="15.75" customHeight="1">
      <c r="A892" s="3">
        <v>44390.0</v>
      </c>
      <c r="B892" s="17">
        <v>435.59</v>
      </c>
      <c r="C892" s="18">
        <f t="shared" si="1"/>
        <v>-0.003414810748</v>
      </c>
      <c r="D892" s="18">
        <v>1.193369736049081E-5</v>
      </c>
    </row>
    <row r="893" ht="15.75" customHeight="1">
      <c r="A893" s="3">
        <v>44391.0</v>
      </c>
      <c r="B893" s="17">
        <v>436.24</v>
      </c>
      <c r="C893" s="18">
        <f t="shared" si="1"/>
        <v>0.001491116664</v>
      </c>
      <c r="D893" s="18">
        <v>0.0010349354374050391</v>
      </c>
    </row>
    <row r="894" ht="15.75" customHeight="1">
      <c r="A894" s="3">
        <v>44392.0</v>
      </c>
      <c r="B894" s="17">
        <v>434.75</v>
      </c>
      <c r="C894" s="18">
        <f t="shared" si="1"/>
        <v>-0.003421397383</v>
      </c>
      <c r="D894" s="18">
        <v>0.0042570851314907236</v>
      </c>
    </row>
    <row r="895" ht="15.75" customHeight="1">
      <c r="A895" s="3">
        <v>44393.0</v>
      </c>
      <c r="B895" s="17">
        <v>431.34</v>
      </c>
      <c r="C895" s="18">
        <f t="shared" si="1"/>
        <v>-0.007874511011</v>
      </c>
      <c r="D895" s="18">
        <v>-0.004190804284143447</v>
      </c>
    </row>
    <row r="896" ht="15.75" customHeight="1">
      <c r="A896" s="3">
        <v>44396.0</v>
      </c>
      <c r="B896" s="17">
        <v>424.97</v>
      </c>
      <c r="C896" s="18">
        <f t="shared" si="1"/>
        <v>-0.01487806403</v>
      </c>
      <c r="D896" s="18">
        <v>-0.002371887008237957</v>
      </c>
    </row>
    <row r="897" ht="15.75" customHeight="1">
      <c r="A897" s="3">
        <v>44397.0</v>
      </c>
      <c r="B897" s="17">
        <v>431.06</v>
      </c>
      <c r="C897" s="18">
        <f t="shared" si="1"/>
        <v>0.01422871335</v>
      </c>
      <c r="D897" s="18">
        <v>0.005915886210213739</v>
      </c>
    </row>
    <row r="898" ht="15.75" customHeight="1">
      <c r="A898" s="3">
        <v>44398.0</v>
      </c>
      <c r="B898" s="17">
        <v>434.55</v>
      </c>
      <c r="C898" s="18">
        <f t="shared" si="1"/>
        <v>0.008063721332</v>
      </c>
      <c r="D898" s="18">
        <v>-0.003990288768827274</v>
      </c>
    </row>
    <row r="899" ht="15.75" customHeight="1">
      <c r="A899" s="3">
        <v>44399.0</v>
      </c>
      <c r="B899" s="17">
        <v>435.46</v>
      </c>
      <c r="C899" s="18">
        <f t="shared" si="1"/>
        <v>0.002091930741</v>
      </c>
      <c r="D899" s="18">
        <v>-0.0013638310555028558</v>
      </c>
    </row>
    <row r="900" ht="15.75" customHeight="1">
      <c r="A900" s="3">
        <v>44400.0</v>
      </c>
      <c r="B900" s="17">
        <v>439.94</v>
      </c>
      <c r="C900" s="18">
        <f t="shared" si="1"/>
        <v>0.01023541035</v>
      </c>
      <c r="D900" s="18">
        <v>-0.004308993648533387</v>
      </c>
    </row>
    <row r="901" ht="15.75" customHeight="1">
      <c r="A901" s="3">
        <v>44403.0</v>
      </c>
      <c r="B901" s="17">
        <v>441.02</v>
      </c>
      <c r="C901" s="18">
        <f t="shared" si="1"/>
        <v>0.002451871915</v>
      </c>
      <c r="D901" s="18">
        <v>-0.0015354686473858365</v>
      </c>
    </row>
    <row r="902" ht="15.75" customHeight="1">
      <c r="A902" s="3">
        <v>44404.0</v>
      </c>
      <c r="B902" s="17">
        <v>439.01</v>
      </c>
      <c r="C902" s="18">
        <f t="shared" si="1"/>
        <v>-0.004568034033</v>
      </c>
      <c r="D902" s="18">
        <v>-0.0011786107048285127</v>
      </c>
    </row>
    <row r="903" ht="15.75" customHeight="1">
      <c r="A903" s="3">
        <v>44405.0</v>
      </c>
      <c r="B903" s="17">
        <v>438.83</v>
      </c>
      <c r="C903" s="18">
        <f t="shared" si="1"/>
        <v>-0.0004100975178</v>
      </c>
      <c r="D903" s="18">
        <v>0.009189778269390377</v>
      </c>
    </row>
    <row r="904" ht="15.75" customHeight="1">
      <c r="A904" s="3">
        <v>44406.0</v>
      </c>
      <c r="B904" s="17">
        <v>440.65</v>
      </c>
      <c r="C904" s="18">
        <f t="shared" si="1"/>
        <v>0.004138815204</v>
      </c>
      <c r="D904" s="18">
        <v>2.2190324330952543E-4</v>
      </c>
    </row>
    <row r="905" ht="15.75" customHeight="1">
      <c r="A905" s="3">
        <v>44407.0</v>
      </c>
      <c r="B905" s="17">
        <v>438.51</v>
      </c>
      <c r="C905" s="18">
        <f t="shared" si="1"/>
        <v>-0.004868292976</v>
      </c>
      <c r="D905" s="18">
        <v>6.083079673084265E-4</v>
      </c>
    </row>
    <row r="906" ht="15.75" customHeight="1">
      <c r="A906" s="3">
        <v>44410.0</v>
      </c>
      <c r="B906" s="17">
        <v>437.59</v>
      </c>
      <c r="C906" s="18">
        <f t="shared" si="1"/>
        <v>-0.002100217642</v>
      </c>
      <c r="D906" s="18">
        <v>0.0052296250913184536</v>
      </c>
    </row>
    <row r="907" ht="15.75" customHeight="1">
      <c r="A907" s="3">
        <v>44411.0</v>
      </c>
      <c r="B907" s="17">
        <v>441.15</v>
      </c>
      <c r="C907" s="18">
        <f t="shared" si="1"/>
        <v>0.008102554741</v>
      </c>
      <c r="D907" s="18">
        <v>-0.0017988001339318545</v>
      </c>
    </row>
    <row r="908" ht="15.75" customHeight="1">
      <c r="A908" s="3">
        <v>44412.0</v>
      </c>
      <c r="B908" s="17">
        <v>438.98</v>
      </c>
      <c r="C908" s="18">
        <f t="shared" si="1"/>
        <v>-0.004931099717</v>
      </c>
      <c r="D908" s="18">
        <v>-0.0013006145086025258</v>
      </c>
    </row>
    <row r="909" ht="15.75" customHeight="1">
      <c r="A909" s="3">
        <v>44413.0</v>
      </c>
      <c r="B909" s="17">
        <v>441.76</v>
      </c>
      <c r="C909" s="18">
        <f t="shared" si="1"/>
        <v>0.006312894231</v>
      </c>
      <c r="D909" s="18">
        <v>-0.0055160966168510865</v>
      </c>
    </row>
    <row r="910" ht="15.75" customHeight="1">
      <c r="A910" s="3">
        <v>44414.0</v>
      </c>
      <c r="B910" s="17">
        <v>442.49</v>
      </c>
      <c r="C910" s="18">
        <f t="shared" si="1"/>
        <v>0.001651117141</v>
      </c>
      <c r="D910" s="18">
        <v>2.517517693513177E-4</v>
      </c>
    </row>
    <row r="911" ht="15.75" customHeight="1">
      <c r="A911" s="3">
        <v>44415.0</v>
      </c>
      <c r="B911" s="17">
        <v>442.49</v>
      </c>
      <c r="C911" s="18">
        <f t="shared" si="1"/>
        <v>0</v>
      </c>
      <c r="D911" s="18">
        <v>0.0</v>
      </c>
    </row>
    <row r="912" ht="15.75" customHeight="1">
      <c r="A912" s="3">
        <v>44416.0</v>
      </c>
      <c r="B912" s="17">
        <v>442.49</v>
      </c>
      <c r="C912" s="18">
        <f t="shared" si="1"/>
        <v>0</v>
      </c>
      <c r="D912" s="18">
        <v>0.0</v>
      </c>
    </row>
    <row r="913" ht="15.75" customHeight="1">
      <c r="A913" s="3">
        <v>44417.0</v>
      </c>
      <c r="B913" s="17">
        <v>442.13</v>
      </c>
      <c r="C913" s="18">
        <f t="shared" si="1"/>
        <v>-0.0008139088419</v>
      </c>
      <c r="D913" s="18">
        <v>0.004492157855224754</v>
      </c>
    </row>
    <row r="914" ht="15.75" customHeight="1">
      <c r="A914" s="3">
        <v>44418.0</v>
      </c>
      <c r="B914" s="17">
        <v>442.68</v>
      </c>
      <c r="C914" s="18">
        <f t="shared" si="1"/>
        <v>0.001243204916</v>
      </c>
      <c r="D914" s="18">
        <v>0.0017285464212137374</v>
      </c>
    </row>
    <row r="915" ht="15.75" customHeight="1">
      <c r="A915" s="3">
        <v>44419.0</v>
      </c>
      <c r="B915" s="17">
        <v>443.78</v>
      </c>
      <c r="C915" s="18">
        <f t="shared" si="1"/>
        <v>0.002481782742</v>
      </c>
      <c r="D915" s="18">
        <v>0.001125367493466547</v>
      </c>
    </row>
    <row r="916" ht="15.75" customHeight="1">
      <c r="A916" s="3">
        <v>44420.0</v>
      </c>
      <c r="B916" s="17">
        <v>445.11</v>
      </c>
      <c r="C916" s="18">
        <f t="shared" si="1"/>
        <v>0.002992498493</v>
      </c>
      <c r="D916" s="18">
        <v>0.0022180176690449744</v>
      </c>
    </row>
    <row r="917" ht="15.75" customHeight="1">
      <c r="A917" s="3">
        <v>44421.0</v>
      </c>
      <c r="B917" s="17">
        <v>445.92</v>
      </c>
      <c r="C917" s="18">
        <f t="shared" si="1"/>
        <v>0.001818121103</v>
      </c>
      <c r="D917" s="18">
        <v>0.002140262478591226</v>
      </c>
    </row>
    <row r="918" ht="15.75" customHeight="1">
      <c r="A918" s="3">
        <v>44424.0</v>
      </c>
      <c r="B918" s="17">
        <v>446.97</v>
      </c>
      <c r="C918" s="18">
        <f t="shared" si="1"/>
        <v>0.002351914534</v>
      </c>
      <c r="D918" s="18">
        <v>0.0017858591476031535</v>
      </c>
    </row>
    <row r="919" ht="15.75" customHeight="1">
      <c r="A919" s="3">
        <v>44425.0</v>
      </c>
      <c r="B919" s="17">
        <v>444.04</v>
      </c>
      <c r="C919" s="18">
        <f t="shared" si="1"/>
        <v>-0.006576829803</v>
      </c>
      <c r="D919" s="18">
        <v>0.015118404428683594</v>
      </c>
    </row>
    <row r="920" ht="15.75" customHeight="1">
      <c r="A920" s="3">
        <v>44426.0</v>
      </c>
      <c r="B920" s="17">
        <v>439.18</v>
      </c>
      <c r="C920" s="18">
        <f t="shared" si="1"/>
        <v>-0.01100529665</v>
      </c>
      <c r="D920" s="18">
        <v>0.0018584717202018131</v>
      </c>
    </row>
    <row r="921" ht="15.75" customHeight="1">
      <c r="A921" s="3">
        <v>44427.0</v>
      </c>
      <c r="B921" s="17">
        <v>439.86</v>
      </c>
      <c r="C921" s="18">
        <f t="shared" si="1"/>
        <v>0.001547142646</v>
      </c>
      <c r="D921" s="18">
        <v>-0.006305147690944311</v>
      </c>
    </row>
    <row r="922" ht="15.75" customHeight="1">
      <c r="A922" s="3">
        <v>44428.0</v>
      </c>
      <c r="B922" s="17">
        <v>443.36</v>
      </c>
      <c r="C922" s="18">
        <f t="shared" si="1"/>
        <v>0.007925586651</v>
      </c>
      <c r="D922" s="18">
        <v>0.001675024387692979</v>
      </c>
    </row>
    <row r="923" ht="15.75" customHeight="1">
      <c r="A923" s="3">
        <v>44431.0</v>
      </c>
      <c r="B923" s="17">
        <v>447.26</v>
      </c>
      <c r="C923" s="18">
        <f t="shared" si="1"/>
        <v>0.008757999884</v>
      </c>
      <c r="D923" s="18">
        <v>-0.003725227492561841</v>
      </c>
    </row>
    <row r="924" ht="15.75" customHeight="1">
      <c r="A924" s="3">
        <v>44432.0</v>
      </c>
      <c r="B924" s="17">
        <v>447.97</v>
      </c>
      <c r="C924" s="18">
        <f t="shared" si="1"/>
        <v>0.001586184888</v>
      </c>
      <c r="D924" s="18">
        <v>3.5084785494301883E-4</v>
      </c>
    </row>
    <row r="925" ht="15.75" customHeight="1">
      <c r="A925" s="3">
        <v>44433.0</v>
      </c>
      <c r="B925" s="17">
        <v>448.91</v>
      </c>
      <c r="C925" s="18">
        <f t="shared" si="1"/>
        <v>0.002096156329</v>
      </c>
      <c r="D925" s="18">
        <v>-5.763320625938012E-4</v>
      </c>
    </row>
    <row r="926" ht="15.75" customHeight="1">
      <c r="A926" s="3">
        <v>44434.0</v>
      </c>
      <c r="B926" s="17">
        <v>446.26</v>
      </c>
      <c r="C926" s="18">
        <f t="shared" si="1"/>
        <v>-0.00592068041</v>
      </c>
      <c r="D926" s="18">
        <v>5.182037483519962E-4</v>
      </c>
    </row>
    <row r="927" ht="15.75" customHeight="1">
      <c r="A927" s="3">
        <v>44435.0</v>
      </c>
      <c r="B927" s="17">
        <v>450.25</v>
      </c>
      <c r="C927" s="18">
        <f t="shared" si="1"/>
        <v>0.00890124225</v>
      </c>
      <c r="D927" s="18">
        <v>0.0011558142345611544</v>
      </c>
    </row>
    <row r="928" ht="15.75" customHeight="1">
      <c r="A928" s="3">
        <v>44438.0</v>
      </c>
      <c r="B928" s="17">
        <v>452.23</v>
      </c>
      <c r="C928" s="18">
        <f t="shared" si="1"/>
        <v>0.004387915914</v>
      </c>
      <c r="D928" s="18">
        <v>0.001871590299730766</v>
      </c>
    </row>
    <row r="929" ht="15.75" customHeight="1">
      <c r="A929" s="3">
        <v>44439.0</v>
      </c>
      <c r="B929" s="17">
        <v>451.56</v>
      </c>
      <c r="C929" s="18">
        <f t="shared" si="1"/>
        <v>-0.001482645576</v>
      </c>
      <c r="D929" s="18">
        <v>0.006344065665695348</v>
      </c>
    </row>
    <row r="930" ht="15.75" customHeight="1">
      <c r="A930" s="3">
        <v>44440.0</v>
      </c>
      <c r="B930" s="17">
        <v>451.8</v>
      </c>
      <c r="C930" s="18">
        <f t="shared" si="1"/>
        <v>0.0005313496406</v>
      </c>
      <c r="D930" s="18">
        <v>0.012406632893810426</v>
      </c>
    </row>
    <row r="931" ht="15.75" customHeight="1">
      <c r="A931" s="3">
        <v>44441.0</v>
      </c>
      <c r="B931" s="17">
        <v>453.19</v>
      </c>
      <c r="C931" s="18">
        <f t="shared" si="1"/>
        <v>0.003071859563</v>
      </c>
      <c r="D931" s="18">
        <v>-0.004051481010083649</v>
      </c>
    </row>
    <row r="932" ht="15.75" customHeight="1">
      <c r="A932" s="3">
        <v>44442.0</v>
      </c>
      <c r="B932" s="17">
        <v>453.08</v>
      </c>
      <c r="C932" s="18">
        <f t="shared" si="1"/>
        <v>-0.0002427532646</v>
      </c>
      <c r="D932" s="18">
        <v>0.002952031682217797</v>
      </c>
    </row>
    <row r="933" ht="15.75" customHeight="1">
      <c r="A933" s="3">
        <v>44446.0</v>
      </c>
      <c r="B933" s="17">
        <v>451.46</v>
      </c>
      <c r="C933" s="18">
        <f t="shared" si="1"/>
        <v>-0.003581934977</v>
      </c>
      <c r="D933" s="18">
        <v>0.001685073803890045</v>
      </c>
    </row>
    <row r="934" ht="15.75" customHeight="1">
      <c r="A934" s="3">
        <v>44447.0</v>
      </c>
      <c r="B934" s="17">
        <v>450.91</v>
      </c>
      <c r="C934" s="18">
        <f t="shared" si="1"/>
        <v>-0.001219012308</v>
      </c>
      <c r="D934" s="18">
        <v>0.011923254989004982</v>
      </c>
    </row>
    <row r="935" ht="15.75" customHeight="1">
      <c r="A935" s="3">
        <v>44448.0</v>
      </c>
      <c r="B935" s="17">
        <v>448.98</v>
      </c>
      <c r="C935" s="18">
        <f t="shared" si="1"/>
        <v>-0.004289419727</v>
      </c>
      <c r="D935" s="18">
        <v>-0.010042663920630562</v>
      </c>
    </row>
    <row r="936" ht="15.75" customHeight="1">
      <c r="A936" s="3">
        <v>44449.0</v>
      </c>
      <c r="B936" s="17">
        <v>445.44</v>
      </c>
      <c r="C936" s="18">
        <f t="shared" si="1"/>
        <v>-0.007915785614</v>
      </c>
      <c r="D936" s="18">
        <v>0.0023011367056750536</v>
      </c>
    </row>
    <row r="937" ht="15.75" customHeight="1">
      <c r="A937" s="3">
        <v>44452.0</v>
      </c>
      <c r="B937" s="17">
        <v>446.58</v>
      </c>
      <c r="C937" s="18">
        <f t="shared" si="1"/>
        <v>0.002555997894</v>
      </c>
      <c r="D937" s="18">
        <v>0.006205441283087386</v>
      </c>
    </row>
    <row r="938" ht="15.75" customHeight="1">
      <c r="A938" s="3">
        <v>44453.0</v>
      </c>
      <c r="B938" s="17">
        <v>444.17</v>
      </c>
      <c r="C938" s="18">
        <f t="shared" si="1"/>
        <v>-0.005411183566</v>
      </c>
      <c r="D938" s="18">
        <v>0.006854547573457563</v>
      </c>
    </row>
    <row r="939" ht="15.75" customHeight="1">
      <c r="A939" s="3">
        <v>44454.0</v>
      </c>
      <c r="B939" s="17">
        <v>447.88</v>
      </c>
      <c r="C939" s="18">
        <f t="shared" si="1"/>
        <v>0.008317967358</v>
      </c>
      <c r="D939" s="18">
        <v>0.004116408926402365</v>
      </c>
    </row>
    <row r="940" ht="15.75" customHeight="1">
      <c r="A940" s="3">
        <v>44455.0</v>
      </c>
      <c r="B940" s="17">
        <v>447.17</v>
      </c>
      <c r="C940" s="18">
        <f t="shared" si="1"/>
        <v>-0.00158650388</v>
      </c>
      <c r="D940" s="18">
        <v>0.013194356159057527</v>
      </c>
    </row>
    <row r="941" ht="15.75" customHeight="1">
      <c r="A941" s="3">
        <v>44456.0</v>
      </c>
      <c r="B941" s="17">
        <v>441.4</v>
      </c>
      <c r="C941" s="18">
        <f t="shared" si="1"/>
        <v>-0.01298734169</v>
      </c>
      <c r="D941" s="18">
        <v>-8.253736733164786E-4</v>
      </c>
    </row>
    <row r="942" ht="15.75" customHeight="1">
      <c r="A942" s="3">
        <v>44459.0</v>
      </c>
      <c r="B942" s="17">
        <v>434.04</v>
      </c>
      <c r="C942" s="18">
        <f t="shared" si="1"/>
        <v>-0.01681479807</v>
      </c>
      <c r="D942" s="18">
        <v>-0.0076113155256859145</v>
      </c>
    </row>
    <row r="943" ht="15.75" customHeight="1">
      <c r="A943" s="3">
        <v>44460.0</v>
      </c>
      <c r="B943" s="17">
        <v>433.63</v>
      </c>
      <c r="C943" s="18">
        <f t="shared" si="1"/>
        <v>-0.0009450598281</v>
      </c>
      <c r="D943" s="18">
        <v>-0.005032997756781513</v>
      </c>
    </row>
    <row r="944" ht="15.75" customHeight="1">
      <c r="A944" s="3">
        <v>44461.0</v>
      </c>
      <c r="B944" s="17">
        <v>437.86</v>
      </c>
      <c r="C944" s="18">
        <f t="shared" si="1"/>
        <v>0.009707588655</v>
      </c>
      <c r="D944" s="18">
        <v>3.7171379628662266E-4</v>
      </c>
    </row>
    <row r="945" ht="15.75" customHeight="1">
      <c r="A945" s="3">
        <v>44462.0</v>
      </c>
      <c r="B945" s="17">
        <v>443.18</v>
      </c>
      <c r="C945" s="18">
        <f t="shared" si="1"/>
        <v>0.01207678348</v>
      </c>
      <c r="D945" s="18">
        <v>-1.274662519787788E-5</v>
      </c>
    </row>
    <row r="946" ht="15.75" customHeight="1">
      <c r="A946" s="3">
        <v>44463.0</v>
      </c>
      <c r="B946" s="17">
        <v>443.91</v>
      </c>
      <c r="C946" s="18">
        <f t="shared" si="1"/>
        <v>0.001645831121</v>
      </c>
      <c r="D946" s="18">
        <v>6.817307499388836E-4</v>
      </c>
    </row>
    <row r="947" ht="15.75" customHeight="1">
      <c r="A947" s="3">
        <v>44466.0</v>
      </c>
      <c r="B947" s="17">
        <v>442.64</v>
      </c>
      <c r="C947" s="18">
        <f t="shared" si="1"/>
        <v>-0.002865040593</v>
      </c>
      <c r="D947" s="18">
        <v>3.4056900747917845E-4</v>
      </c>
    </row>
    <row r="948" ht="15.75" customHeight="1">
      <c r="A948" s="3">
        <v>44467.0</v>
      </c>
      <c r="B948" s="17">
        <v>433.72</v>
      </c>
      <c r="C948" s="18">
        <f t="shared" si="1"/>
        <v>-0.02035763399</v>
      </c>
      <c r="D948" s="18">
        <v>-0.015344313240139615</v>
      </c>
    </row>
    <row r="949" ht="15.75" customHeight="1">
      <c r="A949" s="3">
        <v>44468.0</v>
      </c>
      <c r="B949" s="17">
        <v>434.45</v>
      </c>
      <c r="C949" s="18">
        <f t="shared" si="1"/>
        <v>0.001681698681</v>
      </c>
      <c r="D949" s="18">
        <v>0.0024146335861573998</v>
      </c>
    </row>
    <row r="950" ht="15.75" customHeight="1">
      <c r="A950" s="3">
        <v>44469.0</v>
      </c>
      <c r="B950" s="17">
        <v>429.14</v>
      </c>
      <c r="C950" s="18">
        <f t="shared" si="1"/>
        <v>-0.01229765727</v>
      </c>
      <c r="D950" s="18">
        <v>-0.0022754157787220975</v>
      </c>
    </row>
    <row r="951" ht="15.75" customHeight="1">
      <c r="A951" s="3">
        <v>44470.0</v>
      </c>
      <c r="B951" s="17">
        <v>434.24</v>
      </c>
      <c r="C951" s="18">
        <f t="shared" si="1"/>
        <v>0.01181417063</v>
      </c>
      <c r="D951" s="18">
        <v>-0.003800910939030641</v>
      </c>
    </row>
    <row r="952" ht="15.75" customHeight="1">
      <c r="A952" s="3">
        <v>44473.0</v>
      </c>
      <c r="B952" s="17">
        <v>428.64</v>
      </c>
      <c r="C952" s="18">
        <f t="shared" si="1"/>
        <v>-0.01297997085</v>
      </c>
      <c r="D952" s="18">
        <v>-0.002301830615519578</v>
      </c>
    </row>
    <row r="953" ht="15.75" customHeight="1">
      <c r="A953" s="3">
        <v>44474.0</v>
      </c>
      <c r="B953" s="17">
        <v>433.1</v>
      </c>
      <c r="C953" s="18">
        <f t="shared" si="1"/>
        <v>0.01035124242</v>
      </c>
      <c r="D953" s="18">
        <v>5.374798861400306E-5</v>
      </c>
    </row>
    <row r="954" ht="15.75" customHeight="1">
      <c r="A954" s="3">
        <v>44475.0</v>
      </c>
      <c r="B954" s="17">
        <v>434.9</v>
      </c>
      <c r="C954" s="18">
        <f t="shared" si="1"/>
        <v>0.004147471383</v>
      </c>
      <c r="D954" s="18">
        <v>0.003867986396277355</v>
      </c>
    </row>
    <row r="955" ht="15.75" customHeight="1">
      <c r="A955" s="3">
        <v>44476.0</v>
      </c>
      <c r="B955" s="17">
        <v>438.66</v>
      </c>
      <c r="C955" s="18">
        <f t="shared" si="1"/>
        <v>0.00860850593</v>
      </c>
      <c r="D955" s="18">
        <v>-0.003943328843069462</v>
      </c>
    </row>
    <row r="956" ht="15.75" customHeight="1">
      <c r="A956" s="3">
        <v>44477.0</v>
      </c>
      <c r="B956" s="17">
        <v>437.86</v>
      </c>
      <c r="C956" s="18">
        <f t="shared" si="1"/>
        <v>-0.001825400954</v>
      </c>
      <c r="D956" s="18">
        <v>-7.899753651615278E-4</v>
      </c>
    </row>
    <row r="957" ht="15.75" customHeight="1">
      <c r="A957" s="3">
        <v>44480.0</v>
      </c>
      <c r="B957" s="17">
        <v>434.69</v>
      </c>
      <c r="C957" s="18">
        <f t="shared" si="1"/>
        <v>-0.00726609122</v>
      </c>
      <c r="D957" s="18">
        <v>0.0037520559952296893</v>
      </c>
    </row>
    <row r="958" ht="15.75" customHeight="1">
      <c r="A958" s="3">
        <v>44481.0</v>
      </c>
      <c r="B958" s="17">
        <v>433.62</v>
      </c>
      <c r="C958" s="18">
        <f t="shared" si="1"/>
        <v>-0.002464558836</v>
      </c>
      <c r="D958" s="18">
        <v>-0.001937170182893113</v>
      </c>
    </row>
    <row r="959" ht="15.75" customHeight="1">
      <c r="A959" s="3">
        <v>44482.0</v>
      </c>
      <c r="B959" s="17">
        <v>435.18</v>
      </c>
      <c r="C959" s="18">
        <f t="shared" si="1"/>
        <v>0.00359116408</v>
      </c>
      <c r="D959" s="18">
        <v>0.0017214654304287444</v>
      </c>
    </row>
    <row r="960" ht="15.75" customHeight="1">
      <c r="A960" s="3">
        <v>44483.0</v>
      </c>
      <c r="B960" s="17">
        <v>442.5</v>
      </c>
      <c r="C960" s="18">
        <f t="shared" si="1"/>
        <v>0.01668072584</v>
      </c>
      <c r="D960" s="18">
        <v>3.844238403094475E-4</v>
      </c>
    </row>
    <row r="961" ht="15.75" customHeight="1">
      <c r="A961" s="3">
        <v>44484.0</v>
      </c>
      <c r="B961" s="17">
        <v>445.87</v>
      </c>
      <c r="C961" s="18">
        <f t="shared" si="1"/>
        <v>0.007586965263</v>
      </c>
      <c r="D961" s="18">
        <v>0.0012990053731151234</v>
      </c>
    </row>
    <row r="962" ht="15.75" customHeight="1">
      <c r="A962" s="3">
        <v>44487.0</v>
      </c>
      <c r="B962" s="17">
        <v>447.19</v>
      </c>
      <c r="C962" s="18">
        <f t="shared" si="1"/>
        <v>0.00295613052</v>
      </c>
      <c r="D962" s="18">
        <v>0.005492143830804276</v>
      </c>
    </row>
    <row r="963" ht="15.75" customHeight="1">
      <c r="A963" s="3">
        <v>44488.0</v>
      </c>
      <c r="B963" s="17">
        <v>450.64</v>
      </c>
      <c r="C963" s="18">
        <f t="shared" si="1"/>
        <v>0.007685234355</v>
      </c>
      <c r="D963" s="18">
        <v>-0.0014446994315771553</v>
      </c>
    </row>
    <row r="964" ht="15.75" customHeight="1">
      <c r="A964" s="3">
        <v>44489.0</v>
      </c>
      <c r="B964" s="17">
        <v>452.41</v>
      </c>
      <c r="C964" s="18">
        <f t="shared" si="1"/>
        <v>0.003920053744</v>
      </c>
      <c r="D964" s="18">
        <v>0.002060354918206515</v>
      </c>
    </row>
    <row r="965" ht="15.75" customHeight="1">
      <c r="A965" s="3">
        <v>44490.0</v>
      </c>
      <c r="B965" s="17">
        <v>453.59</v>
      </c>
      <c r="C965" s="18">
        <f t="shared" si="1"/>
        <v>0.002604857985</v>
      </c>
      <c r="D965" s="18">
        <v>0.003756384298222235</v>
      </c>
    </row>
    <row r="966" ht="15.75" customHeight="1">
      <c r="A966" s="3">
        <v>44491.0</v>
      </c>
      <c r="B966" s="17">
        <v>453.12</v>
      </c>
      <c r="C966" s="18">
        <f t="shared" si="1"/>
        <v>-0.00103671525</v>
      </c>
      <c r="D966" s="18">
        <v>0.0034499452081276486</v>
      </c>
    </row>
    <row r="967" ht="15.75" customHeight="1">
      <c r="A967" s="3">
        <v>44494.0</v>
      </c>
      <c r="B967" s="17">
        <v>455.55</v>
      </c>
      <c r="C967" s="18">
        <f t="shared" si="1"/>
        <v>0.005348489095</v>
      </c>
      <c r="D967" s="18">
        <v>-0.004409530507246676</v>
      </c>
    </row>
    <row r="968" ht="15.75" customHeight="1">
      <c r="A968" s="3">
        <v>44495.0</v>
      </c>
      <c r="B968" s="17">
        <v>455.96</v>
      </c>
      <c r="C968" s="18">
        <f t="shared" si="1"/>
        <v>0.0008996062087</v>
      </c>
      <c r="D968" s="18">
        <v>0.004340957765797029</v>
      </c>
    </row>
    <row r="969" ht="15.75" customHeight="1">
      <c r="A969" s="3">
        <v>44496.0</v>
      </c>
      <c r="B969" s="17">
        <v>453.94</v>
      </c>
      <c r="C969" s="18">
        <f t="shared" si="1"/>
        <v>-0.004440055651</v>
      </c>
      <c r="D969" s="18">
        <v>0.025951080721434358</v>
      </c>
    </row>
    <row r="970" ht="15.75" customHeight="1">
      <c r="A970" s="3">
        <v>44497.0</v>
      </c>
      <c r="B970" s="17">
        <v>458.32</v>
      </c>
      <c r="C970" s="18">
        <f t="shared" si="1"/>
        <v>0.009602599383</v>
      </c>
      <c r="D970" s="18">
        <v>-4.1150592460445924E-4</v>
      </c>
    </row>
    <row r="971" ht="15.75" customHeight="1">
      <c r="A971" s="3">
        <v>44498.0</v>
      </c>
      <c r="B971" s="17">
        <v>459.25</v>
      </c>
      <c r="C971" s="18">
        <f t="shared" si="1"/>
        <v>0.002027093995</v>
      </c>
      <c r="D971" s="18">
        <v>0.0032329413394363857</v>
      </c>
    </row>
    <row r="972" ht="15.75" customHeight="1">
      <c r="A972" s="3">
        <v>44501.0</v>
      </c>
      <c r="B972" s="17">
        <v>460.04</v>
      </c>
      <c r="C972" s="18">
        <f t="shared" si="1"/>
        <v>0.001718718129</v>
      </c>
      <c r="D972" s="18">
        <v>0.0062703837103232985</v>
      </c>
    </row>
    <row r="973" ht="15.75" customHeight="1">
      <c r="A973" s="3">
        <v>44502.0</v>
      </c>
      <c r="B973" s="17">
        <v>461.9</v>
      </c>
      <c r="C973" s="18">
        <f t="shared" si="1"/>
        <v>0.004034975212</v>
      </c>
      <c r="D973" s="18">
        <v>5.046181890719006E-4</v>
      </c>
    </row>
    <row r="974" ht="15.75" customHeight="1">
      <c r="A974" s="3">
        <v>44503.0</v>
      </c>
      <c r="B974" s="17">
        <v>464.72</v>
      </c>
      <c r="C974" s="18">
        <f t="shared" si="1"/>
        <v>0.006086656248</v>
      </c>
      <c r="D974" s="18">
        <v>0.0012720001288889751</v>
      </c>
    </row>
    <row r="975" ht="15.75" customHeight="1">
      <c r="A975" s="3">
        <v>44504.0</v>
      </c>
      <c r="B975" s="17">
        <v>466.91</v>
      </c>
      <c r="C975" s="18">
        <f t="shared" si="1"/>
        <v>0.004701445926</v>
      </c>
      <c r="D975" s="18">
        <v>0.00342883925447218</v>
      </c>
    </row>
    <row r="976" ht="15.75" customHeight="1">
      <c r="A976" s="3">
        <v>44505.0</v>
      </c>
      <c r="B976" s="17">
        <v>468.53</v>
      </c>
      <c r="C976" s="18">
        <f t="shared" si="1"/>
        <v>0.00346361417</v>
      </c>
      <c r="D976" s="18">
        <v>3.862169183107911E-4</v>
      </c>
    </row>
    <row r="977" ht="15.75" customHeight="1">
      <c r="A977" s="3">
        <v>44508.0</v>
      </c>
      <c r="B977" s="17">
        <v>468.93</v>
      </c>
      <c r="C977" s="18">
        <f t="shared" si="1"/>
        <v>0.0008533697956</v>
      </c>
      <c r="D977" s="18">
        <v>0.00150684789469041</v>
      </c>
    </row>
    <row r="978" ht="15.75" customHeight="1">
      <c r="A978" s="3">
        <v>44509.0</v>
      </c>
      <c r="B978" s="17">
        <v>467.38</v>
      </c>
      <c r="C978" s="18">
        <f t="shared" si="1"/>
        <v>-0.003310872288</v>
      </c>
      <c r="D978" s="18">
        <v>-0.0019018239451829748</v>
      </c>
    </row>
    <row r="979" ht="15.75" customHeight="1">
      <c r="A979" s="3">
        <v>44510.0</v>
      </c>
      <c r="B979" s="17">
        <v>463.62</v>
      </c>
      <c r="C979" s="18">
        <f t="shared" si="1"/>
        <v>-0.008077380114</v>
      </c>
      <c r="D979" s="18">
        <v>0.003674899015071829</v>
      </c>
    </row>
    <row r="980" ht="15.75" customHeight="1">
      <c r="A980" s="3">
        <v>44511.0</v>
      </c>
      <c r="B980" s="17">
        <v>463.77</v>
      </c>
      <c r="C980" s="18">
        <f t="shared" si="1"/>
        <v>0.0003234885028</v>
      </c>
      <c r="D980" s="18">
        <v>0.0038898386982293438</v>
      </c>
    </row>
    <row r="981" ht="15.75" customHeight="1">
      <c r="A981" s="3">
        <v>44512.0</v>
      </c>
      <c r="B981" s="17">
        <v>467.27</v>
      </c>
      <c r="C981" s="18">
        <f t="shared" si="1"/>
        <v>0.007518509382</v>
      </c>
      <c r="D981" s="18">
        <v>-0.0035369769565422975</v>
      </c>
    </row>
    <row r="982" ht="15.75" customHeight="1">
      <c r="A982" s="3">
        <v>44515.0</v>
      </c>
      <c r="B982" s="17">
        <v>467.43</v>
      </c>
      <c r="C982" s="18">
        <f t="shared" si="1"/>
        <v>0.0003423558394</v>
      </c>
      <c r="D982" s="18">
        <v>0.0011618266336134797</v>
      </c>
    </row>
    <row r="983" ht="15.75" customHeight="1">
      <c r="A983" s="3">
        <v>44516.0</v>
      </c>
      <c r="B983" s="17">
        <v>469.28</v>
      </c>
      <c r="C983" s="18">
        <f t="shared" si="1"/>
        <v>0.003950000332</v>
      </c>
      <c r="D983" s="18">
        <v>-0.005159765549681129</v>
      </c>
    </row>
    <row r="984" ht="15.75" customHeight="1">
      <c r="A984" s="3">
        <v>44517.0</v>
      </c>
      <c r="B984" s="17">
        <v>468.14</v>
      </c>
      <c r="C984" s="18">
        <f t="shared" si="1"/>
        <v>-0.002432208747</v>
      </c>
      <c r="D984" s="18">
        <v>0.003124945601340959</v>
      </c>
    </row>
    <row r="985" ht="15.75" customHeight="1">
      <c r="A985" s="3">
        <v>44518.0</v>
      </c>
      <c r="B985" s="17">
        <v>469.73</v>
      </c>
      <c r="C985" s="18">
        <f t="shared" si="1"/>
        <v>0.003390665067</v>
      </c>
      <c r="D985" s="18">
        <v>7.601918557359735E-4</v>
      </c>
    </row>
    <row r="986" ht="15.75" customHeight="1">
      <c r="A986" s="3">
        <v>44519.0</v>
      </c>
      <c r="B986" s="17">
        <v>468.89</v>
      </c>
      <c r="C986" s="18">
        <f t="shared" si="1"/>
        <v>-0.00178986219</v>
      </c>
      <c r="D986" s="18">
        <v>-0.001631816721496053</v>
      </c>
    </row>
    <row r="987" ht="15.75" customHeight="1">
      <c r="A987" s="3">
        <v>44522.0</v>
      </c>
      <c r="B987" s="17">
        <v>467.57</v>
      </c>
      <c r="C987" s="18">
        <f t="shared" si="1"/>
        <v>-0.002819129219</v>
      </c>
      <c r="D987" s="18">
        <v>-0.00688587978773121</v>
      </c>
    </row>
    <row r="988" ht="15.75" customHeight="1">
      <c r="A988" s="3">
        <v>44523.0</v>
      </c>
      <c r="B988" s="17">
        <v>468.19</v>
      </c>
      <c r="C988" s="18">
        <f t="shared" si="1"/>
        <v>0.001325126295</v>
      </c>
      <c r="D988" s="18">
        <v>0.004469218494438567</v>
      </c>
    </row>
    <row r="989" ht="15.75" customHeight="1">
      <c r="A989" s="3">
        <v>44524.0</v>
      </c>
      <c r="B989" s="17">
        <v>469.44</v>
      </c>
      <c r="C989" s="18">
        <f t="shared" si="1"/>
        <v>0.00266629852</v>
      </c>
      <c r="D989" s="18">
        <v>-0.0033169497636490334</v>
      </c>
    </row>
    <row r="990" ht="15.75" customHeight="1">
      <c r="A990" s="3">
        <v>44526.0</v>
      </c>
      <c r="B990" s="17">
        <v>458.97</v>
      </c>
      <c r="C990" s="18">
        <f t="shared" si="1"/>
        <v>-0.02255564651</v>
      </c>
      <c r="D990" s="18">
        <v>0.0025639191264649162</v>
      </c>
    </row>
    <row r="991" ht="15.75" customHeight="1">
      <c r="A991" s="3">
        <v>44529.0</v>
      </c>
      <c r="B991" s="17">
        <v>464.6</v>
      </c>
      <c r="C991" s="18">
        <f t="shared" si="1"/>
        <v>0.01219197189</v>
      </c>
      <c r="D991" s="18">
        <v>-8.221835767649552E-4</v>
      </c>
    </row>
    <row r="992" ht="15.75" customHeight="1">
      <c r="A992" s="3">
        <v>44530.0</v>
      </c>
      <c r="B992" s="17">
        <v>455.56</v>
      </c>
      <c r="C992" s="18">
        <f t="shared" si="1"/>
        <v>-0.01964938893</v>
      </c>
      <c r="D992" s="18">
        <v>0.009333323996425561</v>
      </c>
    </row>
    <row r="993" ht="15.75" customHeight="1">
      <c r="A993" s="3">
        <v>44531.0</v>
      </c>
      <c r="B993" s="17">
        <v>450.5</v>
      </c>
      <c r="C993" s="18">
        <f t="shared" si="1"/>
        <v>-0.01116935436</v>
      </c>
      <c r="D993" s="18">
        <v>0.009330145789068524</v>
      </c>
    </row>
    <row r="994" ht="15.75" customHeight="1">
      <c r="A994" s="3">
        <v>44532.0</v>
      </c>
      <c r="B994" s="17">
        <v>457.4</v>
      </c>
      <c r="C994" s="18">
        <f t="shared" si="1"/>
        <v>0.01520020454</v>
      </c>
      <c r="D994" s="18">
        <v>-0.003584795841166538</v>
      </c>
    </row>
    <row r="995" ht="15.75" customHeight="1">
      <c r="A995" s="3">
        <v>44533.0</v>
      </c>
      <c r="B995" s="17">
        <v>453.42</v>
      </c>
      <c r="C995" s="18">
        <f t="shared" si="1"/>
        <v>-0.008739433328</v>
      </c>
      <c r="D995" s="18">
        <v>0.011282518822800711</v>
      </c>
    </row>
    <row r="996" ht="15.75" customHeight="1">
      <c r="A996" s="3">
        <v>44536.0</v>
      </c>
      <c r="B996" s="17">
        <v>458.79</v>
      </c>
      <c r="C996" s="18">
        <f t="shared" si="1"/>
        <v>0.01177374077</v>
      </c>
      <c r="D996" s="18">
        <v>-0.002803548735651743</v>
      </c>
    </row>
    <row r="997" ht="15.75" customHeight="1">
      <c r="A997" s="3">
        <v>44537.0</v>
      </c>
      <c r="B997" s="17">
        <v>468.28</v>
      </c>
      <c r="C997" s="18">
        <f t="shared" si="1"/>
        <v>0.02047381858</v>
      </c>
      <c r="D997" s="18">
        <v>0.009294862420501763</v>
      </c>
    </row>
    <row r="998" ht="15.75" customHeight="1">
      <c r="A998" s="3">
        <v>44538.0</v>
      </c>
      <c r="B998" s="17">
        <v>469.52</v>
      </c>
      <c r="C998" s="18">
        <f t="shared" si="1"/>
        <v>0.002644488639</v>
      </c>
      <c r="D998" s="18">
        <v>0.0016794754717276504</v>
      </c>
    </row>
    <row r="999" ht="15.75" customHeight="1">
      <c r="A999" s="3">
        <v>44539.0</v>
      </c>
      <c r="B999" s="17">
        <v>466.35</v>
      </c>
      <c r="C999" s="18">
        <f t="shared" si="1"/>
        <v>-0.006774471077</v>
      </c>
      <c r="D999" s="18">
        <v>-0.01420898271061061</v>
      </c>
    </row>
    <row r="1000" ht="15.75" customHeight="1">
      <c r="A1000" s="3">
        <v>44540.0</v>
      </c>
      <c r="B1000" s="17">
        <v>470.74</v>
      </c>
      <c r="C1000" s="18">
        <f t="shared" si="1"/>
        <v>0.009369499441</v>
      </c>
      <c r="D1000" s="18">
        <v>0.0016549243244235957</v>
      </c>
    </row>
    <row r="1001" ht="15.75" customHeight="1">
      <c r="A1001" s="3">
        <v>44543.0</v>
      </c>
      <c r="B1001" s="17">
        <v>466.57</v>
      </c>
      <c r="C1001" s="18">
        <f t="shared" si="1"/>
        <v>-0.008897861993</v>
      </c>
      <c r="D1001" s="18">
        <v>0.0069729475474020535</v>
      </c>
    </row>
    <row r="1002" ht="15.75" customHeight="1">
      <c r="A1002" s="3">
        <v>44544.0</v>
      </c>
      <c r="B1002" s="17">
        <v>463.36</v>
      </c>
      <c r="C1002" s="18">
        <f t="shared" si="1"/>
        <v>-0.006903772864</v>
      </c>
      <c r="D1002" s="18">
        <v>0.017205434536754022</v>
      </c>
    </row>
    <row r="1003" ht="15.75" customHeight="1">
      <c r="A1003" s="3">
        <v>44545.0</v>
      </c>
      <c r="B1003" s="17">
        <v>470.6</v>
      </c>
      <c r="C1003" s="18">
        <f t="shared" si="1"/>
        <v>0.01550418654</v>
      </c>
      <c r="D1003" s="18">
        <v>-0.005294039741645993</v>
      </c>
    </row>
    <row r="1004" ht="15.75" customHeight="1">
      <c r="A1004" s="3">
        <v>44546.0</v>
      </c>
      <c r="B1004" s="17">
        <v>466.45</v>
      </c>
      <c r="C1004" s="18">
        <f t="shared" si="1"/>
        <v>-0.008857642886</v>
      </c>
      <c r="D1004" s="18">
        <v>-0.012947602469344666</v>
      </c>
    </row>
    <row r="1005" ht="15.75" customHeight="1">
      <c r="A1005" s="3">
        <v>44547.0</v>
      </c>
      <c r="B1005" s="17">
        <v>459.87</v>
      </c>
      <c r="C1005" s="18">
        <f t="shared" si="1"/>
        <v>-0.01420699256</v>
      </c>
      <c r="D1005" s="18">
        <v>0.014452633060835817</v>
      </c>
    </row>
    <row r="1006" ht="15.75" customHeight="1">
      <c r="A1006" s="3">
        <v>44550.0</v>
      </c>
      <c r="B1006" s="17">
        <v>454.98</v>
      </c>
      <c r="C1006" s="18">
        <f t="shared" si="1"/>
        <v>-0.01069037891</v>
      </c>
      <c r="D1006" s="18">
        <v>-0.004381558343732262</v>
      </c>
    </row>
    <row r="1007" ht="15.75" customHeight="1">
      <c r="A1007" s="3">
        <v>44551.0</v>
      </c>
      <c r="B1007" s="17">
        <v>463.06</v>
      </c>
      <c r="C1007" s="18">
        <f t="shared" si="1"/>
        <v>0.01760317338</v>
      </c>
      <c r="D1007" s="18">
        <v>0.005929882832133484</v>
      </c>
    </row>
    <row r="1008" ht="15.75" customHeight="1">
      <c r="A1008" s="3">
        <v>44552.0</v>
      </c>
      <c r="B1008" s="17">
        <v>467.69</v>
      </c>
      <c r="C1008" s="18">
        <f t="shared" si="1"/>
        <v>0.009949047953</v>
      </c>
      <c r="D1008" s="18">
        <v>1.1913835642968538E-4</v>
      </c>
    </row>
    <row r="1009" ht="15.75" customHeight="1">
      <c r="A1009" s="3">
        <v>44553.0</v>
      </c>
      <c r="B1009" s="17">
        <v>470.6</v>
      </c>
      <c r="C1009" s="18">
        <f t="shared" si="1"/>
        <v>0.006202793017</v>
      </c>
      <c r="D1009" s="18">
        <v>-0.001939264052602042</v>
      </c>
    </row>
    <row r="1010" ht="15.75" customHeight="1">
      <c r="A1010" s="3">
        <v>44557.0</v>
      </c>
      <c r="B1010" s="17">
        <v>477.26</v>
      </c>
      <c r="C1010" s="18">
        <f t="shared" si="1"/>
        <v>0.01405293947</v>
      </c>
      <c r="D1010" s="18">
        <v>-0.0035199563520824416</v>
      </c>
    </row>
    <row r="1011" ht="15.75" customHeight="1">
      <c r="A1011" s="3">
        <v>44558.0</v>
      </c>
      <c r="B1011" s="17">
        <v>476.87</v>
      </c>
      <c r="C1011" s="18">
        <f t="shared" si="1"/>
        <v>-0.0008174987092</v>
      </c>
      <c r="D1011" s="18">
        <v>0.009225389294022623</v>
      </c>
    </row>
    <row r="1012" ht="15.75" customHeight="1">
      <c r="A1012" s="3">
        <v>44559.0</v>
      </c>
      <c r="B1012" s="17">
        <v>477.48</v>
      </c>
      <c r="C1012" s="18">
        <f t="shared" si="1"/>
        <v>0.001278357171</v>
      </c>
      <c r="D1012" s="18">
        <v>0.00714028231916374</v>
      </c>
    </row>
    <row r="1013" ht="15.75" customHeight="1">
      <c r="A1013" s="3">
        <v>44560.0</v>
      </c>
      <c r="B1013" s="17">
        <v>476.16</v>
      </c>
      <c r="C1013" s="18">
        <f t="shared" si="1"/>
        <v>-0.002768342022</v>
      </c>
      <c r="D1013" s="18">
        <v>0.0030234243448020387</v>
      </c>
    </row>
    <row r="1014" ht="15.75" customHeight="1">
      <c r="A1014" s="3">
        <v>44561.0</v>
      </c>
      <c r="B1014" s="17">
        <v>474.96</v>
      </c>
      <c r="C1014" s="18">
        <f t="shared" si="1"/>
        <v>-0.002523342242</v>
      </c>
      <c r="D1014" s="18">
        <v>0.007888196170961762</v>
      </c>
    </row>
    <row r="1015" ht="15.75" customHeight="1">
      <c r="A1015" s="3">
        <v>44564.0</v>
      </c>
      <c r="B1015" s="17">
        <v>477.71</v>
      </c>
      <c r="C1015" s="18">
        <f t="shared" si="1"/>
        <v>0.005773263855</v>
      </c>
      <c r="D1015" s="18">
        <v>0.01716568793484222</v>
      </c>
    </row>
    <row r="1016" ht="15.75" customHeight="1">
      <c r="A1016" s="3">
        <v>44565.0</v>
      </c>
      <c r="B1016" s="17">
        <v>477.55</v>
      </c>
      <c r="C1016" s="18">
        <f t="shared" si="1"/>
        <v>-0.0003349873364</v>
      </c>
      <c r="D1016" s="18">
        <v>-0.007925392052195382</v>
      </c>
    </row>
    <row r="1017" ht="15.75" customHeight="1">
      <c r="A1017" s="3">
        <v>44566.0</v>
      </c>
      <c r="B1017" s="17">
        <v>468.38</v>
      </c>
      <c r="C1017" s="18">
        <f t="shared" si="1"/>
        <v>-0.01938893422</v>
      </c>
      <c r="D1017" s="18">
        <v>-0.008507492262041906</v>
      </c>
    </row>
    <row r="1018" ht="15.75" customHeight="1">
      <c r="A1018" s="3">
        <v>44567.0</v>
      </c>
      <c r="B1018" s="17">
        <v>467.94</v>
      </c>
      <c r="C1018" s="18">
        <f t="shared" si="1"/>
        <v>-0.0009398496932</v>
      </c>
      <c r="D1018" s="18">
        <v>0.002765368069196414</v>
      </c>
    </row>
    <row r="1019" ht="15.75" customHeight="1">
      <c r="A1019" s="3">
        <v>44568.0</v>
      </c>
      <c r="B1019" s="17">
        <v>466.09</v>
      </c>
      <c r="C1019" s="18">
        <f t="shared" si="1"/>
        <v>-0.003961334045</v>
      </c>
      <c r="D1019" s="18">
        <v>-0.008148976649878528</v>
      </c>
    </row>
    <row r="1020" ht="15.75" customHeight="1">
      <c r="A1020" s="3">
        <v>44571.0</v>
      </c>
      <c r="B1020" s="17">
        <v>465.51</v>
      </c>
      <c r="C1020" s="18">
        <f t="shared" si="1"/>
        <v>-0.001245169762</v>
      </c>
      <c r="D1020" s="18">
        <v>-0.00133902039807524</v>
      </c>
    </row>
    <row r="1021" ht="15.75" customHeight="1">
      <c r="A1021" s="3">
        <v>44572.0</v>
      </c>
      <c r="B1021" s="17">
        <v>469.75</v>
      </c>
      <c r="C1021" s="18">
        <f t="shared" si="1"/>
        <v>0.00906705953</v>
      </c>
      <c r="D1021" s="18">
        <v>0.0018766692113284526</v>
      </c>
    </row>
    <row r="1022" ht="15.75" customHeight="1">
      <c r="A1022" s="3">
        <v>44573.0</v>
      </c>
      <c r="B1022" s="17">
        <v>471.02</v>
      </c>
      <c r="C1022" s="18">
        <f t="shared" si="1"/>
        <v>0.002699917666</v>
      </c>
      <c r="D1022" s="18">
        <v>-1.6362188699942012E-4</v>
      </c>
    </row>
    <row r="1023" ht="15.75" customHeight="1">
      <c r="A1023" s="3">
        <v>44574.0</v>
      </c>
      <c r="B1023" s="17">
        <v>464.53</v>
      </c>
      <c r="C1023" s="18">
        <f t="shared" si="1"/>
        <v>-0.01387441422</v>
      </c>
      <c r="D1023" s="18">
        <v>-0.0022634174150716244</v>
      </c>
    </row>
    <row r="1024" ht="15.75" customHeight="1">
      <c r="A1024" s="3">
        <v>44575.0</v>
      </c>
      <c r="B1024" s="17">
        <v>464.72</v>
      </c>
      <c r="C1024" s="18">
        <f t="shared" si="1"/>
        <v>0.0004089319401</v>
      </c>
      <c r="D1024" s="18">
        <v>-0.002867034452767912</v>
      </c>
    </row>
    <row r="1025" ht="15.75" customHeight="1">
      <c r="A1025" s="3">
        <v>44579.0</v>
      </c>
      <c r="B1025" s="17">
        <v>456.49</v>
      </c>
      <c r="C1025" s="18">
        <f t="shared" si="1"/>
        <v>-0.01786827969</v>
      </c>
      <c r="D1025" s="18">
        <v>-0.0027022912097335915</v>
      </c>
    </row>
    <row r="1026" ht="15.75" customHeight="1">
      <c r="A1026" s="3">
        <v>44580.0</v>
      </c>
      <c r="B1026" s="17">
        <v>451.75</v>
      </c>
      <c r="C1026" s="18">
        <f t="shared" si="1"/>
        <v>-0.01043786452</v>
      </c>
      <c r="D1026" s="18">
        <v>-0.008147754778461934</v>
      </c>
    </row>
    <row r="1027" ht="15.75" customHeight="1">
      <c r="A1027" s="3">
        <v>44581.0</v>
      </c>
      <c r="B1027" s="17">
        <v>446.75</v>
      </c>
      <c r="C1027" s="18">
        <f t="shared" si="1"/>
        <v>-0.01112977543</v>
      </c>
      <c r="D1027" s="18">
        <v>-0.003347544868296816</v>
      </c>
    </row>
    <row r="1028" ht="15.75" customHeight="1">
      <c r="A1028" s="3">
        <v>44582.0</v>
      </c>
      <c r="B1028" s="17">
        <v>437.98</v>
      </c>
      <c r="C1028" s="18">
        <f t="shared" si="1"/>
        <v>-0.01982590681</v>
      </c>
      <c r="D1028" s="18">
        <v>6.126443614795482E-4</v>
      </c>
    </row>
    <row r="1029" ht="15.75" customHeight="1">
      <c r="A1029" s="3">
        <v>44585.0</v>
      </c>
      <c r="B1029" s="17">
        <v>439.84</v>
      </c>
      <c r="C1029" s="18">
        <f t="shared" si="1"/>
        <v>0.004237777183</v>
      </c>
      <c r="D1029" s="18">
        <v>-0.0035738128935574485</v>
      </c>
    </row>
    <row r="1030" ht="15.75" customHeight="1">
      <c r="A1030" s="3">
        <v>44586.0</v>
      </c>
      <c r="B1030" s="17">
        <v>434.47</v>
      </c>
      <c r="C1030" s="18">
        <f t="shared" si="1"/>
        <v>-0.01228412697</v>
      </c>
      <c r="D1030" s="18">
        <v>0.0023373047179717646</v>
      </c>
    </row>
    <row r="1031" ht="15.75" customHeight="1">
      <c r="A1031" s="3">
        <v>44587.0</v>
      </c>
      <c r="B1031" s="17">
        <v>433.38</v>
      </c>
      <c r="C1031" s="18">
        <f t="shared" si="1"/>
        <v>-0.002511956152</v>
      </c>
      <c r="D1031" s="18">
        <v>7.045595566049506E-4</v>
      </c>
    </row>
    <row r="1032" ht="15.75" customHeight="1">
      <c r="A1032" s="3">
        <v>44588.0</v>
      </c>
      <c r="B1032" s="17">
        <v>431.24</v>
      </c>
      <c r="C1032" s="18">
        <f t="shared" si="1"/>
        <v>-0.00495016162</v>
      </c>
      <c r="D1032" s="18">
        <v>3.351177831863465E-4</v>
      </c>
    </row>
    <row r="1033" ht="15.75" customHeight="1">
      <c r="A1033" s="3">
        <v>44589.0</v>
      </c>
      <c r="B1033" s="17">
        <v>441.95</v>
      </c>
      <c r="C1033" s="18">
        <f t="shared" si="1"/>
        <v>0.02453197384</v>
      </c>
      <c r="D1033" s="18">
        <v>-0.0022308354320866243</v>
      </c>
    </row>
    <row r="1034" ht="15.75" customHeight="1">
      <c r="A1034" s="3">
        <v>44592.0</v>
      </c>
      <c r="B1034" s="17">
        <v>449.91</v>
      </c>
      <c r="C1034" s="18">
        <f t="shared" si="1"/>
        <v>0.01785080925</v>
      </c>
      <c r="D1034" s="18">
        <v>-0.0027447271396769256</v>
      </c>
    </row>
    <row r="1035" ht="15.75" customHeight="1">
      <c r="A1035" s="3">
        <v>44593.0</v>
      </c>
      <c r="B1035" s="17">
        <v>452.95</v>
      </c>
      <c r="C1035" s="18">
        <f t="shared" si="1"/>
        <v>0.006734181354</v>
      </c>
      <c r="D1035" s="18">
        <v>-0.014215081303613758</v>
      </c>
    </row>
    <row r="1036" ht="15.75" customHeight="1">
      <c r="A1036" s="3">
        <v>44594.0</v>
      </c>
      <c r="B1036" s="17">
        <v>457.35</v>
      </c>
      <c r="C1036" s="18">
        <f t="shared" si="1"/>
        <v>0.009667217987</v>
      </c>
      <c r="D1036" s="18">
        <v>0.00824884280440752</v>
      </c>
    </row>
    <row r="1037" ht="15.75" customHeight="1">
      <c r="A1037" s="3">
        <v>44595.0</v>
      </c>
      <c r="B1037" s="17">
        <v>446.6</v>
      </c>
      <c r="C1037" s="18">
        <f t="shared" si="1"/>
        <v>-0.0237856227</v>
      </c>
      <c r="D1037" s="18">
        <v>0.01886494164504908</v>
      </c>
    </row>
    <row r="1038" ht="15.75" customHeight="1">
      <c r="A1038" s="3">
        <v>44596.0</v>
      </c>
      <c r="B1038" s="17">
        <v>448.7</v>
      </c>
      <c r="C1038" s="18">
        <f t="shared" si="1"/>
        <v>0.004691173576</v>
      </c>
      <c r="D1038" s="18">
        <v>0.013498309551280507</v>
      </c>
    </row>
    <row r="1039" ht="15.75" customHeight="1">
      <c r="A1039" s="3">
        <v>44599.0</v>
      </c>
      <c r="B1039" s="17">
        <v>447.26</v>
      </c>
      <c r="C1039" s="18">
        <f t="shared" si="1"/>
        <v>-0.003214431983</v>
      </c>
      <c r="D1039" s="18">
        <v>0.004912432847358655</v>
      </c>
    </row>
    <row r="1040" ht="15.75" customHeight="1">
      <c r="A1040" s="3">
        <v>44600.0</v>
      </c>
      <c r="B1040" s="17">
        <v>450.94</v>
      </c>
      <c r="C1040" s="18">
        <f t="shared" si="1"/>
        <v>0.00819421196</v>
      </c>
      <c r="D1040" s="18">
        <v>3.6847918336044413E-4</v>
      </c>
    </row>
    <row r="1041" ht="15.75" customHeight="1">
      <c r="A1041" s="3">
        <v>44601.0</v>
      </c>
      <c r="B1041" s="17">
        <v>457.54</v>
      </c>
      <c r="C1041" s="18">
        <f t="shared" si="1"/>
        <v>0.01453001963</v>
      </c>
      <c r="D1041" s="18">
        <v>-0.002780521003711025</v>
      </c>
    </row>
    <row r="1042" ht="15.75" customHeight="1">
      <c r="A1042" s="3">
        <v>44602.0</v>
      </c>
      <c r="B1042" s="17">
        <v>449.32</v>
      </c>
      <c r="C1042" s="18">
        <f t="shared" si="1"/>
        <v>-0.01812898381</v>
      </c>
      <c r="D1042" s="18">
        <v>0.013331620851292789</v>
      </c>
    </row>
    <row r="1043" ht="15.75" customHeight="1">
      <c r="A1043" s="3">
        <v>44603.0</v>
      </c>
      <c r="B1043" s="17">
        <v>440.46</v>
      </c>
      <c r="C1043" s="18">
        <f t="shared" si="1"/>
        <v>-0.01991569342</v>
      </c>
      <c r="D1043" s="18">
        <v>2.254612834090022E-4</v>
      </c>
    </row>
    <row r="1044" ht="15.75" customHeight="1">
      <c r="A1044" s="3">
        <v>44606.0</v>
      </c>
      <c r="B1044" s="17">
        <v>439.02</v>
      </c>
      <c r="C1044" s="18">
        <f t="shared" si="1"/>
        <v>-0.003274665227</v>
      </c>
      <c r="D1044" s="18">
        <v>-0.001958198726057896</v>
      </c>
    </row>
    <row r="1045" ht="15.75" customHeight="1">
      <c r="A1045" s="3">
        <v>44607.0</v>
      </c>
      <c r="B1045" s="17">
        <v>446.1</v>
      </c>
      <c r="C1045" s="18">
        <f t="shared" si="1"/>
        <v>0.01599817201</v>
      </c>
      <c r="D1045" s="18">
        <v>-0.00567058129699722</v>
      </c>
    </row>
    <row r="1046" ht="15.75" customHeight="1">
      <c r="A1046" s="3">
        <v>44608.0</v>
      </c>
      <c r="B1046" s="17">
        <v>446.6</v>
      </c>
      <c r="C1046" s="18">
        <f t="shared" si="1"/>
        <v>0.001120197272</v>
      </c>
      <c r="D1046" s="18">
        <v>-0.0017674050031851797</v>
      </c>
    </row>
    <row r="1047" ht="15.75" customHeight="1">
      <c r="A1047" s="3">
        <v>44609.0</v>
      </c>
      <c r="B1047" s="17">
        <v>437.06</v>
      </c>
      <c r="C1047" s="18">
        <f t="shared" si="1"/>
        <v>-0.02159285396</v>
      </c>
      <c r="D1047" s="18">
        <v>1.1082321265329042E-4</v>
      </c>
    </row>
    <row r="1048" ht="15.75" customHeight="1">
      <c r="A1048" s="3">
        <v>44610.0</v>
      </c>
      <c r="B1048" s="17">
        <v>434.23</v>
      </c>
      <c r="C1048" s="18">
        <f t="shared" si="1"/>
        <v>-0.006496137801</v>
      </c>
      <c r="D1048" s="18">
        <v>0.0036448262637944</v>
      </c>
    </row>
    <row r="1049" ht="15.75" customHeight="1">
      <c r="A1049" s="3">
        <v>44614.0</v>
      </c>
      <c r="B1049" s="17">
        <v>429.57</v>
      </c>
      <c r="C1049" s="18">
        <f t="shared" si="1"/>
        <v>-0.01078963929</v>
      </c>
      <c r="D1049" s="18">
        <v>-0.012216289019540544</v>
      </c>
    </row>
    <row r="1050" ht="15.75" customHeight="1">
      <c r="A1050" s="3">
        <v>44615.0</v>
      </c>
      <c r="B1050" s="17">
        <v>421.95</v>
      </c>
      <c r="C1050" s="18">
        <f t="shared" si="1"/>
        <v>-0.01789788475</v>
      </c>
      <c r="D1050" s="18">
        <v>0.011293602634589648</v>
      </c>
    </row>
    <row r="1051" ht="15.75" customHeight="1">
      <c r="A1051" s="3">
        <v>44616.0</v>
      </c>
      <c r="B1051" s="17">
        <v>428.3</v>
      </c>
      <c r="C1051" s="18">
        <f t="shared" si="1"/>
        <v>0.01493706102</v>
      </c>
      <c r="D1051" s="18">
        <v>0.00344927625911811</v>
      </c>
    </row>
    <row r="1052" ht="15.75" customHeight="1">
      <c r="A1052" s="3">
        <v>44617.0</v>
      </c>
      <c r="B1052" s="17">
        <v>437.75</v>
      </c>
      <c r="C1052" s="18">
        <f t="shared" si="1"/>
        <v>0.02182408654</v>
      </c>
      <c r="D1052" s="18">
        <v>-0.006914640529786723</v>
      </c>
    </row>
    <row r="1053" ht="15.75" customHeight="1">
      <c r="A1053" s="3">
        <v>44620.0</v>
      </c>
      <c r="B1053" s="17">
        <v>436.63</v>
      </c>
      <c r="C1053" s="18">
        <f t="shared" si="1"/>
        <v>-0.00256181663</v>
      </c>
      <c r="D1053" s="18">
        <v>0.017944971337700667</v>
      </c>
    </row>
    <row r="1054" ht="15.75" customHeight="1">
      <c r="A1054" s="3">
        <v>44621.0</v>
      </c>
      <c r="B1054" s="17">
        <v>429.98</v>
      </c>
      <c r="C1054" s="18">
        <f t="shared" si="1"/>
        <v>-0.01534745856</v>
      </c>
      <c r="D1054" s="18">
        <v>-0.0034318449083582145</v>
      </c>
    </row>
    <row r="1055" ht="15.75" customHeight="1">
      <c r="A1055" s="3">
        <v>44622.0</v>
      </c>
      <c r="B1055" s="17">
        <v>437.89</v>
      </c>
      <c r="C1055" s="18">
        <f t="shared" si="1"/>
        <v>0.0182290413</v>
      </c>
      <c r="D1055" s="18">
        <v>-0.005276894345302707</v>
      </c>
    </row>
    <row r="1056" ht="15.75" customHeight="1">
      <c r="A1056" s="3">
        <v>44623.0</v>
      </c>
      <c r="B1056" s="17">
        <v>435.71</v>
      </c>
      <c r="C1056" s="18">
        <f t="shared" si="1"/>
        <v>-0.00499085285</v>
      </c>
      <c r="D1056" s="18">
        <v>-4.4958228646756226E-4</v>
      </c>
    </row>
    <row r="1057" ht="15.75" customHeight="1">
      <c r="A1057" s="3">
        <v>44624.0</v>
      </c>
      <c r="B1057" s="17">
        <v>432.17</v>
      </c>
      <c r="C1057" s="18">
        <f t="shared" si="1"/>
        <v>-0.008157855078</v>
      </c>
      <c r="D1057" s="18">
        <v>0.0034440462905843683</v>
      </c>
    </row>
    <row r="1058" ht="15.75" customHeight="1">
      <c r="A1058" s="3">
        <v>44627.0</v>
      </c>
      <c r="B1058" s="17">
        <v>419.43</v>
      </c>
      <c r="C1058" s="18">
        <f t="shared" si="1"/>
        <v>-0.02992238269</v>
      </c>
      <c r="D1058" s="18">
        <v>4.211204095870954E-4</v>
      </c>
    </row>
    <row r="1059" ht="15.75" customHeight="1">
      <c r="A1059" s="3">
        <v>44628.0</v>
      </c>
      <c r="B1059" s="17">
        <v>416.25</v>
      </c>
      <c r="C1059" s="18">
        <f t="shared" si="1"/>
        <v>-0.007610605373</v>
      </c>
      <c r="D1059" s="18">
        <v>0.012270601100447136</v>
      </c>
    </row>
    <row r="1060" ht="15.75" customHeight="1">
      <c r="A1060" s="3">
        <v>44629.0</v>
      </c>
      <c r="B1060" s="17">
        <v>427.41</v>
      </c>
      <c r="C1060" s="18">
        <f t="shared" si="1"/>
        <v>0.0264576986</v>
      </c>
      <c r="D1060" s="18">
        <v>-0.003736625037365208</v>
      </c>
    </row>
    <row r="1061" ht="15.75" customHeight="1">
      <c r="A1061" s="3">
        <v>44630.0</v>
      </c>
      <c r="B1061" s="17">
        <v>425.48</v>
      </c>
      <c r="C1061" s="18">
        <f t="shared" si="1"/>
        <v>-0.004525796514</v>
      </c>
      <c r="D1061" s="18">
        <v>-0.010854120408282597</v>
      </c>
    </row>
    <row r="1062" ht="15.75" customHeight="1">
      <c r="A1062" s="3">
        <v>44631.0</v>
      </c>
      <c r="B1062" s="17">
        <v>420.07</v>
      </c>
      <c r="C1062" s="18">
        <f t="shared" si="1"/>
        <v>-0.01279657933</v>
      </c>
      <c r="D1062" s="18">
        <v>0.002500571158875026</v>
      </c>
    </row>
    <row r="1063" ht="15.75" customHeight="1">
      <c r="A1063" s="3">
        <v>44634.0</v>
      </c>
      <c r="B1063" s="17">
        <v>417.0</v>
      </c>
      <c r="C1063" s="18">
        <f t="shared" si="1"/>
        <v>-0.007335142258</v>
      </c>
      <c r="D1063" s="18">
        <v>0.0042511139191648405</v>
      </c>
    </row>
    <row r="1064" ht="15.75" customHeight="1">
      <c r="A1064" s="3">
        <v>44635.0</v>
      </c>
      <c r="B1064" s="17">
        <v>426.17</v>
      </c>
      <c r="C1064" s="18">
        <f t="shared" si="1"/>
        <v>0.0217521059</v>
      </c>
      <c r="D1064" s="18">
        <v>-0.001550766127674569</v>
      </c>
    </row>
    <row r="1065" ht="15.75" customHeight="1">
      <c r="A1065" s="3">
        <v>44636.0</v>
      </c>
      <c r="B1065" s="17">
        <v>435.62</v>
      </c>
      <c r="C1065" s="18">
        <f t="shared" si="1"/>
        <v>0.02193197599</v>
      </c>
      <c r="D1065" s="18">
        <v>0.004219948848965965</v>
      </c>
    </row>
    <row r="1066" ht="15.75" customHeight="1">
      <c r="A1066" s="3">
        <v>44637.0</v>
      </c>
      <c r="B1066" s="17">
        <v>441.07</v>
      </c>
      <c r="C1066" s="18">
        <f t="shared" si="1"/>
        <v>0.01243328932</v>
      </c>
      <c r="D1066" s="18">
        <v>0.003971341224846453</v>
      </c>
    </row>
    <row r="1067" ht="15.75" customHeight="1">
      <c r="A1067" s="3">
        <v>44638.0</v>
      </c>
      <c r="B1067" s="17">
        <v>444.52</v>
      </c>
      <c r="C1067" s="18">
        <f t="shared" si="1"/>
        <v>0.007791455308</v>
      </c>
      <c r="D1067" s="18">
        <v>0.006761915342792418</v>
      </c>
    </row>
    <row r="1068" ht="15.75" customHeight="1">
      <c r="A1068" s="3">
        <v>44641.0</v>
      </c>
      <c r="B1068" s="17">
        <v>444.39</v>
      </c>
      <c r="C1068" s="18">
        <f t="shared" si="1"/>
        <v>-0.0002924930554</v>
      </c>
      <c r="D1068" s="18">
        <v>0.0032154517521677246</v>
      </c>
    </row>
    <row r="1069" ht="15.75" customHeight="1">
      <c r="A1069" s="3">
        <v>44642.0</v>
      </c>
      <c r="B1069" s="17">
        <v>449.59</v>
      </c>
      <c r="C1069" s="18">
        <f t="shared" si="1"/>
        <v>0.01163350108</v>
      </c>
      <c r="D1069" s="18">
        <v>-0.006341458161825969</v>
      </c>
    </row>
    <row r="1070" ht="15.75" customHeight="1">
      <c r="A1070" s="3">
        <v>44643.0</v>
      </c>
      <c r="B1070" s="17">
        <v>443.8</v>
      </c>
      <c r="C1070" s="18">
        <f t="shared" si="1"/>
        <v>-0.01296204584</v>
      </c>
      <c r="D1070" s="18">
        <v>0.0043914343356515366</v>
      </c>
    </row>
    <row r="1071" ht="15.75" customHeight="1">
      <c r="A1071" s="3">
        <v>44644.0</v>
      </c>
      <c r="B1071" s="17">
        <v>450.49</v>
      </c>
      <c r="C1071" s="18">
        <f t="shared" si="1"/>
        <v>0.01496186875</v>
      </c>
      <c r="D1071" s="18">
        <v>0.0015253444034687132</v>
      </c>
    </row>
    <row r="1072" ht="15.75" customHeight="1">
      <c r="A1072" s="3">
        <v>44645.0</v>
      </c>
      <c r="B1072" s="17">
        <v>452.69</v>
      </c>
      <c r="C1072" s="18">
        <f t="shared" si="1"/>
        <v>0.00487168527</v>
      </c>
      <c r="D1072" s="18">
        <v>-0.002117964282149243</v>
      </c>
    </row>
    <row r="1073" ht="15.75" customHeight="1">
      <c r="A1073" s="3">
        <v>44648.0</v>
      </c>
      <c r="B1073" s="17">
        <v>455.91</v>
      </c>
      <c r="C1073" s="18">
        <f t="shared" si="1"/>
        <v>0.0070878571</v>
      </c>
      <c r="D1073" s="18">
        <v>-1.4973977622517032E-4</v>
      </c>
    </row>
    <row r="1074" ht="15.75" customHeight="1">
      <c r="A1074" s="3">
        <v>44649.0</v>
      </c>
      <c r="B1074" s="17">
        <v>461.55</v>
      </c>
      <c r="C1074" s="18">
        <f t="shared" si="1"/>
        <v>0.01229496882</v>
      </c>
      <c r="D1074" s="18">
        <v>0.001566440054188503</v>
      </c>
    </row>
    <row r="1075" ht="15.75" customHeight="1">
      <c r="A1075" s="3">
        <v>44650.0</v>
      </c>
      <c r="B1075" s="17">
        <v>458.7</v>
      </c>
      <c r="C1075" s="18">
        <f t="shared" si="1"/>
        <v>-0.006193988833</v>
      </c>
      <c r="D1075" s="18">
        <v>0.007266233082538229</v>
      </c>
    </row>
    <row r="1076" ht="15.75" customHeight="1">
      <c r="A1076" s="3">
        <v>44651.0</v>
      </c>
      <c r="B1076" s="17">
        <v>451.64</v>
      </c>
      <c r="C1076" s="18">
        <f t="shared" si="1"/>
        <v>-0.01551099929</v>
      </c>
      <c r="D1076" s="18">
        <v>0.005469096480069285</v>
      </c>
    </row>
    <row r="1077" ht="15.75" customHeight="1">
      <c r="A1077" s="3">
        <v>44652.0</v>
      </c>
      <c r="B1077" s="17">
        <v>452.92</v>
      </c>
      <c r="C1077" s="18">
        <f t="shared" si="1"/>
        <v>0.002830107134</v>
      </c>
      <c r="D1077" s="18">
        <v>0.007901632617253797</v>
      </c>
    </row>
    <row r="1078" ht="15.75" customHeight="1">
      <c r="A1078" s="3">
        <v>44655.0</v>
      </c>
      <c r="B1078" s="17">
        <v>456.8</v>
      </c>
      <c r="C1078" s="18">
        <f t="shared" si="1"/>
        <v>0.008530148896</v>
      </c>
      <c r="D1078" s="18">
        <v>-0.010436531759352816</v>
      </c>
    </row>
    <row r="1079" ht="15.75" customHeight="1">
      <c r="A1079" s="3">
        <v>44656.0</v>
      </c>
      <c r="B1079" s="17">
        <v>451.03</v>
      </c>
      <c r="C1079" s="18">
        <f t="shared" si="1"/>
        <v>-0.0127118022</v>
      </c>
      <c r="D1079" s="18">
        <v>-0.002124600254264821</v>
      </c>
    </row>
    <row r="1080" ht="15.75" customHeight="1">
      <c r="A1080" s="3">
        <v>44657.0</v>
      </c>
      <c r="B1080" s="17">
        <v>446.52</v>
      </c>
      <c r="C1080" s="18">
        <f t="shared" si="1"/>
        <v>-0.01004966399</v>
      </c>
      <c r="D1080" s="18">
        <v>-3.907058509130921E-4</v>
      </c>
    </row>
    <row r="1081" ht="15.75" customHeight="1">
      <c r="A1081" s="3">
        <v>44658.0</v>
      </c>
      <c r="B1081" s="17">
        <v>448.77</v>
      </c>
      <c r="C1081" s="18">
        <f t="shared" si="1"/>
        <v>0.005026314908</v>
      </c>
      <c r="D1081" s="18">
        <v>0.0012933870987837856</v>
      </c>
    </row>
    <row r="1082" ht="15.75" customHeight="1">
      <c r="A1082" s="3">
        <v>44659.0</v>
      </c>
      <c r="B1082" s="17">
        <v>447.57</v>
      </c>
      <c r="C1082" s="18">
        <f t="shared" si="1"/>
        <v>-0.002677556992</v>
      </c>
      <c r="D1082" s="18">
        <v>-0.004310743886889751</v>
      </c>
    </row>
    <row r="1083" ht="15.75" customHeight="1">
      <c r="A1083" s="3">
        <v>44662.0</v>
      </c>
      <c r="B1083" s="17">
        <v>439.92</v>
      </c>
      <c r="C1083" s="18">
        <f t="shared" si="1"/>
        <v>-0.01724005786</v>
      </c>
      <c r="D1083" s="18">
        <v>3.790173941126746E-4</v>
      </c>
    </row>
    <row r="1084" ht="15.75" customHeight="1">
      <c r="A1084" s="3">
        <v>44663.0</v>
      </c>
      <c r="B1084" s="17">
        <v>438.29</v>
      </c>
      <c r="C1084" s="18">
        <f t="shared" si="1"/>
        <v>-0.003712100458</v>
      </c>
      <c r="D1084" s="18">
        <v>-0.006779879042757614</v>
      </c>
    </row>
    <row r="1085" ht="15.75" customHeight="1">
      <c r="A1085" s="3">
        <v>44664.0</v>
      </c>
      <c r="B1085" s="17">
        <v>443.31</v>
      </c>
      <c r="C1085" s="18">
        <f t="shared" si="1"/>
        <v>0.01138850784</v>
      </c>
      <c r="D1085" s="18">
        <v>-7.443387601161882E-4</v>
      </c>
    </row>
    <row r="1086" ht="15.75" customHeight="1">
      <c r="A1086" s="3">
        <v>44665.0</v>
      </c>
      <c r="B1086" s="17">
        <v>437.79</v>
      </c>
      <c r="C1086" s="18">
        <f t="shared" si="1"/>
        <v>-0.01252995624</v>
      </c>
      <c r="D1086" s="18">
        <v>-0.018088640136615926</v>
      </c>
    </row>
    <row r="1087" ht="15.75" customHeight="1">
      <c r="A1087" s="3">
        <v>44669.0</v>
      </c>
      <c r="B1087" s="17">
        <v>437.97</v>
      </c>
      <c r="C1087" s="18">
        <f t="shared" si="1"/>
        <v>0.0004110715322</v>
      </c>
      <c r="D1087" s="18">
        <v>-0.0032897928754353745</v>
      </c>
    </row>
    <row r="1088" ht="15.75" customHeight="1">
      <c r="A1088" s="3">
        <v>44670.0</v>
      </c>
      <c r="B1088" s="17">
        <v>445.04</v>
      </c>
      <c r="C1088" s="18">
        <f t="shared" si="1"/>
        <v>0.01601375089</v>
      </c>
      <c r="D1088" s="18">
        <v>-0.01926128408888713</v>
      </c>
    </row>
    <row r="1089" ht="15.75" customHeight="1">
      <c r="A1089" s="3">
        <v>44671.0</v>
      </c>
      <c r="B1089" s="17">
        <v>444.71</v>
      </c>
      <c r="C1089" s="18">
        <f t="shared" si="1"/>
        <v>-0.0007417814333</v>
      </c>
      <c r="D1089" s="18">
        <v>-0.009499893020570659</v>
      </c>
    </row>
    <row r="1090" ht="15.75" customHeight="1">
      <c r="A1090" s="3">
        <v>44672.0</v>
      </c>
      <c r="B1090" s="17">
        <v>438.06</v>
      </c>
      <c r="C1090" s="18">
        <f t="shared" si="1"/>
        <v>-0.01506649704</v>
      </c>
      <c r="D1090" s="18">
        <v>-0.004661484588663272</v>
      </c>
    </row>
    <row r="1091" ht="15.75" customHeight="1">
      <c r="A1091" s="3">
        <v>44673.0</v>
      </c>
      <c r="B1091" s="17">
        <v>426.04</v>
      </c>
      <c r="C1091" s="18">
        <f t="shared" si="1"/>
        <v>-0.02782264872</v>
      </c>
      <c r="D1091" s="18">
        <v>0.003223093158073723</v>
      </c>
    </row>
    <row r="1092" ht="15.75" customHeight="1">
      <c r="A1092" s="3">
        <v>44676.0</v>
      </c>
      <c r="B1092" s="17">
        <v>428.51</v>
      </c>
      <c r="C1092" s="18">
        <f t="shared" si="1"/>
        <v>0.005780836413</v>
      </c>
      <c r="D1092" s="18">
        <v>0.006086692295863513</v>
      </c>
    </row>
    <row r="1093" ht="15.75" customHeight="1">
      <c r="A1093" s="3">
        <v>44677.0</v>
      </c>
      <c r="B1093" s="17">
        <v>416.1</v>
      </c>
      <c r="C1093" s="18">
        <f t="shared" si="1"/>
        <v>-0.029388459</v>
      </c>
      <c r="D1093" s="18">
        <v>-0.0015217709271743277</v>
      </c>
    </row>
    <row r="1094" ht="15.75" customHeight="1">
      <c r="A1094" s="3">
        <v>44678.0</v>
      </c>
      <c r="B1094" s="17">
        <v>417.27</v>
      </c>
      <c r="C1094" s="18">
        <f t="shared" si="1"/>
        <v>0.002807878298</v>
      </c>
      <c r="D1094" s="18">
        <v>-0.003021888352809335</v>
      </c>
    </row>
    <row r="1095" ht="15.75" customHeight="1">
      <c r="A1095" s="3">
        <v>44679.0</v>
      </c>
      <c r="B1095" s="17">
        <v>427.81</v>
      </c>
      <c r="C1095" s="18">
        <f t="shared" si="1"/>
        <v>0.0249456775</v>
      </c>
      <c r="D1095" s="18">
        <v>-0.006678579283368838</v>
      </c>
    </row>
    <row r="1096" ht="15.75" customHeight="1">
      <c r="A1096" s="3">
        <v>44680.0</v>
      </c>
      <c r="B1096" s="17">
        <v>412.0</v>
      </c>
      <c r="C1096" s="18">
        <f t="shared" si="1"/>
        <v>-0.03765582243</v>
      </c>
      <c r="D1096" s="18">
        <v>0.0028259217094795375</v>
      </c>
    </row>
    <row r="1097" ht="15.75" customHeight="1">
      <c r="A1097" s="3">
        <v>44683.0</v>
      </c>
      <c r="B1097" s="17">
        <v>414.48</v>
      </c>
      <c r="C1097" s="18">
        <f t="shared" si="1"/>
        <v>0.006001373157</v>
      </c>
      <c r="D1097" s="18">
        <v>0.006716900284786422</v>
      </c>
    </row>
    <row r="1098" ht="15.75" customHeight="1">
      <c r="A1098" s="3">
        <v>44684.0</v>
      </c>
      <c r="B1098" s="17">
        <v>416.38</v>
      </c>
      <c r="C1098" s="18">
        <f t="shared" si="1"/>
        <v>0.004573582341</v>
      </c>
      <c r="D1098" s="18">
        <v>-0.006664543974937871</v>
      </c>
    </row>
    <row r="1099" ht="15.75" customHeight="1">
      <c r="A1099" s="3">
        <v>44685.0</v>
      </c>
      <c r="B1099" s="17">
        <v>429.06</v>
      </c>
      <c r="C1099" s="18">
        <f t="shared" si="1"/>
        <v>0.02999846444</v>
      </c>
      <c r="D1099" s="18">
        <v>-2.2353845635626635E-5</v>
      </c>
    </row>
    <row r="1100" ht="15.75" customHeight="1">
      <c r="A1100" s="3">
        <v>44686.0</v>
      </c>
      <c r="B1100" s="17">
        <v>413.81</v>
      </c>
      <c r="C1100" s="18">
        <f t="shared" si="1"/>
        <v>-0.03618983801</v>
      </c>
      <c r="D1100" s="18">
        <v>-0.0013639531762367194</v>
      </c>
    </row>
    <row r="1101" ht="15.75" customHeight="1">
      <c r="A1101" s="3">
        <v>44687.0</v>
      </c>
      <c r="B1101" s="17">
        <v>411.34</v>
      </c>
      <c r="C1101" s="18">
        <f t="shared" si="1"/>
        <v>-0.005986808162</v>
      </c>
      <c r="D1101" s="18">
        <v>-1.1193371844120163E-4</v>
      </c>
    </row>
    <row r="1102" ht="15.75" customHeight="1">
      <c r="A1102" s="3">
        <v>44690.0</v>
      </c>
      <c r="B1102" s="17">
        <v>398.17</v>
      </c>
      <c r="C1102" s="18">
        <f t="shared" si="1"/>
        <v>-0.03254107335</v>
      </c>
      <c r="D1102" s="18">
        <v>-0.0032633736767076886</v>
      </c>
    </row>
    <row r="1103" ht="15.75" customHeight="1">
      <c r="A1103" s="3">
        <v>44691.0</v>
      </c>
      <c r="B1103" s="17">
        <v>399.09</v>
      </c>
      <c r="C1103" s="18">
        <f t="shared" si="1"/>
        <v>0.002307905598</v>
      </c>
      <c r="D1103" s="18">
        <v>0.013546579020978947</v>
      </c>
    </row>
    <row r="1104" ht="15.75" customHeight="1">
      <c r="A1104" s="3">
        <v>44692.0</v>
      </c>
      <c r="B1104" s="17">
        <v>392.75</v>
      </c>
      <c r="C1104" s="18">
        <f t="shared" si="1"/>
        <v>-0.01601367823</v>
      </c>
      <c r="D1104" s="18">
        <v>-0.006847550019116069</v>
      </c>
    </row>
    <row r="1105" ht="15.75" customHeight="1">
      <c r="A1105" s="3">
        <v>44693.0</v>
      </c>
      <c r="B1105" s="17">
        <v>392.34</v>
      </c>
      <c r="C1105" s="18">
        <f t="shared" si="1"/>
        <v>-0.001044466334</v>
      </c>
      <c r="D1105" s="18">
        <v>0.0012911264186628428</v>
      </c>
    </row>
    <row r="1106" ht="15.75" customHeight="1">
      <c r="A1106" s="3">
        <v>44694.0</v>
      </c>
      <c r="B1106" s="17">
        <v>401.72</v>
      </c>
      <c r="C1106" s="18">
        <f t="shared" si="1"/>
        <v>0.02362651772</v>
      </c>
      <c r="D1106" s="18">
        <v>8.107880560467691E-4</v>
      </c>
    </row>
    <row r="1107" ht="15.75" customHeight="1">
      <c r="A1107" s="3">
        <v>44697.0</v>
      </c>
      <c r="B1107" s="17">
        <v>400.09</v>
      </c>
      <c r="C1107" s="18">
        <f t="shared" si="1"/>
        <v>-0.004065806726</v>
      </c>
      <c r="D1107" s="18">
        <v>-0.0017230346655941618</v>
      </c>
    </row>
    <row r="1108" ht="15.75" customHeight="1">
      <c r="A1108" s="3">
        <v>44698.0</v>
      </c>
      <c r="B1108" s="17">
        <v>408.32</v>
      </c>
      <c r="C1108" s="18">
        <f t="shared" si="1"/>
        <v>0.02036165892</v>
      </c>
      <c r="D1108" s="18">
        <v>4.669304618233045E-4</v>
      </c>
    </row>
    <row r="1109" ht="15.75" customHeight="1">
      <c r="A1109" s="3">
        <v>44699.0</v>
      </c>
      <c r="B1109" s="17">
        <v>391.86</v>
      </c>
      <c r="C1109" s="18">
        <f t="shared" si="1"/>
        <v>-0.04114654757</v>
      </c>
      <c r="D1109" s="18">
        <v>0.007403084559311786</v>
      </c>
    </row>
    <row r="1110" ht="15.75" customHeight="1">
      <c r="A1110" s="3">
        <v>44700.0</v>
      </c>
      <c r="B1110" s="17">
        <v>389.46</v>
      </c>
      <c r="C1110" s="18">
        <f t="shared" si="1"/>
        <v>-0.006143468869</v>
      </c>
      <c r="D1110" s="18">
        <v>0.003605141218310823</v>
      </c>
    </row>
    <row r="1111" ht="15.75" customHeight="1">
      <c r="A1111" s="3">
        <v>44701.0</v>
      </c>
      <c r="B1111" s="17">
        <v>389.63</v>
      </c>
      <c r="C1111" s="18">
        <f t="shared" si="1"/>
        <v>0.0004364065838</v>
      </c>
      <c r="D1111" s="18">
        <v>0.004676272147356057</v>
      </c>
    </row>
    <row r="1112" ht="15.75" customHeight="1">
      <c r="A1112" s="3">
        <v>44704.0</v>
      </c>
      <c r="B1112" s="17">
        <v>396.92</v>
      </c>
      <c r="C1112" s="18">
        <f t="shared" si="1"/>
        <v>0.01853717819</v>
      </c>
      <c r="D1112" s="18">
        <v>0.0010914378380349234</v>
      </c>
    </row>
    <row r="1113" ht="15.75" customHeight="1">
      <c r="A1113" s="3">
        <v>44705.0</v>
      </c>
      <c r="B1113" s="17">
        <v>393.89</v>
      </c>
      <c r="C1113" s="18">
        <f t="shared" si="1"/>
        <v>-0.007663066546</v>
      </c>
      <c r="D1113" s="18">
        <v>0.004785997135432599</v>
      </c>
    </row>
    <row r="1114" ht="15.75" customHeight="1">
      <c r="A1114" s="3">
        <v>44706.0</v>
      </c>
      <c r="B1114" s="17">
        <v>397.37</v>
      </c>
      <c r="C1114" s="18">
        <f t="shared" si="1"/>
        <v>0.008796154078</v>
      </c>
      <c r="D1114" s="18">
        <v>0.00558946002998287</v>
      </c>
    </row>
    <row r="1115" ht="15.75" customHeight="1">
      <c r="A1115" s="3">
        <v>44707.0</v>
      </c>
      <c r="B1115" s="17">
        <v>405.31</v>
      </c>
      <c r="C1115" s="18">
        <f t="shared" si="1"/>
        <v>0.01978436983</v>
      </c>
      <c r="D1115" s="18">
        <v>0.007638795162414757</v>
      </c>
    </row>
    <row r="1116" ht="15.75" customHeight="1">
      <c r="A1116" s="3">
        <v>44708.0</v>
      </c>
      <c r="B1116" s="17">
        <v>415.26</v>
      </c>
      <c r="C1116" s="18">
        <f t="shared" si="1"/>
        <v>0.02425262367</v>
      </c>
      <c r="D1116" s="18">
        <v>-0.0027247419173767043</v>
      </c>
    </row>
    <row r="1117" ht="15.75" customHeight="1">
      <c r="A1117" s="3">
        <v>44712.0</v>
      </c>
      <c r="B1117" s="17">
        <v>412.93</v>
      </c>
      <c r="C1117" s="18">
        <f t="shared" si="1"/>
        <v>-0.005626743012</v>
      </c>
      <c r="D1117" s="18">
        <v>0.0027689501918275747</v>
      </c>
    </row>
    <row r="1118" ht="15.75" customHeight="1">
      <c r="A1118" s="3">
        <v>44713.0</v>
      </c>
      <c r="B1118" s="17">
        <v>409.59</v>
      </c>
      <c r="C1118" s="18">
        <f t="shared" si="1"/>
        <v>-0.008121427706</v>
      </c>
      <c r="D1118" s="18">
        <v>0.004297837080578022</v>
      </c>
    </row>
    <row r="1119" ht="15.75" customHeight="1">
      <c r="A1119" s="3">
        <v>44714.0</v>
      </c>
      <c r="B1119" s="17">
        <v>417.39</v>
      </c>
      <c r="C1119" s="18">
        <f t="shared" si="1"/>
        <v>0.01886437716</v>
      </c>
      <c r="D1119" s="18">
        <v>-0.004924288062146426</v>
      </c>
    </row>
    <row r="1120" ht="15.75" customHeight="1">
      <c r="A1120" s="3">
        <v>44715.0</v>
      </c>
      <c r="B1120" s="17">
        <v>410.54</v>
      </c>
      <c r="C1120" s="18">
        <f t="shared" si="1"/>
        <v>-0.01654767023</v>
      </c>
      <c r="D1120" s="18">
        <v>-0.0020908061752704867</v>
      </c>
    </row>
    <row r="1121" ht="15.75" customHeight="1">
      <c r="A1121" s="3">
        <v>44718.0</v>
      </c>
      <c r="B1121" s="17">
        <v>411.79</v>
      </c>
      <c r="C1121" s="18">
        <f t="shared" si="1"/>
        <v>0.003040144377</v>
      </c>
      <c r="D1121" s="18">
        <v>1.1041938367044133E-4</v>
      </c>
    </row>
    <row r="1122" ht="15.75" customHeight="1">
      <c r="A1122" s="3">
        <v>44719.0</v>
      </c>
      <c r="B1122" s="17">
        <v>415.74</v>
      </c>
      <c r="C1122" s="18">
        <f t="shared" si="1"/>
        <v>0.009546554201</v>
      </c>
      <c r="D1122" s="18">
        <v>0.011865408778718136</v>
      </c>
    </row>
    <row r="1123" ht="15.75" customHeight="1">
      <c r="A1123" s="3">
        <v>44720.0</v>
      </c>
      <c r="B1123" s="17">
        <v>411.22</v>
      </c>
      <c r="C1123" s="18">
        <f t="shared" si="1"/>
        <v>-0.01093171378</v>
      </c>
      <c r="D1123" s="18">
        <v>0.012398349605740025</v>
      </c>
    </row>
    <row r="1124" ht="15.75" customHeight="1">
      <c r="A1124" s="3">
        <v>44721.0</v>
      </c>
      <c r="B1124" s="17">
        <v>401.44</v>
      </c>
      <c r="C1124" s="18">
        <f t="shared" si="1"/>
        <v>-0.02407026847</v>
      </c>
      <c r="D1124" s="18">
        <v>-0.0016741225907128965</v>
      </c>
    </row>
    <row r="1125" ht="15.75" customHeight="1">
      <c r="A1125" s="3">
        <v>44722.0</v>
      </c>
      <c r="B1125" s="17">
        <v>389.8</v>
      </c>
      <c r="C1125" s="18">
        <f t="shared" si="1"/>
        <v>-0.02942429554</v>
      </c>
      <c r="D1125" s="18">
        <v>-0.00727166112421645</v>
      </c>
    </row>
    <row r="1126" ht="15.75" customHeight="1">
      <c r="A1126" s="3">
        <v>44725.0</v>
      </c>
      <c r="B1126" s="17">
        <v>375.0</v>
      </c>
      <c r="C1126" s="18">
        <f t="shared" si="1"/>
        <v>-0.0387077611</v>
      </c>
      <c r="D1126" s="18">
        <v>-0.012205600004970415</v>
      </c>
    </row>
    <row r="1127" ht="15.75" customHeight="1">
      <c r="A1127" s="3">
        <v>44726.0</v>
      </c>
      <c r="B1127" s="17">
        <v>373.87</v>
      </c>
      <c r="C1127" s="18">
        <f t="shared" si="1"/>
        <v>-0.003017882563</v>
      </c>
      <c r="D1127" s="18">
        <v>-0.003070942285232191</v>
      </c>
    </row>
    <row r="1128" ht="15.75" customHeight="1">
      <c r="A1128" s="3">
        <v>44727.0</v>
      </c>
      <c r="B1128" s="17">
        <v>379.2</v>
      </c>
      <c r="C1128" s="18">
        <f t="shared" si="1"/>
        <v>0.01415562697</v>
      </c>
      <c r="D1128" s="18">
        <v>0.009161821682127157</v>
      </c>
    </row>
    <row r="1129" ht="15.75" customHeight="1">
      <c r="A1129" s="3">
        <v>44728.0</v>
      </c>
      <c r="B1129" s="17">
        <v>366.65</v>
      </c>
      <c r="C1129" s="18">
        <f t="shared" si="1"/>
        <v>-0.03365605584</v>
      </c>
      <c r="D1129" s="18">
        <v>0.013660785773716174</v>
      </c>
    </row>
    <row r="1130" ht="15.75" customHeight="1">
      <c r="A1130" s="3">
        <v>44729.0</v>
      </c>
      <c r="B1130" s="17">
        <v>365.86</v>
      </c>
      <c r="C1130" s="18">
        <f t="shared" si="1"/>
        <v>-0.002156967977</v>
      </c>
      <c r="D1130" s="18">
        <v>0.006588465303139991</v>
      </c>
    </row>
    <row r="1131" ht="15.75" customHeight="1">
      <c r="A1131" s="3">
        <v>44002.0</v>
      </c>
      <c r="B1131" s="17"/>
      <c r="C1131" s="18">
        <v>0.0</v>
      </c>
      <c r="D1131" s="18">
        <v>0.0</v>
      </c>
    </row>
    <row r="1132" ht="15.75" customHeight="1">
      <c r="A1132" s="3">
        <v>44733.0</v>
      </c>
      <c r="B1132" s="17">
        <v>375.07</v>
      </c>
      <c r="C1132" s="18">
        <f>LN(B1132/B1130)</f>
        <v>0.02486192865</v>
      </c>
      <c r="D1132" s="18">
        <v>0.0028357487631627517</v>
      </c>
    </row>
    <row r="1133" ht="15.75" customHeight="1">
      <c r="A1133" s="3">
        <v>44734.0</v>
      </c>
      <c r="B1133" s="17">
        <v>374.39</v>
      </c>
      <c r="C1133" s="18">
        <f t="shared" ref="C1133:C1381" si="2">LN(B1133/B1132)</f>
        <v>-0.001814640372</v>
      </c>
      <c r="D1133" s="18">
        <v>-0.009652100927522165</v>
      </c>
    </row>
    <row r="1134" ht="15.75" customHeight="1">
      <c r="A1134" s="3">
        <v>44735.0</v>
      </c>
      <c r="B1134" s="17">
        <v>378.06</v>
      </c>
      <c r="C1134" s="18">
        <f t="shared" si="2"/>
        <v>0.009754878337</v>
      </c>
      <c r="D1134" s="18">
        <v>0.0016135251946606433</v>
      </c>
    </row>
    <row r="1135" ht="15.75" customHeight="1">
      <c r="A1135" s="3">
        <v>44736.0</v>
      </c>
      <c r="B1135" s="17">
        <v>390.08</v>
      </c>
      <c r="C1135" s="18">
        <f t="shared" si="2"/>
        <v>0.03129893311</v>
      </c>
      <c r="D1135" s="18">
        <v>-0.003960554831107912</v>
      </c>
    </row>
    <row r="1136" ht="15.75" customHeight="1">
      <c r="A1136" s="3">
        <v>44739.0</v>
      </c>
      <c r="B1136" s="17">
        <v>388.59</v>
      </c>
      <c r="C1136" s="18">
        <f t="shared" si="2"/>
        <v>-0.003827043083</v>
      </c>
      <c r="D1136" s="18">
        <v>0.004169645940540827</v>
      </c>
    </row>
    <row r="1137" ht="15.75" customHeight="1">
      <c r="A1137" s="3">
        <v>44740.0</v>
      </c>
      <c r="B1137" s="17">
        <v>380.65</v>
      </c>
      <c r="C1137" s="18">
        <f t="shared" si="2"/>
        <v>-0.02064448546</v>
      </c>
      <c r="D1137" s="18">
        <v>2.7597203304453324E-4</v>
      </c>
    </row>
    <row r="1138" ht="15.75" customHeight="1">
      <c r="A1138" s="3">
        <v>44741.0</v>
      </c>
      <c r="B1138" s="17">
        <v>380.34</v>
      </c>
      <c r="C1138" s="18">
        <f t="shared" si="2"/>
        <v>-0.0008147282281</v>
      </c>
      <c r="D1138" s="18">
        <v>0.0021454856311532724</v>
      </c>
    </row>
    <row r="1139" ht="15.75" customHeight="1">
      <c r="A1139" s="3">
        <v>44742.0</v>
      </c>
      <c r="B1139" s="17">
        <v>377.25</v>
      </c>
      <c r="C1139" s="18">
        <f t="shared" si="2"/>
        <v>-0.008157491876</v>
      </c>
      <c r="D1139" s="18">
        <v>-0.0012866125507741473</v>
      </c>
    </row>
    <row r="1140" ht="15.75" customHeight="1">
      <c r="A1140" s="3">
        <v>44743.0</v>
      </c>
      <c r="B1140" s="17">
        <v>381.24</v>
      </c>
      <c r="C1140" s="18">
        <f t="shared" si="2"/>
        <v>0.01052100042</v>
      </c>
      <c r="D1140" s="18">
        <v>-0.001152160533972496</v>
      </c>
    </row>
    <row r="1141" ht="15.75" customHeight="1">
      <c r="A1141" s="3">
        <v>44747.0</v>
      </c>
      <c r="B1141" s="17">
        <v>381.96</v>
      </c>
      <c r="C1141" s="18">
        <f t="shared" si="2"/>
        <v>0.001886793013</v>
      </c>
      <c r="D1141" s="18">
        <v>3.938854603478887E-4</v>
      </c>
    </row>
    <row r="1142" ht="15.75" customHeight="1">
      <c r="A1142" s="3">
        <v>44748.0</v>
      </c>
      <c r="B1142" s="17">
        <v>383.25</v>
      </c>
      <c r="C1142" s="18">
        <f t="shared" si="2"/>
        <v>0.00337162667</v>
      </c>
      <c r="D1142" s="18">
        <v>-0.005256046150033859</v>
      </c>
    </row>
    <row r="1143" ht="15.75" customHeight="1">
      <c r="A1143" s="3">
        <v>44749.0</v>
      </c>
      <c r="B1143" s="17">
        <v>388.99</v>
      </c>
      <c r="C1143" s="18">
        <f t="shared" si="2"/>
        <v>0.0148661186</v>
      </c>
      <c r="D1143" s="18">
        <v>0.005725672616093041</v>
      </c>
    </row>
    <row r="1144" ht="15.75" customHeight="1">
      <c r="A1144" s="3">
        <v>44750.0</v>
      </c>
      <c r="B1144" s="17">
        <v>388.67</v>
      </c>
      <c r="C1144" s="18">
        <f t="shared" si="2"/>
        <v>-0.0008229818123</v>
      </c>
      <c r="D1144" s="18">
        <v>-0.003130644821488676</v>
      </c>
    </row>
    <row r="1145" ht="15.75" customHeight="1">
      <c r="A1145" s="3">
        <v>44753.0</v>
      </c>
      <c r="B1145" s="17">
        <v>384.23</v>
      </c>
      <c r="C1145" s="18">
        <f t="shared" si="2"/>
        <v>-0.01148932292</v>
      </c>
      <c r="D1145" s="18">
        <v>-0.0024385072604921655</v>
      </c>
    </row>
    <row r="1146" ht="15.75" customHeight="1">
      <c r="A1146" s="3">
        <v>44754.0</v>
      </c>
      <c r="B1146" s="17">
        <v>380.83</v>
      </c>
      <c r="C1146" s="18">
        <f t="shared" si="2"/>
        <v>-0.00888825029</v>
      </c>
      <c r="D1146" s="18">
        <v>-0.0012826442664043368</v>
      </c>
    </row>
    <row r="1147" ht="15.75" customHeight="1">
      <c r="A1147" s="3">
        <v>44755.0</v>
      </c>
      <c r="B1147" s="17">
        <v>378.83</v>
      </c>
      <c r="C1147" s="18">
        <f t="shared" si="2"/>
        <v>-0.005265525685</v>
      </c>
      <c r="D1147" s="18">
        <v>0.00605724883107228</v>
      </c>
    </row>
    <row r="1148" ht="15.75" customHeight="1">
      <c r="A1148" s="3">
        <v>44756.0</v>
      </c>
      <c r="B1148" s="17">
        <v>377.91</v>
      </c>
      <c r="C1148" s="18">
        <f t="shared" si="2"/>
        <v>-0.002431483609</v>
      </c>
      <c r="D1148" s="18">
        <v>-0.002805756864249866</v>
      </c>
    </row>
    <row r="1149" ht="15.75" customHeight="1">
      <c r="A1149" s="3">
        <v>44757.0</v>
      </c>
      <c r="B1149" s="17">
        <v>385.13</v>
      </c>
      <c r="C1149" s="18">
        <f t="shared" si="2"/>
        <v>0.0189248676</v>
      </c>
      <c r="D1149" s="18">
        <v>6.069790787841037E-4</v>
      </c>
    </row>
    <row r="1150" ht="15.75" customHeight="1">
      <c r="A1150" s="3">
        <v>44760.0</v>
      </c>
      <c r="B1150" s="17">
        <v>381.95</v>
      </c>
      <c r="C1150" s="18">
        <f t="shared" si="2"/>
        <v>-0.008291229643</v>
      </c>
      <c r="D1150" s="18">
        <v>-3.5826978706957543E-6</v>
      </c>
    </row>
    <row r="1151" ht="15.75" customHeight="1">
      <c r="A1151" s="3">
        <v>44761.0</v>
      </c>
      <c r="B1151" s="17">
        <v>392.27</v>
      </c>
      <c r="C1151" s="18">
        <f t="shared" si="2"/>
        <v>0.02666066822</v>
      </c>
      <c r="D1151" s="18">
        <v>-0.001184877214489912</v>
      </c>
    </row>
    <row r="1152" ht="15.75" customHeight="1">
      <c r="A1152" s="3">
        <v>44762.0</v>
      </c>
      <c r="B1152" s="17">
        <v>394.77</v>
      </c>
      <c r="C1152" s="18">
        <f t="shared" si="2"/>
        <v>0.006352938626</v>
      </c>
      <c r="D1152" s="18">
        <v>0.0023134697177820277</v>
      </c>
    </row>
    <row r="1153" ht="15.75" customHeight="1">
      <c r="A1153" s="3">
        <v>44763.0</v>
      </c>
      <c r="B1153" s="17">
        <v>398.79</v>
      </c>
      <c r="C1153" s="18">
        <f t="shared" si="2"/>
        <v>0.01013164572</v>
      </c>
      <c r="D1153" s="18">
        <v>6.900522367639429E-4</v>
      </c>
    </row>
    <row r="1154" ht="15.75" customHeight="1">
      <c r="A1154" s="3">
        <v>44764.0</v>
      </c>
      <c r="B1154" s="17">
        <v>395.09</v>
      </c>
      <c r="C1154" s="18">
        <f t="shared" si="2"/>
        <v>-0.009321375499</v>
      </c>
      <c r="D1154" s="18">
        <v>0.0021315449245613966</v>
      </c>
    </row>
    <row r="1155" ht="15.75" customHeight="1">
      <c r="A1155" s="3">
        <v>44767.0</v>
      </c>
      <c r="B1155" s="17">
        <v>395.57</v>
      </c>
      <c r="C1155" s="18">
        <f t="shared" si="2"/>
        <v>0.001214175648</v>
      </c>
      <c r="D1155" s="18">
        <v>0.002601321715824152</v>
      </c>
    </row>
    <row r="1156" ht="15.75" customHeight="1">
      <c r="A1156" s="3">
        <v>44768.0</v>
      </c>
      <c r="B1156" s="17">
        <v>390.89</v>
      </c>
      <c r="C1156" s="18">
        <f t="shared" si="2"/>
        <v>-0.01190157222</v>
      </c>
      <c r="D1156" s="18">
        <v>0.00405543146131443</v>
      </c>
    </row>
    <row r="1157" ht="15.75" customHeight="1">
      <c r="A1157" s="3">
        <v>44769.0</v>
      </c>
      <c r="B1157" s="17">
        <v>401.04</v>
      </c>
      <c r="C1157" s="18">
        <f t="shared" si="2"/>
        <v>0.02563498247</v>
      </c>
      <c r="D1157" s="18">
        <v>0.0014545331237169215</v>
      </c>
    </row>
    <row r="1158" ht="15.75" customHeight="1">
      <c r="A1158" s="3">
        <v>44770.0</v>
      </c>
      <c r="B1158" s="17">
        <v>406.07</v>
      </c>
      <c r="C1158" s="18">
        <f t="shared" si="2"/>
        <v>0.01246438558</v>
      </c>
      <c r="D1158" s="18">
        <v>-0.0028183563939191657</v>
      </c>
    </row>
    <row r="1159" ht="15.75" customHeight="1">
      <c r="A1159" s="3">
        <v>44771.0</v>
      </c>
      <c r="B1159" s="17">
        <v>411.99</v>
      </c>
      <c r="C1159" s="18">
        <f t="shared" si="2"/>
        <v>0.01447351868</v>
      </c>
      <c r="D1159" s="18">
        <v>-0.003589499818403595</v>
      </c>
    </row>
    <row r="1160" ht="15.75" customHeight="1">
      <c r="A1160" s="3">
        <v>44774.0</v>
      </c>
      <c r="B1160" s="17">
        <v>410.77</v>
      </c>
      <c r="C1160" s="18">
        <f t="shared" si="2"/>
        <v>-0.00296563006</v>
      </c>
      <c r="D1160" s="18">
        <v>0.0035755321699070986</v>
      </c>
    </row>
    <row r="1161" ht="15.75" customHeight="1">
      <c r="A1161" s="3">
        <v>44775.0</v>
      </c>
      <c r="B1161" s="17">
        <v>408.06</v>
      </c>
      <c r="C1161" s="18">
        <f t="shared" si="2"/>
        <v>-0.006619224735</v>
      </c>
      <c r="D1161" s="18">
        <v>-0.0036084744897680455</v>
      </c>
    </row>
    <row r="1162" ht="15.75" customHeight="1">
      <c r="A1162" s="3">
        <v>44776.0</v>
      </c>
      <c r="B1162" s="17">
        <v>414.45</v>
      </c>
      <c r="C1162" s="18">
        <f t="shared" si="2"/>
        <v>0.01553811762</v>
      </c>
      <c r="D1162" s="18">
        <v>-0.0025720082013249448</v>
      </c>
    </row>
    <row r="1163" ht="15.75" customHeight="1">
      <c r="A1163" s="3">
        <v>44777.0</v>
      </c>
      <c r="B1163" s="17">
        <v>414.17</v>
      </c>
      <c r="C1163" s="18">
        <f t="shared" si="2"/>
        <v>-0.0006758224775</v>
      </c>
      <c r="D1163" s="18">
        <v>0.0023380670229004715</v>
      </c>
    </row>
    <row r="1164" ht="15.75" customHeight="1">
      <c r="A1164" s="3">
        <v>44778.0</v>
      </c>
      <c r="B1164" s="17">
        <v>413.47</v>
      </c>
      <c r="C1164" s="18">
        <f t="shared" si="2"/>
        <v>-0.001691557119</v>
      </c>
      <c r="D1164" s="18">
        <v>0.002599948694541856</v>
      </c>
    </row>
    <row r="1165" ht="15.75" customHeight="1">
      <c r="A1165" s="3">
        <v>44781.0</v>
      </c>
      <c r="B1165" s="17">
        <v>412.99</v>
      </c>
      <c r="C1165" s="18">
        <f t="shared" si="2"/>
        <v>-0.001161580848</v>
      </c>
      <c r="D1165" s="18">
        <v>0.003944909977677527</v>
      </c>
    </row>
    <row r="1166" ht="15.75" customHeight="1">
      <c r="A1166" s="3">
        <v>44782.0</v>
      </c>
      <c r="B1166" s="17">
        <v>411.35</v>
      </c>
      <c r="C1166" s="18">
        <f t="shared" si="2"/>
        <v>-0.003978945978</v>
      </c>
      <c r="D1166" s="18">
        <v>0.0029601947546622014</v>
      </c>
    </row>
    <row r="1167" ht="15.75" customHeight="1">
      <c r="A1167" s="3">
        <v>44783.0</v>
      </c>
      <c r="B1167" s="17">
        <v>419.99</v>
      </c>
      <c r="C1167" s="18">
        <f t="shared" si="2"/>
        <v>0.02078646786</v>
      </c>
      <c r="D1167" s="18">
        <v>1.5067678074144446E-4</v>
      </c>
    </row>
    <row r="1168" ht="15.75" customHeight="1">
      <c r="A1168" s="3">
        <v>44784.0</v>
      </c>
      <c r="B1168" s="17">
        <v>419.99</v>
      </c>
      <c r="C1168" s="18">
        <f t="shared" si="2"/>
        <v>0</v>
      </c>
      <c r="D1168" s="18">
        <v>0.006176347774322066</v>
      </c>
    </row>
    <row r="1169" ht="15.75" customHeight="1">
      <c r="A1169" s="3">
        <v>44785.0</v>
      </c>
      <c r="B1169" s="17">
        <v>427.1</v>
      </c>
      <c r="C1169" s="18">
        <f t="shared" si="2"/>
        <v>0.01678727638</v>
      </c>
      <c r="D1169" s="18">
        <v>0.003617421735454457</v>
      </c>
    </row>
    <row r="1170" ht="15.75" customHeight="1">
      <c r="A1170" s="3">
        <v>44788.0</v>
      </c>
      <c r="B1170" s="17">
        <v>428.86</v>
      </c>
      <c r="C1170" s="18">
        <f t="shared" si="2"/>
        <v>0.004112347494</v>
      </c>
      <c r="D1170" s="18">
        <v>0.0012129326536172553</v>
      </c>
    </row>
    <row r="1171" ht="15.75" customHeight="1">
      <c r="A1171" s="3">
        <v>44789.0</v>
      </c>
      <c r="B1171" s="17">
        <v>429.7</v>
      </c>
      <c r="C1171" s="18">
        <f t="shared" si="2"/>
        <v>0.00195676544</v>
      </c>
      <c r="D1171" s="18">
        <v>-0.0018261725693488125</v>
      </c>
    </row>
    <row r="1172" ht="15.75" customHeight="1">
      <c r="A1172" s="3">
        <v>44790.0</v>
      </c>
      <c r="B1172" s="17">
        <v>426.65</v>
      </c>
      <c r="C1172" s="18">
        <f t="shared" si="2"/>
        <v>-0.007123285798</v>
      </c>
      <c r="D1172" s="18">
        <v>-0.0016176965230995928</v>
      </c>
    </row>
    <row r="1173" ht="15.75" customHeight="1">
      <c r="A1173" s="3">
        <v>44791.0</v>
      </c>
      <c r="B1173" s="17">
        <v>427.89</v>
      </c>
      <c r="C1173" s="18">
        <f t="shared" si="2"/>
        <v>0.002902148221</v>
      </c>
      <c r="D1173" s="18">
        <v>3.127672744811697E-4</v>
      </c>
    </row>
    <row r="1174" ht="15.75" customHeight="1">
      <c r="A1174" s="3">
        <v>44792.0</v>
      </c>
      <c r="B1174" s="17">
        <v>422.14</v>
      </c>
      <c r="C1174" s="18">
        <f t="shared" si="2"/>
        <v>-0.01352914063</v>
      </c>
      <c r="D1174" s="18">
        <v>0.00437050624427891</v>
      </c>
    </row>
    <row r="1175" ht="15.75" customHeight="1">
      <c r="A1175" s="3">
        <v>44795.0</v>
      </c>
      <c r="B1175" s="17">
        <v>413.35</v>
      </c>
      <c r="C1175" s="18">
        <f t="shared" si="2"/>
        <v>-0.02104232087</v>
      </c>
      <c r="D1175" s="18">
        <v>6.183759102795355E-5</v>
      </c>
    </row>
    <row r="1176" ht="15.75" customHeight="1">
      <c r="A1176" s="3">
        <v>44796.0</v>
      </c>
      <c r="B1176" s="17">
        <v>412.35</v>
      </c>
      <c r="C1176" s="18">
        <f t="shared" si="2"/>
        <v>-0.002422188419</v>
      </c>
      <c r="D1176" s="18">
        <v>8.087353426659619E-4</v>
      </c>
    </row>
    <row r="1177" ht="15.75" customHeight="1">
      <c r="A1177" s="3">
        <v>44797.0</v>
      </c>
      <c r="B1177" s="17">
        <v>413.67</v>
      </c>
      <c r="C1177" s="18">
        <f t="shared" si="2"/>
        <v>0.003196051242</v>
      </c>
      <c r="D1177" s="18">
        <v>-2.065271318112184E-4</v>
      </c>
    </row>
    <row r="1178" ht="15.75" customHeight="1">
      <c r="A1178" s="3">
        <v>44798.0</v>
      </c>
      <c r="B1178" s="17">
        <v>419.51</v>
      </c>
      <c r="C1178" s="18">
        <f t="shared" si="2"/>
        <v>0.014018809</v>
      </c>
      <c r="D1178" s="18">
        <v>-0.003117890252615179</v>
      </c>
    </row>
    <row r="1179" ht="15.75" customHeight="1">
      <c r="A1179" s="3">
        <v>44799.0</v>
      </c>
      <c r="B1179" s="17">
        <v>405.31</v>
      </c>
      <c r="C1179" s="18">
        <f t="shared" si="2"/>
        <v>-0.03443515711</v>
      </c>
      <c r="D1179" s="18">
        <v>8.010496669167239E-4</v>
      </c>
    </row>
    <row r="1180" ht="15.75" customHeight="1">
      <c r="A1180" s="3">
        <v>44802.0</v>
      </c>
      <c r="B1180" s="17">
        <v>402.63</v>
      </c>
      <c r="C1180" s="18">
        <f t="shared" si="2"/>
        <v>-0.006634180334</v>
      </c>
      <c r="D1180" s="18">
        <v>-5.629966411465034E-4</v>
      </c>
    </row>
    <row r="1181" ht="15.75" customHeight="1">
      <c r="A1181" s="3">
        <v>44803.0</v>
      </c>
      <c r="B1181" s="17">
        <v>398.21</v>
      </c>
      <c r="C1181" s="18">
        <f t="shared" si="2"/>
        <v>-0.01103852175</v>
      </c>
      <c r="D1181" s="18">
        <v>-0.006245241431793218</v>
      </c>
    </row>
    <row r="1182" ht="15.75" customHeight="1">
      <c r="A1182" s="3">
        <v>44804.0</v>
      </c>
      <c r="B1182" s="17">
        <v>395.18</v>
      </c>
      <c r="C1182" s="18">
        <f t="shared" si="2"/>
        <v>-0.007638147018</v>
      </c>
      <c r="D1182" s="18">
        <v>-5.7999406236638104E-5</v>
      </c>
    </row>
    <row r="1183" ht="15.75" customHeight="1">
      <c r="A1183" s="3">
        <v>44805.0</v>
      </c>
      <c r="B1183" s="17">
        <v>396.42</v>
      </c>
      <c r="C1183" s="18">
        <f t="shared" si="2"/>
        <v>0.003132897964</v>
      </c>
      <c r="D1183" s="18">
        <v>9.422087423492075E-4</v>
      </c>
    </row>
    <row r="1184" ht="15.75" customHeight="1">
      <c r="A1184" s="3">
        <v>44806.0</v>
      </c>
      <c r="B1184" s="17">
        <v>392.24</v>
      </c>
      <c r="C1184" s="18">
        <f t="shared" si="2"/>
        <v>-0.01060035793</v>
      </c>
      <c r="D1184" s="18">
        <v>-1.0795309788847742E-4</v>
      </c>
    </row>
    <row r="1185" ht="15.75" customHeight="1">
      <c r="A1185" s="3">
        <v>44810.0</v>
      </c>
      <c r="B1185" s="17">
        <v>390.76</v>
      </c>
      <c r="C1185" s="18">
        <f t="shared" si="2"/>
        <v>-0.003780336558</v>
      </c>
      <c r="D1185" s="18">
        <v>-0.003359715653223488</v>
      </c>
    </row>
    <row r="1186" ht="15.75" customHeight="1">
      <c r="A1186" s="3">
        <v>44811.0</v>
      </c>
      <c r="B1186" s="17">
        <v>397.78</v>
      </c>
      <c r="C1186" s="18">
        <f t="shared" si="2"/>
        <v>0.01780552785</v>
      </c>
      <c r="D1186" s="18">
        <v>5.344492116167418E-4</v>
      </c>
    </row>
    <row r="1187" ht="15.75" customHeight="1">
      <c r="A1187" s="3">
        <v>44812.0</v>
      </c>
      <c r="B1187" s="17">
        <v>400.38</v>
      </c>
      <c r="C1187" s="18">
        <f t="shared" si="2"/>
        <v>0.006515007508</v>
      </c>
      <c r="D1187" s="18">
        <v>0.004668416202645741</v>
      </c>
    </row>
    <row r="1188" ht="15.75" customHeight="1">
      <c r="A1188" s="3">
        <v>44813.0</v>
      </c>
      <c r="B1188" s="17">
        <v>406.6</v>
      </c>
      <c r="C1188" s="18">
        <f t="shared" si="2"/>
        <v>0.01541580505</v>
      </c>
      <c r="D1188" s="18">
        <v>0.0011824106579303745</v>
      </c>
    </row>
    <row r="1189" ht="15.75" customHeight="1">
      <c r="A1189" s="3">
        <v>44816.0</v>
      </c>
      <c r="B1189" s="17">
        <v>410.97</v>
      </c>
      <c r="C1189" s="18">
        <f t="shared" si="2"/>
        <v>0.01069031794</v>
      </c>
      <c r="D1189" s="18">
        <v>0.0030526033097791885</v>
      </c>
    </row>
    <row r="1190" ht="15.75" customHeight="1">
      <c r="A1190" s="3">
        <v>44817.0</v>
      </c>
      <c r="B1190" s="17">
        <v>393.1</v>
      </c>
      <c r="C1190" s="18">
        <f t="shared" si="2"/>
        <v>-0.0444561867</v>
      </c>
      <c r="D1190" s="18">
        <v>-0.0013197181353029777</v>
      </c>
    </row>
    <row r="1191" ht="15.75" customHeight="1">
      <c r="A1191" s="3">
        <v>44818.0</v>
      </c>
      <c r="B1191" s="17">
        <v>394.6</v>
      </c>
      <c r="C1191" s="18">
        <f t="shared" si="2"/>
        <v>0.003808561161</v>
      </c>
      <c r="D1191" s="18">
        <v>-0.011994655349961015</v>
      </c>
    </row>
    <row r="1192" ht="15.75" customHeight="1">
      <c r="A1192" s="3">
        <v>44819.0</v>
      </c>
      <c r="B1192" s="17">
        <v>390.12</v>
      </c>
      <c r="C1192" s="18">
        <f t="shared" si="2"/>
        <v>-0.01141820948</v>
      </c>
      <c r="D1192" s="18">
        <v>3.847159405718713E-4</v>
      </c>
    </row>
    <row r="1193" ht="15.75" customHeight="1">
      <c r="A1193" s="3">
        <v>44820.0</v>
      </c>
      <c r="B1193" s="17">
        <v>385.56</v>
      </c>
      <c r="C1193" s="18">
        <f t="shared" si="2"/>
        <v>-0.01175756119</v>
      </c>
      <c r="D1193" s="18">
        <v>0.009405941293129974</v>
      </c>
    </row>
    <row r="1194" ht="15.75" customHeight="1">
      <c r="A1194" s="3">
        <v>44823.0</v>
      </c>
      <c r="B1194" s="17">
        <v>388.55</v>
      </c>
      <c r="C1194" s="18">
        <f t="shared" si="2"/>
        <v>0.007725038739</v>
      </c>
      <c r="D1194" s="18">
        <v>-0.0030430669603969873</v>
      </c>
    </row>
    <row r="1195" ht="15.75" customHeight="1">
      <c r="A1195" s="3">
        <v>44824.0</v>
      </c>
      <c r="B1195" s="17">
        <v>384.09</v>
      </c>
      <c r="C1195" s="18">
        <f t="shared" si="2"/>
        <v>-0.01154496153</v>
      </c>
      <c r="D1195" s="18">
        <v>0.006799648037179932</v>
      </c>
    </row>
    <row r="1196" ht="15.75" customHeight="1">
      <c r="A1196" s="3">
        <v>44825.0</v>
      </c>
      <c r="B1196" s="17">
        <v>377.39</v>
      </c>
      <c r="C1196" s="18">
        <f t="shared" si="2"/>
        <v>-0.01759776463</v>
      </c>
      <c r="D1196" s="18">
        <v>-6.539975970224765E-4</v>
      </c>
    </row>
    <row r="1197" ht="15.75" customHeight="1">
      <c r="A1197" s="3">
        <v>44826.0</v>
      </c>
      <c r="B1197" s="17">
        <v>374.22</v>
      </c>
      <c r="C1197" s="18">
        <f t="shared" si="2"/>
        <v>-0.008435275732</v>
      </c>
      <c r="D1197" s="18">
        <v>-0.0047537283394005455</v>
      </c>
    </row>
    <row r="1198" ht="15.75" customHeight="1">
      <c r="A1198" s="3">
        <v>44827.0</v>
      </c>
      <c r="B1198" s="17">
        <v>367.95</v>
      </c>
      <c r="C1198" s="18">
        <f t="shared" si="2"/>
        <v>-0.01689680039</v>
      </c>
      <c r="D1198" s="18">
        <v>0.001093817105281557</v>
      </c>
    </row>
    <row r="1199" ht="15.75" customHeight="1">
      <c r="A1199" s="3">
        <v>44830.0</v>
      </c>
      <c r="B1199" s="17">
        <v>364.31</v>
      </c>
      <c r="C1199" s="18">
        <f t="shared" si="2"/>
        <v>-0.009941905831</v>
      </c>
      <c r="D1199" s="18">
        <v>0.0010108279409831555</v>
      </c>
    </row>
    <row r="1200" ht="15.75" customHeight="1">
      <c r="A1200" s="3">
        <v>44831.0</v>
      </c>
      <c r="B1200" s="17">
        <v>363.38</v>
      </c>
      <c r="C1200" s="18">
        <f t="shared" si="2"/>
        <v>-0.002556034867</v>
      </c>
      <c r="D1200" s="18">
        <v>0.009457292373242956</v>
      </c>
    </row>
    <row r="1201" ht="15.75" customHeight="1">
      <c r="A1201" s="3">
        <v>44832.0</v>
      </c>
      <c r="B1201" s="17">
        <v>370.53</v>
      </c>
      <c r="C1201" s="18">
        <f t="shared" si="2"/>
        <v>0.01948529444</v>
      </c>
      <c r="D1201" s="18">
        <v>-5.298248686594506E-4</v>
      </c>
    </row>
    <row r="1202" ht="15.75" customHeight="1">
      <c r="A1202" s="3">
        <v>44833.0</v>
      </c>
      <c r="B1202" s="17">
        <v>362.79</v>
      </c>
      <c r="C1202" s="18">
        <f t="shared" si="2"/>
        <v>-0.02111025865</v>
      </c>
      <c r="D1202" s="18">
        <v>0.004895124920407883</v>
      </c>
    </row>
    <row r="1203" ht="15.75" customHeight="1">
      <c r="A1203" s="3">
        <v>44834.0</v>
      </c>
      <c r="B1203" s="17">
        <v>357.18</v>
      </c>
      <c r="C1203" s="18">
        <f t="shared" si="2"/>
        <v>-0.01558429807</v>
      </c>
      <c r="D1203" s="18">
        <v>-0.002943595957096076</v>
      </c>
    </row>
    <row r="1204" ht="15.75" customHeight="1">
      <c r="A1204" s="3">
        <v>44837.0</v>
      </c>
      <c r="B1204" s="17">
        <v>366.61</v>
      </c>
      <c r="C1204" s="18">
        <f t="shared" si="2"/>
        <v>0.02605875633</v>
      </c>
      <c r="D1204" s="18">
        <v>0.007659320793549881</v>
      </c>
    </row>
    <row r="1205" ht="15.75" customHeight="1">
      <c r="A1205" s="3">
        <v>44838.0</v>
      </c>
      <c r="B1205" s="17">
        <v>377.97</v>
      </c>
      <c r="C1205" s="18">
        <f t="shared" si="2"/>
        <v>0.03051621467</v>
      </c>
      <c r="D1205" s="18">
        <v>-0.0024161824577458987</v>
      </c>
    </row>
    <row r="1206" ht="15.75" customHeight="1">
      <c r="A1206" s="3">
        <v>44839.0</v>
      </c>
      <c r="B1206" s="17">
        <v>377.09</v>
      </c>
      <c r="C1206" s="18">
        <f t="shared" si="2"/>
        <v>-0.002330941643</v>
      </c>
      <c r="D1206" s="18">
        <v>-0.0011517844815065455</v>
      </c>
    </row>
    <row r="1207" ht="15.75" customHeight="1">
      <c r="A1207" s="3">
        <v>44840.0</v>
      </c>
      <c r="B1207" s="17">
        <v>373.2</v>
      </c>
      <c r="C1207" s="18">
        <f t="shared" si="2"/>
        <v>-0.01036941677</v>
      </c>
      <c r="D1207" s="18">
        <v>-0.001406691416733252</v>
      </c>
    </row>
    <row r="1208" ht="15.75" customHeight="1">
      <c r="A1208" s="3">
        <v>44841.0</v>
      </c>
      <c r="B1208" s="17">
        <v>362.79</v>
      </c>
      <c r="C1208" s="18">
        <f t="shared" si="2"/>
        <v>-0.02829031451</v>
      </c>
      <c r="D1208" s="18">
        <v>-2.54966888901728E-4</v>
      </c>
    </row>
    <row r="1209" ht="15.75" customHeight="1">
      <c r="A1209" s="3">
        <v>44844.0</v>
      </c>
      <c r="B1209" s="17">
        <v>360.02</v>
      </c>
      <c r="C1209" s="18">
        <f t="shared" si="2"/>
        <v>-0.007664569003</v>
      </c>
      <c r="D1209" s="18">
        <v>-0.0034803510358562707</v>
      </c>
    </row>
    <row r="1210" ht="15.75" customHeight="1">
      <c r="A1210" s="3">
        <v>44845.0</v>
      </c>
      <c r="B1210" s="17">
        <v>357.74</v>
      </c>
      <c r="C1210" s="18">
        <f t="shared" si="2"/>
        <v>-0.006353119897</v>
      </c>
      <c r="D1210" s="18">
        <v>0.008051489317588196</v>
      </c>
    </row>
    <row r="1211" ht="15.75" customHeight="1">
      <c r="A1211" s="3">
        <v>44846.0</v>
      </c>
      <c r="B1211" s="17">
        <v>356.56</v>
      </c>
      <c r="C1211" s="18">
        <f t="shared" si="2"/>
        <v>-0.003303936927</v>
      </c>
      <c r="D1211" s="18">
        <v>0.0015501937244204237</v>
      </c>
    </row>
    <row r="1212" ht="15.75" customHeight="1">
      <c r="A1212" s="3">
        <v>44847.0</v>
      </c>
      <c r="B1212" s="17">
        <v>365.97</v>
      </c>
      <c r="C1212" s="18">
        <f t="shared" si="2"/>
        <v>0.02604883419</v>
      </c>
      <c r="D1212" s="18">
        <v>-5.200046233271207E-4</v>
      </c>
    </row>
    <row r="1213" ht="15.75" customHeight="1">
      <c r="A1213" s="3">
        <v>44848.0</v>
      </c>
      <c r="B1213" s="17">
        <v>357.63</v>
      </c>
      <c r="C1213" s="18">
        <f t="shared" si="2"/>
        <v>-0.02305243043</v>
      </c>
      <c r="D1213" s="18">
        <v>0.005378666739339765</v>
      </c>
    </row>
    <row r="1214" ht="15.75" customHeight="1">
      <c r="A1214" s="3">
        <v>44851.0</v>
      </c>
      <c r="B1214" s="17">
        <v>366.82</v>
      </c>
      <c r="C1214" s="18">
        <f t="shared" si="2"/>
        <v>0.02537233212</v>
      </c>
      <c r="D1214" s="18">
        <v>0.002166834268159335</v>
      </c>
    </row>
    <row r="1215" ht="15.75" customHeight="1">
      <c r="A1215" s="3">
        <v>44852.0</v>
      </c>
      <c r="B1215" s="17">
        <v>371.13</v>
      </c>
      <c r="C1215" s="18">
        <f t="shared" si="2"/>
        <v>0.01168114102</v>
      </c>
      <c r="D1215" s="18">
        <v>0.005155141608471613</v>
      </c>
    </row>
    <row r="1216" ht="15.75" customHeight="1">
      <c r="A1216" s="3">
        <v>44853.0</v>
      </c>
      <c r="B1216" s="17">
        <v>368.5</v>
      </c>
      <c r="C1216" s="18">
        <f t="shared" si="2"/>
        <v>-0.007111693913</v>
      </c>
      <c r="D1216" s="18">
        <v>1.8467812860110087E-4</v>
      </c>
    </row>
    <row r="1217" ht="15.75" customHeight="1">
      <c r="A1217" s="3">
        <v>44854.0</v>
      </c>
      <c r="B1217" s="17">
        <v>365.41</v>
      </c>
      <c r="C1217" s="18">
        <f t="shared" si="2"/>
        <v>-0.008420700791</v>
      </c>
      <c r="D1217" s="18">
        <v>0.0015482467324835084</v>
      </c>
    </row>
    <row r="1218" ht="15.75" customHeight="1">
      <c r="A1218" s="3">
        <v>44855.0</v>
      </c>
      <c r="B1218" s="17">
        <v>374.29</v>
      </c>
      <c r="C1218" s="18">
        <f t="shared" si="2"/>
        <v>0.02401088718</v>
      </c>
      <c r="D1218" s="18">
        <v>-3.8727494910697883E-4</v>
      </c>
    </row>
    <row r="1219" ht="15.75" customHeight="1">
      <c r="A1219" s="3">
        <v>44858.0</v>
      </c>
      <c r="B1219" s="17">
        <v>378.87</v>
      </c>
      <c r="C1219" s="18">
        <f t="shared" si="2"/>
        <v>0.01216224031</v>
      </c>
      <c r="D1219" s="18">
        <v>0.003690777021031157</v>
      </c>
    </row>
    <row r="1220" ht="15.75" customHeight="1">
      <c r="A1220" s="3">
        <v>44859.0</v>
      </c>
      <c r="B1220" s="17">
        <v>384.92</v>
      </c>
      <c r="C1220" s="18">
        <f t="shared" si="2"/>
        <v>0.01584238216</v>
      </c>
      <c r="D1220" s="18">
        <v>0.01028068363976025</v>
      </c>
    </row>
    <row r="1221" ht="15.75" customHeight="1">
      <c r="A1221" s="3">
        <v>44860.0</v>
      </c>
      <c r="B1221" s="17">
        <v>382.02</v>
      </c>
      <c r="C1221" s="18">
        <f t="shared" si="2"/>
        <v>-0.007562557231</v>
      </c>
      <c r="D1221" s="18">
        <v>-0.0028636581655470386</v>
      </c>
    </row>
    <row r="1222" ht="15.75" customHeight="1">
      <c r="A1222" s="3">
        <v>44861.0</v>
      </c>
      <c r="B1222" s="17">
        <v>379.98</v>
      </c>
      <c r="C1222" s="18">
        <f t="shared" si="2"/>
        <v>-0.005354343501</v>
      </c>
      <c r="D1222" s="18">
        <v>0.011917528322623154</v>
      </c>
    </row>
    <row r="1223" ht="15.75" customHeight="1">
      <c r="A1223" s="3">
        <v>44862.0</v>
      </c>
      <c r="B1223" s="17">
        <v>389.02</v>
      </c>
      <c r="C1223" s="18">
        <f t="shared" si="2"/>
        <v>0.02351213642</v>
      </c>
      <c r="D1223" s="18">
        <v>-0.002805250170198886</v>
      </c>
    </row>
    <row r="1224" ht="15.75" customHeight="1">
      <c r="A1224" s="3">
        <v>44865.0</v>
      </c>
      <c r="B1224" s="17">
        <v>386.21</v>
      </c>
      <c r="C1224" s="18">
        <f t="shared" si="2"/>
        <v>-0.0072494932</v>
      </c>
      <c r="D1224" s="18">
        <v>7.672168209445276E-4</v>
      </c>
    </row>
    <row r="1225" ht="15.75" customHeight="1">
      <c r="A1225" s="3">
        <v>44866.0</v>
      </c>
      <c r="B1225" s="17">
        <v>384.52</v>
      </c>
      <c r="C1225" s="18">
        <f t="shared" si="2"/>
        <v>-0.004385459781</v>
      </c>
      <c r="D1225" s="18">
        <v>0.010310802555106753</v>
      </c>
    </row>
    <row r="1226" ht="15.75" customHeight="1">
      <c r="A1226" s="3">
        <v>44867.0</v>
      </c>
      <c r="B1226" s="17">
        <v>374.87</v>
      </c>
      <c r="C1226" s="18">
        <f t="shared" si="2"/>
        <v>-0.025416504</v>
      </c>
      <c r="D1226" s="18">
        <v>4.923312711384611E-4</v>
      </c>
    </row>
    <row r="1227" ht="15.75" customHeight="1">
      <c r="A1227" s="3">
        <v>44868.0</v>
      </c>
      <c r="B1227" s="17">
        <v>371.01</v>
      </c>
      <c r="C1227" s="18">
        <f t="shared" si="2"/>
        <v>-0.01035028278</v>
      </c>
      <c r="D1227" s="18">
        <v>-0.00718072912366551</v>
      </c>
    </row>
    <row r="1228" ht="15.75" customHeight="1">
      <c r="A1228" s="3">
        <v>44869.0</v>
      </c>
      <c r="B1228" s="17">
        <v>376.35</v>
      </c>
      <c r="C1228" s="18">
        <f t="shared" si="2"/>
        <v>0.01429054506</v>
      </c>
      <c r="D1228" s="18">
        <v>-0.007123964894623475</v>
      </c>
    </row>
    <row r="1229" ht="15.75" customHeight="1">
      <c r="A1229" s="3">
        <v>44872.0</v>
      </c>
      <c r="B1229" s="17">
        <v>379.95</v>
      </c>
      <c r="C1229" s="18">
        <f t="shared" si="2"/>
        <v>0.009520103635</v>
      </c>
      <c r="D1229" s="18">
        <v>-0.003011116468893292</v>
      </c>
    </row>
    <row r="1230" ht="15.75" customHeight="1">
      <c r="A1230" s="3">
        <v>44873.0</v>
      </c>
      <c r="B1230" s="17">
        <v>382.0</v>
      </c>
      <c r="C1230" s="18">
        <f t="shared" si="2"/>
        <v>0.005380943491</v>
      </c>
      <c r="D1230" s="18">
        <v>-5.363319976464855E-4</v>
      </c>
    </row>
    <row r="1231" ht="15.75" customHeight="1">
      <c r="A1231" s="3">
        <v>44874.0</v>
      </c>
      <c r="B1231" s="17">
        <v>374.13</v>
      </c>
      <c r="C1231" s="18">
        <f t="shared" si="2"/>
        <v>-0.02081727801</v>
      </c>
      <c r="D1231" s="18">
        <v>-0.0012514846225722069</v>
      </c>
    </row>
    <row r="1232" ht="15.75" customHeight="1">
      <c r="A1232" s="3">
        <v>44875.0</v>
      </c>
      <c r="B1232" s="17">
        <v>394.69</v>
      </c>
      <c r="C1232" s="18">
        <f t="shared" si="2"/>
        <v>0.05349731605</v>
      </c>
      <c r="D1232" s="18">
        <v>-0.004509400429003953</v>
      </c>
    </row>
    <row r="1233" ht="15.75" customHeight="1">
      <c r="A1233" s="3">
        <v>44876.0</v>
      </c>
      <c r="B1233" s="17">
        <v>398.51</v>
      </c>
      <c r="C1233" s="18">
        <f t="shared" si="2"/>
        <v>0.009631945368</v>
      </c>
      <c r="D1233" s="18">
        <v>0.00856713177986549</v>
      </c>
    </row>
    <row r="1234" ht="15.75" customHeight="1">
      <c r="A1234" s="3">
        <v>44879.0</v>
      </c>
      <c r="B1234" s="17">
        <v>395.12</v>
      </c>
      <c r="C1234" s="18">
        <f t="shared" si="2"/>
        <v>-0.008543075786</v>
      </c>
      <c r="D1234" s="18">
        <v>0.004202125811370544</v>
      </c>
    </row>
    <row r="1235" ht="15.75" customHeight="1">
      <c r="A1235" s="3">
        <v>44880.0</v>
      </c>
      <c r="B1235" s="17">
        <v>398.49</v>
      </c>
      <c r="C1235" s="18">
        <f t="shared" si="2"/>
        <v>0.00849288758</v>
      </c>
      <c r="D1235" s="18">
        <v>0.008310145194379729</v>
      </c>
    </row>
    <row r="1236" ht="15.75" customHeight="1">
      <c r="A1236" s="3">
        <v>44881.0</v>
      </c>
      <c r="B1236" s="17">
        <v>395.45</v>
      </c>
      <c r="C1236" s="18">
        <f t="shared" si="2"/>
        <v>-0.007658046847</v>
      </c>
      <c r="D1236" s="18">
        <v>-0.0020230679587212785</v>
      </c>
    </row>
    <row r="1237" ht="15.75" customHeight="1">
      <c r="A1237" s="3">
        <v>44882.0</v>
      </c>
      <c r="B1237" s="17">
        <v>394.24</v>
      </c>
      <c r="C1237" s="18">
        <f t="shared" si="2"/>
        <v>-0.00306449606</v>
      </c>
      <c r="D1237" s="18">
        <v>-0.00411093677531707</v>
      </c>
    </row>
    <row r="1238" ht="15.75" customHeight="1">
      <c r="A1238" s="3">
        <v>44883.0</v>
      </c>
      <c r="B1238" s="17">
        <v>396.03</v>
      </c>
      <c r="C1238" s="18">
        <f t="shared" si="2"/>
        <v>0.004530105056</v>
      </c>
      <c r="D1238" s="18">
        <v>0.0018384306036881308</v>
      </c>
    </row>
    <row r="1239" ht="15.75" customHeight="1">
      <c r="A1239" s="3">
        <v>44886.0</v>
      </c>
      <c r="B1239" s="17">
        <v>394.59</v>
      </c>
      <c r="C1239" s="18">
        <f t="shared" si="2"/>
        <v>-0.003642714812</v>
      </c>
      <c r="D1239" s="18">
        <v>0.003190078851640795</v>
      </c>
    </row>
    <row r="1240" ht="15.75" customHeight="1">
      <c r="A1240" s="3">
        <v>44887.0</v>
      </c>
      <c r="B1240" s="17">
        <v>399.9</v>
      </c>
      <c r="C1240" s="18">
        <f t="shared" si="2"/>
        <v>0.0133672647</v>
      </c>
      <c r="D1240" s="18">
        <v>0.0026657722260764924</v>
      </c>
    </row>
    <row r="1241" ht="15.75" customHeight="1">
      <c r="A1241" s="3">
        <v>44888.0</v>
      </c>
      <c r="B1241" s="17">
        <v>402.42</v>
      </c>
      <c r="C1241" s="18">
        <f t="shared" si="2"/>
        <v>0.006281803487</v>
      </c>
      <c r="D1241" s="18">
        <v>-0.013865634679911006</v>
      </c>
    </row>
    <row r="1242" ht="15.75" customHeight="1">
      <c r="A1242" s="3">
        <v>44890.0</v>
      </c>
      <c r="B1242" s="17">
        <v>402.33</v>
      </c>
      <c r="C1242" s="18">
        <f t="shared" si="2"/>
        <v>-0.0002236719487</v>
      </c>
      <c r="D1242" s="18">
        <v>0.0017178681243369832</v>
      </c>
    </row>
    <row r="1243" ht="15.75" customHeight="1">
      <c r="A1243" s="3">
        <v>44893.0</v>
      </c>
      <c r="B1243" s="17">
        <v>395.91</v>
      </c>
      <c r="C1243" s="18">
        <f t="shared" si="2"/>
        <v>-0.01608573469</v>
      </c>
      <c r="D1243" s="18">
        <v>0.0021719640729103836</v>
      </c>
    </row>
    <row r="1244" ht="15.75" customHeight="1">
      <c r="A1244" s="3">
        <v>44894.0</v>
      </c>
      <c r="B1244" s="17">
        <v>395.23</v>
      </c>
      <c r="C1244" s="18">
        <f t="shared" si="2"/>
        <v>-0.001719038773</v>
      </c>
      <c r="D1244" s="18">
        <v>-0.002110118417765679</v>
      </c>
    </row>
    <row r="1245" ht="15.75" customHeight="1">
      <c r="A1245" s="3">
        <v>44895.0</v>
      </c>
      <c r="B1245" s="17">
        <v>407.68</v>
      </c>
      <c r="C1245" s="18">
        <f t="shared" si="2"/>
        <v>0.03101467902</v>
      </c>
      <c r="D1245" s="18">
        <v>-4.1461113191624757E-4</v>
      </c>
    </row>
    <row r="1246" ht="15.75" customHeight="1">
      <c r="A1246" s="3">
        <v>44896.0</v>
      </c>
      <c r="B1246" s="17">
        <v>407.38</v>
      </c>
      <c r="C1246" s="18">
        <f t="shared" si="2"/>
        <v>-0.0007361421577</v>
      </c>
      <c r="D1246" s="18">
        <v>-0.011137350724200162</v>
      </c>
    </row>
    <row r="1247" ht="15.75" customHeight="1">
      <c r="A1247" s="3">
        <v>44897.0</v>
      </c>
      <c r="B1247" s="17">
        <v>406.91</v>
      </c>
      <c r="C1247" s="18">
        <f t="shared" si="2"/>
        <v>-0.001154380017</v>
      </c>
      <c r="D1247" s="18">
        <v>0.004903561132129429</v>
      </c>
    </row>
    <row r="1248" ht="15.75" customHeight="1">
      <c r="A1248" s="3">
        <v>44900.0</v>
      </c>
      <c r="B1248" s="17">
        <v>399.59</v>
      </c>
      <c r="C1248" s="18">
        <f t="shared" si="2"/>
        <v>-0.01815300933</v>
      </c>
      <c r="D1248" s="18">
        <v>-0.0027771580101845967</v>
      </c>
    </row>
    <row r="1249" ht="15.75" customHeight="1">
      <c r="A1249" s="3">
        <v>44901.0</v>
      </c>
      <c r="B1249" s="17">
        <v>393.83</v>
      </c>
      <c r="C1249" s="18">
        <f t="shared" si="2"/>
        <v>-0.01451967733</v>
      </c>
      <c r="D1249" s="18">
        <v>-7.109195160167696E-4</v>
      </c>
    </row>
    <row r="1250" ht="15.75" customHeight="1">
      <c r="A1250" s="3">
        <v>44902.0</v>
      </c>
      <c r="B1250" s="17">
        <v>393.16</v>
      </c>
      <c r="C1250" s="18">
        <f t="shared" si="2"/>
        <v>-0.001702690407</v>
      </c>
      <c r="D1250" s="18">
        <v>-1.3576257338017187E-4</v>
      </c>
    </row>
    <row r="1251" ht="15.75" customHeight="1">
      <c r="A1251" s="3">
        <v>44903.0</v>
      </c>
      <c r="B1251" s="17">
        <v>396.24</v>
      </c>
      <c r="C1251" s="18">
        <f t="shared" si="2"/>
        <v>0.007803434582</v>
      </c>
      <c r="D1251" s="18">
        <v>0.002926836827549732</v>
      </c>
    </row>
    <row r="1252" ht="15.75" customHeight="1">
      <c r="A1252" s="3">
        <v>44904.0</v>
      </c>
      <c r="B1252" s="17">
        <v>393.28</v>
      </c>
      <c r="C1252" s="18">
        <f t="shared" si="2"/>
        <v>-0.007498261902</v>
      </c>
      <c r="D1252" s="18">
        <v>0.004000884433719509</v>
      </c>
    </row>
    <row r="1253" ht="15.75" customHeight="1">
      <c r="A1253" s="3">
        <v>44907.0</v>
      </c>
      <c r="B1253" s="17">
        <v>398.95</v>
      </c>
      <c r="C1253" s="18">
        <f t="shared" si="2"/>
        <v>0.01431426938</v>
      </c>
      <c r="D1253" s="18">
        <v>0.0049978376291739835</v>
      </c>
    </row>
    <row r="1254" ht="15.75" customHeight="1">
      <c r="A1254" s="3">
        <v>44908.0</v>
      </c>
      <c r="B1254" s="17">
        <v>401.97</v>
      </c>
      <c r="C1254" s="18">
        <f t="shared" si="2"/>
        <v>0.007541363214</v>
      </c>
      <c r="D1254" s="18">
        <v>0.005798390984980981</v>
      </c>
    </row>
    <row r="1255" ht="15.75" customHeight="1">
      <c r="A1255" s="3">
        <v>44909.0</v>
      </c>
      <c r="B1255" s="17">
        <v>399.4</v>
      </c>
      <c r="C1255" s="18">
        <f t="shared" si="2"/>
        <v>-0.006414037987</v>
      </c>
      <c r="D1255" s="18">
        <v>0.008408747120366213</v>
      </c>
    </row>
    <row r="1256" ht="15.75" customHeight="1">
      <c r="A1256" s="3">
        <v>44910.0</v>
      </c>
      <c r="B1256" s="17">
        <v>389.63</v>
      </c>
      <c r="C1256" s="18">
        <f t="shared" si="2"/>
        <v>-0.02476585012</v>
      </c>
      <c r="D1256" s="18">
        <v>-0.009772960273063309</v>
      </c>
    </row>
    <row r="1257" ht="15.75" customHeight="1">
      <c r="A1257" s="3">
        <v>44911.0</v>
      </c>
      <c r="B1257" s="17">
        <v>383.27</v>
      </c>
      <c r="C1257" s="18">
        <f t="shared" si="2"/>
        <v>-0.01645786921</v>
      </c>
      <c r="D1257" s="18">
        <v>-0.008482135518431015</v>
      </c>
    </row>
    <row r="1258" ht="15.75" customHeight="1">
      <c r="A1258" s="3">
        <v>44914.0</v>
      </c>
      <c r="B1258" s="17">
        <v>380.02</v>
      </c>
      <c r="C1258" s="18">
        <f t="shared" si="2"/>
        <v>-0.008515818734</v>
      </c>
      <c r="D1258" s="18">
        <v>-0.003264817339394314</v>
      </c>
    </row>
    <row r="1259" ht="15.75" customHeight="1">
      <c r="A1259" s="3">
        <v>44915.0</v>
      </c>
      <c r="B1259" s="17">
        <v>380.54</v>
      </c>
      <c r="C1259" s="18">
        <f t="shared" si="2"/>
        <v>0.001367413698</v>
      </c>
      <c r="D1259" s="18">
        <v>-6.813932636812953E-4</v>
      </c>
    </row>
    <row r="1260" ht="15.75" customHeight="1">
      <c r="A1260" s="3">
        <v>44916.0</v>
      </c>
      <c r="B1260" s="17">
        <v>386.23</v>
      </c>
      <c r="C1260" s="18">
        <f t="shared" si="2"/>
        <v>0.01484175032</v>
      </c>
      <c r="D1260" s="18">
        <v>0.0027364650773892096</v>
      </c>
    </row>
    <row r="1261" ht="15.75" customHeight="1">
      <c r="A1261" s="3">
        <v>44917.0</v>
      </c>
      <c r="B1261" s="17">
        <v>380.72</v>
      </c>
      <c r="C1261" s="18">
        <f t="shared" si="2"/>
        <v>-0.01436885012</v>
      </c>
      <c r="D1261" s="18">
        <v>-0.001529190186205654</v>
      </c>
    </row>
    <row r="1262" ht="15.75" customHeight="1">
      <c r="A1262" s="3">
        <v>44918.0</v>
      </c>
      <c r="B1262" s="17">
        <v>382.91</v>
      </c>
      <c r="C1262" s="18">
        <f t="shared" si="2"/>
        <v>0.005735777809</v>
      </c>
      <c r="D1262" s="18">
        <v>4.2639324767933473E-4</v>
      </c>
    </row>
    <row r="1263" ht="15.75" customHeight="1">
      <c r="A1263" s="3">
        <v>44922.0</v>
      </c>
      <c r="B1263" s="17">
        <v>381.4</v>
      </c>
      <c r="C1263" s="18">
        <f t="shared" si="2"/>
        <v>-0.003951281455</v>
      </c>
      <c r="D1263" s="18">
        <v>0.0011500684426756919</v>
      </c>
    </row>
    <row r="1264" ht="15.75" customHeight="1">
      <c r="A1264" s="3">
        <v>44923.0</v>
      </c>
      <c r="B1264" s="17">
        <v>376.66</v>
      </c>
      <c r="C1264" s="18">
        <f t="shared" si="2"/>
        <v>-0.0125057694</v>
      </c>
      <c r="D1264" s="18">
        <v>-0.0018772619816132782</v>
      </c>
    </row>
    <row r="1265" ht="15.75" customHeight="1">
      <c r="A1265" s="3">
        <v>44924.0</v>
      </c>
      <c r="B1265" s="17">
        <v>383.44</v>
      </c>
      <c r="C1265" s="18">
        <f t="shared" si="2"/>
        <v>0.01784023108</v>
      </c>
      <c r="D1265" s="18">
        <v>-0.005714607417581595</v>
      </c>
    </row>
    <row r="1266" ht="15.75" customHeight="1">
      <c r="A1266" s="3">
        <v>44925.0</v>
      </c>
      <c r="B1266" s="17">
        <v>382.43</v>
      </c>
      <c r="C1266" s="18">
        <f t="shared" si="2"/>
        <v>-0.002637524868</v>
      </c>
      <c r="D1266" s="18">
        <v>0.0</v>
      </c>
    </row>
    <row r="1267" ht="15.75" customHeight="1">
      <c r="A1267" s="3">
        <v>44929.0</v>
      </c>
      <c r="B1267" s="17">
        <v>380.82</v>
      </c>
      <c r="C1267" s="18">
        <f t="shared" si="2"/>
        <v>-0.004218807436</v>
      </c>
      <c r="D1267" s="18">
        <v>-0.004244966670668129</v>
      </c>
    </row>
    <row r="1268" ht="15.75" customHeight="1">
      <c r="A1268" s="3">
        <v>44930.0</v>
      </c>
      <c r="B1268" s="17">
        <v>383.76</v>
      </c>
      <c r="C1268" s="18">
        <f t="shared" si="2"/>
        <v>0.007690534647</v>
      </c>
      <c r="D1268" s="18">
        <v>0.0032211704170631242</v>
      </c>
    </row>
    <row r="1269" ht="15.75" customHeight="1">
      <c r="A1269" s="3">
        <v>44931.0</v>
      </c>
      <c r="B1269" s="17">
        <v>379.38</v>
      </c>
      <c r="C1269" s="18">
        <f t="shared" si="2"/>
        <v>-0.0114790159</v>
      </c>
      <c r="D1269" s="18">
        <v>-0.0017111195840644308</v>
      </c>
    </row>
    <row r="1270" ht="15.75" customHeight="1">
      <c r="A1270" s="3">
        <v>44932.0</v>
      </c>
      <c r="B1270" s="17">
        <v>388.08</v>
      </c>
      <c r="C1270" s="18">
        <f t="shared" si="2"/>
        <v>0.02267316264</v>
      </c>
      <c r="D1270" s="18">
        <v>-1.1078021914609775E-5</v>
      </c>
    </row>
    <row r="1271" ht="15.75" customHeight="1">
      <c r="A1271" s="3">
        <v>44935.0</v>
      </c>
      <c r="B1271" s="17">
        <v>387.86</v>
      </c>
      <c r="C1271" s="18">
        <f t="shared" si="2"/>
        <v>-0.0005670541689</v>
      </c>
      <c r="D1271" s="18">
        <v>0.002398476024948952</v>
      </c>
    </row>
    <row r="1272" ht="15.75" customHeight="1">
      <c r="A1272" s="3">
        <v>44936.0</v>
      </c>
      <c r="B1272" s="17">
        <v>390.58</v>
      </c>
      <c r="C1272" s="18">
        <f t="shared" si="2"/>
        <v>0.006988364087</v>
      </c>
      <c r="D1272" s="18">
        <v>0.0013909197217318592</v>
      </c>
    </row>
    <row r="1273" ht="15.75" customHeight="1">
      <c r="A1273" s="3">
        <v>44937.0</v>
      </c>
      <c r="B1273" s="17">
        <v>395.52</v>
      </c>
      <c r="C1273" s="18">
        <f t="shared" si="2"/>
        <v>0.01256854097</v>
      </c>
      <c r="D1273" s="18">
        <v>-0.001232297691418426</v>
      </c>
    </row>
    <row r="1274" ht="15.75" customHeight="1">
      <c r="A1274" s="3">
        <v>44938.0</v>
      </c>
      <c r="B1274" s="17">
        <v>396.96</v>
      </c>
      <c r="C1274" s="18">
        <f t="shared" si="2"/>
        <v>0.003634165114</v>
      </c>
      <c r="D1274" s="18">
        <v>6.104384893946824E-4</v>
      </c>
    </row>
    <row r="1275" ht="15.75" customHeight="1">
      <c r="A1275" s="3">
        <v>44939.0</v>
      </c>
      <c r="B1275" s="17">
        <v>398.5</v>
      </c>
      <c r="C1275" s="18">
        <f t="shared" si="2"/>
        <v>0.003871978287</v>
      </c>
      <c r="D1275" s="18">
        <v>-6.575054828594422E-4</v>
      </c>
    </row>
    <row r="1276" ht="15.75" customHeight="1">
      <c r="A1276" s="3">
        <v>44943.0</v>
      </c>
      <c r="B1276" s="17">
        <v>397.77</v>
      </c>
      <c r="C1276" s="18">
        <f t="shared" si="2"/>
        <v>-0.001833549436</v>
      </c>
      <c r="D1276" s="18">
        <v>0.0017872580234989332</v>
      </c>
    </row>
    <row r="1277" ht="15.75" customHeight="1">
      <c r="A1277" s="3">
        <v>44944.0</v>
      </c>
      <c r="B1277" s="17">
        <v>391.49</v>
      </c>
      <c r="C1277" s="18">
        <f t="shared" si="2"/>
        <v>-0.01591397647</v>
      </c>
      <c r="D1277" s="18">
        <v>-9.347794524706196E-4</v>
      </c>
    </row>
    <row r="1278" ht="15.75" customHeight="1">
      <c r="A1278" s="3">
        <v>44945.0</v>
      </c>
      <c r="B1278" s="17">
        <v>388.64</v>
      </c>
      <c r="C1278" s="18">
        <f t="shared" si="2"/>
        <v>-0.007306507067</v>
      </c>
      <c r="D1278" s="18">
        <v>-0.0013197595866429306</v>
      </c>
    </row>
    <row r="1279" ht="15.75" customHeight="1">
      <c r="A1279" s="3">
        <v>44946.0</v>
      </c>
      <c r="B1279" s="17">
        <v>395.88</v>
      </c>
      <c r="C1279" s="18">
        <f t="shared" si="2"/>
        <v>0.01845766977</v>
      </c>
      <c r="D1279" s="18">
        <v>0.001310182155645707</v>
      </c>
    </row>
    <row r="1280" ht="15.75" customHeight="1">
      <c r="A1280" s="3">
        <v>44949.0</v>
      </c>
      <c r="B1280" s="17">
        <v>400.63</v>
      </c>
      <c r="C1280" s="18">
        <f t="shared" si="2"/>
        <v>0.01192717307</v>
      </c>
      <c r="D1280" s="18">
        <v>0.0024882197461934667</v>
      </c>
    </row>
    <row r="1281" ht="15.75" customHeight="1">
      <c r="A1281" s="3">
        <v>44950.0</v>
      </c>
      <c r="B1281" s="17">
        <v>400.2</v>
      </c>
      <c r="C1281" s="18">
        <f t="shared" si="2"/>
        <v>-0.001073885947</v>
      </c>
      <c r="D1281" s="18">
        <v>-0.0010767840046460447</v>
      </c>
    </row>
    <row r="1282" ht="15.75" customHeight="1">
      <c r="A1282" s="3">
        <v>44951.0</v>
      </c>
      <c r="B1282" s="17">
        <v>400.35</v>
      </c>
      <c r="C1282" s="18">
        <f t="shared" si="2"/>
        <v>0.000374742369</v>
      </c>
      <c r="D1282" s="18">
        <v>0.0014691103545821523</v>
      </c>
    </row>
    <row r="1283" ht="15.75" customHeight="1">
      <c r="A1283" s="3">
        <v>44952.0</v>
      </c>
      <c r="B1283" s="17">
        <v>404.75</v>
      </c>
      <c r="C1283" s="18">
        <f t="shared" si="2"/>
        <v>0.01093042804</v>
      </c>
      <c r="D1283" s="18">
        <v>4.384533461786511E-4</v>
      </c>
    </row>
    <row r="1284" ht="15.75" customHeight="1">
      <c r="A1284" s="3">
        <v>44953.0</v>
      </c>
      <c r="B1284" s="17">
        <v>405.68</v>
      </c>
      <c r="C1284" s="18">
        <f t="shared" si="2"/>
        <v>0.002295078929</v>
      </c>
      <c r="D1284" s="18">
        <v>-1.805097921575659E-4</v>
      </c>
    </row>
    <row r="1285" ht="15.75" customHeight="1">
      <c r="A1285" s="3">
        <v>44956.0</v>
      </c>
      <c r="B1285" s="17">
        <v>400.59</v>
      </c>
      <c r="C1285" s="18">
        <f t="shared" si="2"/>
        <v>-0.01262621112</v>
      </c>
      <c r="D1285" s="18">
        <v>-0.0010245961709068956</v>
      </c>
    </row>
    <row r="1286" ht="15.75" customHeight="1">
      <c r="A1286" s="3">
        <v>44957.0</v>
      </c>
      <c r="B1286" s="17">
        <v>406.48</v>
      </c>
      <c r="C1286" s="18">
        <f t="shared" si="2"/>
        <v>0.01459626692</v>
      </c>
      <c r="D1286" s="18">
        <v>-6.055371344342654E-4</v>
      </c>
    </row>
    <row r="1287" ht="15.75" customHeight="1">
      <c r="A1287" s="3">
        <v>44958.0</v>
      </c>
      <c r="B1287" s="17">
        <v>410.8</v>
      </c>
      <c r="C1287" s="18">
        <f t="shared" si="2"/>
        <v>0.01057175077</v>
      </c>
      <c r="D1287" s="18">
        <v>-3.895485563013672E-4</v>
      </c>
    </row>
    <row r="1288" ht="15.75" customHeight="1">
      <c r="A1288" s="3">
        <v>44959.0</v>
      </c>
      <c r="B1288" s="17">
        <v>416.78</v>
      </c>
      <c r="C1288" s="18">
        <f t="shared" si="2"/>
        <v>0.01445202659</v>
      </c>
      <c r="D1288" s="18">
        <v>0.004620597337404487</v>
      </c>
    </row>
    <row r="1289" ht="15.75" customHeight="1">
      <c r="A1289" s="3">
        <v>44960.0</v>
      </c>
      <c r="B1289" s="17">
        <v>412.35</v>
      </c>
      <c r="C1289" s="18">
        <f t="shared" si="2"/>
        <v>-0.01068600136</v>
      </c>
      <c r="D1289" s="18">
        <v>-0.004291529277181963</v>
      </c>
    </row>
    <row r="1290" ht="15.75" customHeight="1">
      <c r="A1290" s="3">
        <v>44963.0</v>
      </c>
      <c r="B1290" s="17">
        <v>409.83</v>
      </c>
      <c r="C1290" s="18">
        <f t="shared" si="2"/>
        <v>-0.006130063712</v>
      </c>
      <c r="D1290" s="18">
        <v>-0.00329948797441951</v>
      </c>
    </row>
    <row r="1291" ht="15.75" customHeight="1">
      <c r="A1291" s="3">
        <v>44964.0</v>
      </c>
      <c r="B1291" s="17">
        <v>415.19</v>
      </c>
      <c r="C1291" s="18">
        <f t="shared" si="2"/>
        <v>0.01299380722</v>
      </c>
      <c r="D1291" s="18">
        <v>-0.0022226430468913257</v>
      </c>
    </row>
    <row r="1292" ht="15.75" customHeight="1">
      <c r="A1292" s="3">
        <v>44965.0</v>
      </c>
      <c r="B1292" s="17">
        <v>410.65</v>
      </c>
      <c r="C1292" s="18">
        <f t="shared" si="2"/>
        <v>-0.0109949766</v>
      </c>
      <c r="D1292" s="18">
        <v>-0.002272388871890417</v>
      </c>
    </row>
    <row r="1293" ht="15.75" customHeight="1">
      <c r="A1293" s="3">
        <v>44966.0</v>
      </c>
      <c r="B1293" s="17">
        <v>407.09</v>
      </c>
      <c r="C1293" s="18">
        <f t="shared" si="2"/>
        <v>-0.008706978968</v>
      </c>
      <c r="D1293" s="18">
        <v>-0.0022898536365565506</v>
      </c>
    </row>
    <row r="1294" ht="15.75" customHeight="1">
      <c r="A1294" s="3">
        <v>44967.0</v>
      </c>
      <c r="B1294" s="17">
        <v>408.04</v>
      </c>
      <c r="C1294" s="18">
        <f t="shared" si="2"/>
        <v>0.002330917596</v>
      </c>
      <c r="D1294" s="18">
        <v>0.001690780606203164</v>
      </c>
    </row>
    <row r="1295" ht="15.75" customHeight="1">
      <c r="A1295" s="3">
        <v>44970.0</v>
      </c>
      <c r="B1295" s="17">
        <v>412.83</v>
      </c>
      <c r="C1295" s="18">
        <f t="shared" si="2"/>
        <v>0.01167067713</v>
      </c>
      <c r="D1295" s="18">
        <v>-0.003350618395461262</v>
      </c>
    </row>
    <row r="1296" ht="15.75" customHeight="1">
      <c r="A1296" s="3">
        <v>44971.0</v>
      </c>
      <c r="B1296" s="17">
        <v>412.64</v>
      </c>
      <c r="C1296" s="18">
        <f t="shared" si="2"/>
        <v>-0.0004603438123</v>
      </c>
      <c r="D1296" s="18">
        <v>0.005534509163255721</v>
      </c>
    </row>
    <row r="1297" ht="15.75" customHeight="1">
      <c r="A1297" s="3">
        <v>44972.0</v>
      </c>
      <c r="B1297" s="17">
        <v>413.98</v>
      </c>
      <c r="C1297" s="18">
        <f t="shared" si="2"/>
        <v>0.003242121347</v>
      </c>
      <c r="D1297" s="18">
        <v>-0.004822987696021657</v>
      </c>
    </row>
    <row r="1298" ht="15.75" customHeight="1">
      <c r="A1298" s="3">
        <v>44973.0</v>
      </c>
      <c r="B1298" s="17">
        <v>408.28</v>
      </c>
      <c r="C1298" s="18">
        <f t="shared" si="2"/>
        <v>-0.01386444994</v>
      </c>
      <c r="D1298" s="18">
        <v>-0.0013808204563802242</v>
      </c>
    </row>
    <row r="1299" ht="15.75" customHeight="1">
      <c r="A1299" s="3">
        <v>44974.0</v>
      </c>
      <c r="B1299" s="17">
        <v>407.26</v>
      </c>
      <c r="C1299" s="18">
        <f t="shared" si="2"/>
        <v>-0.002501411413</v>
      </c>
      <c r="D1299" s="18">
        <v>6.153695214673789E-4</v>
      </c>
    </row>
    <row r="1300" ht="15.75" customHeight="1">
      <c r="A1300" s="3">
        <v>44978.0</v>
      </c>
      <c r="B1300" s="17">
        <v>399.09</v>
      </c>
      <c r="C1300" s="18">
        <f t="shared" si="2"/>
        <v>-0.02026484676</v>
      </c>
      <c r="D1300" s="18">
        <v>-0.0012505496718549331</v>
      </c>
    </row>
    <row r="1301" ht="15.75" customHeight="1">
      <c r="A1301" s="3">
        <v>44979.0</v>
      </c>
      <c r="B1301" s="17">
        <v>398.54</v>
      </c>
      <c r="C1301" s="18">
        <f t="shared" si="2"/>
        <v>-0.001379085759</v>
      </c>
      <c r="D1301" s="18">
        <v>-0.004812317957991218</v>
      </c>
    </row>
    <row r="1302" ht="15.75" customHeight="1">
      <c r="A1302" s="3">
        <v>44980.0</v>
      </c>
      <c r="B1302" s="17">
        <v>400.66</v>
      </c>
      <c r="C1302" s="18">
        <f t="shared" si="2"/>
        <v>0.005305317749</v>
      </c>
      <c r="D1302" s="18">
        <v>-0.0023524074374736905</v>
      </c>
    </row>
    <row r="1303" ht="15.75" customHeight="1">
      <c r="A1303" s="3">
        <v>44981.0</v>
      </c>
      <c r="B1303" s="17">
        <v>396.38</v>
      </c>
      <c r="C1303" s="18">
        <f t="shared" si="2"/>
        <v>-0.01073984026</v>
      </c>
      <c r="D1303" s="18">
        <v>9.045886869786241E-4</v>
      </c>
    </row>
    <row r="1304" ht="15.75" customHeight="1">
      <c r="A1304" s="3">
        <v>44984.0</v>
      </c>
      <c r="B1304" s="17">
        <v>397.73</v>
      </c>
      <c r="C1304" s="18">
        <f t="shared" si="2"/>
        <v>0.003400036016</v>
      </c>
      <c r="D1304" s="18">
        <v>-0.003867867459121305</v>
      </c>
    </row>
    <row r="1305" ht="15.75" customHeight="1">
      <c r="A1305" s="3">
        <v>44985.0</v>
      </c>
      <c r="B1305" s="17">
        <v>396.26</v>
      </c>
      <c r="C1305" s="18">
        <f t="shared" si="2"/>
        <v>-0.003702821647</v>
      </c>
      <c r="D1305" s="18">
        <v>-6.685494135039797E-4</v>
      </c>
    </row>
    <row r="1306" ht="15.75" customHeight="1">
      <c r="A1306" s="3">
        <v>44986.0</v>
      </c>
      <c r="B1306" s="17">
        <v>394.74</v>
      </c>
      <c r="C1306" s="18">
        <f t="shared" si="2"/>
        <v>-0.00384324114</v>
      </c>
      <c r="D1306" s="18">
        <v>0.0010299711151269765</v>
      </c>
    </row>
    <row r="1307" ht="15.75" customHeight="1">
      <c r="A1307" s="3">
        <v>44987.0</v>
      </c>
      <c r="B1307" s="17">
        <v>397.81</v>
      </c>
      <c r="C1307" s="18">
        <f t="shared" si="2"/>
        <v>0.007747184038</v>
      </c>
      <c r="D1307" s="18">
        <v>-0.008420997222746964</v>
      </c>
    </row>
    <row r="1308" ht="15.75" customHeight="1">
      <c r="A1308" s="3">
        <v>44988.0</v>
      </c>
      <c r="B1308" s="17">
        <v>404.19</v>
      </c>
      <c r="C1308" s="18">
        <f t="shared" si="2"/>
        <v>0.01591056007</v>
      </c>
      <c r="D1308" s="18">
        <v>-0.006705089596121184</v>
      </c>
    </row>
    <row r="1309" ht="15.75" customHeight="1">
      <c r="A1309" s="3">
        <v>44991.0</v>
      </c>
      <c r="B1309" s="17">
        <v>404.47</v>
      </c>
      <c r="C1309" s="18">
        <f t="shared" si="2"/>
        <v>0.0006925036757</v>
      </c>
      <c r="D1309" s="18">
        <v>0.009097793283291283</v>
      </c>
    </row>
    <row r="1310" ht="15.75" customHeight="1">
      <c r="A1310" s="3">
        <v>44992.0</v>
      </c>
      <c r="B1310" s="17">
        <v>398.27</v>
      </c>
      <c r="C1310" s="18">
        <f t="shared" si="2"/>
        <v>-0.01544740087</v>
      </c>
      <c r="D1310" s="18">
        <v>0.005707660090501516</v>
      </c>
    </row>
    <row r="1311" ht="15.75" customHeight="1">
      <c r="A1311" s="3">
        <v>44993.0</v>
      </c>
      <c r="B1311" s="17">
        <v>398.92</v>
      </c>
      <c r="C1311" s="18">
        <f t="shared" si="2"/>
        <v>0.001630728293</v>
      </c>
      <c r="D1311" s="18">
        <v>7.55434645797029E-4</v>
      </c>
    </row>
    <row r="1312" ht="15.75" customHeight="1">
      <c r="A1312" s="3">
        <v>44994.0</v>
      </c>
      <c r="B1312" s="17">
        <v>391.56</v>
      </c>
      <c r="C1312" s="18">
        <f t="shared" si="2"/>
        <v>-0.01862213514</v>
      </c>
      <c r="D1312" s="18">
        <v>-0.0033449901060604564</v>
      </c>
    </row>
    <row r="1313" ht="15.75" customHeight="1">
      <c r="A1313" s="3">
        <v>44995.0</v>
      </c>
      <c r="B1313" s="17">
        <v>385.91</v>
      </c>
      <c r="C1313" s="18">
        <f t="shared" si="2"/>
        <v>-0.01453457874</v>
      </c>
      <c r="D1313" s="18">
        <v>7.912012448949661E-4</v>
      </c>
    </row>
    <row r="1314" ht="15.75" customHeight="1">
      <c r="A1314" s="3">
        <v>44998.0</v>
      </c>
      <c r="B1314" s="17">
        <v>385.36</v>
      </c>
      <c r="C1314" s="18">
        <f t="shared" si="2"/>
        <v>-0.001426219335</v>
      </c>
      <c r="D1314" s="18">
        <v>-0.01056656305280857</v>
      </c>
    </row>
    <row r="1315" ht="15.75" customHeight="1">
      <c r="A1315" s="3">
        <v>44999.0</v>
      </c>
      <c r="B1315" s="17">
        <v>391.73</v>
      </c>
      <c r="C1315" s="18">
        <f t="shared" si="2"/>
        <v>0.01639486464</v>
      </c>
      <c r="D1315" s="18">
        <v>0.0025367786855262173</v>
      </c>
    </row>
    <row r="1316" ht="15.75" customHeight="1">
      <c r="A1316" s="3">
        <v>45000.0</v>
      </c>
      <c r="B1316" s="17">
        <v>389.28</v>
      </c>
      <c r="C1316" s="18">
        <f t="shared" si="2"/>
        <v>-0.00627394793</v>
      </c>
      <c r="D1316" s="18">
        <v>-0.00457587505436612</v>
      </c>
    </row>
    <row r="1317" ht="15.75" customHeight="1">
      <c r="A1317" s="3">
        <v>45001.0</v>
      </c>
      <c r="B1317" s="17">
        <v>396.11</v>
      </c>
      <c r="C1317" s="18">
        <f t="shared" si="2"/>
        <v>0.01739307142</v>
      </c>
      <c r="D1317" s="18">
        <v>0.003054968080797155</v>
      </c>
    </row>
    <row r="1318" ht="15.75" customHeight="1">
      <c r="A1318" s="3">
        <v>45002.0</v>
      </c>
      <c r="B1318" s="17">
        <v>389.99</v>
      </c>
      <c r="C1318" s="18">
        <f t="shared" si="2"/>
        <v>-0.01557085269</v>
      </c>
      <c r="D1318" s="18">
        <v>0.014957372457836517</v>
      </c>
    </row>
    <row r="1319" ht="15.75" customHeight="1">
      <c r="A1319" s="3">
        <v>45005.0</v>
      </c>
      <c r="B1319" s="17">
        <v>393.74</v>
      </c>
      <c r="C1319" s="18">
        <f t="shared" si="2"/>
        <v>0.009569695223</v>
      </c>
      <c r="D1319" s="18">
        <v>0.0119649069474606</v>
      </c>
    </row>
    <row r="1320" ht="15.75" customHeight="1">
      <c r="A1320" s="3">
        <v>45006.0</v>
      </c>
      <c r="B1320" s="17">
        <v>398.91</v>
      </c>
      <c r="C1320" s="18">
        <f t="shared" si="2"/>
        <v>0.01304503454</v>
      </c>
      <c r="D1320" s="18">
        <v>0.001274574155978226</v>
      </c>
    </row>
    <row r="1321" ht="15.75" customHeight="1">
      <c r="A1321" s="3">
        <v>45007.0</v>
      </c>
      <c r="B1321" s="17">
        <v>392.11</v>
      </c>
      <c r="C1321" s="18">
        <f t="shared" si="2"/>
        <v>-0.01719341487</v>
      </c>
      <c r="D1321" s="18">
        <v>-0.0015784634524075968</v>
      </c>
    </row>
    <row r="1322" ht="15.75" customHeight="1">
      <c r="A1322" s="3">
        <v>45008.0</v>
      </c>
      <c r="B1322" s="17">
        <v>393.17</v>
      </c>
      <c r="C1322" s="18">
        <f t="shared" si="2"/>
        <v>0.002699675641</v>
      </c>
      <c r="D1322" s="18">
        <v>-0.0019759818105080326</v>
      </c>
    </row>
    <row r="1323" ht="15.75" customHeight="1">
      <c r="A1323" s="3">
        <v>45009.0</v>
      </c>
      <c r="B1323" s="17">
        <v>395.75</v>
      </c>
      <c r="C1323" s="18">
        <f t="shared" si="2"/>
        <v>0.006540610449</v>
      </c>
      <c r="D1323" s="18">
        <v>-0.007620787217477185</v>
      </c>
    </row>
    <row r="1324" ht="15.75" customHeight="1">
      <c r="A1324" s="3">
        <v>45012.0</v>
      </c>
      <c r="B1324" s="17">
        <v>396.49</v>
      </c>
      <c r="C1324" s="18">
        <f t="shared" si="2"/>
        <v>0.001868121315</v>
      </c>
      <c r="D1324" s="18">
        <v>-0.0017804109528808036</v>
      </c>
    </row>
    <row r="1325" ht="15.75" customHeight="1">
      <c r="A1325" s="3">
        <v>45013.0</v>
      </c>
      <c r="B1325" s="17">
        <v>395.6</v>
      </c>
      <c r="C1325" s="18">
        <f t="shared" si="2"/>
        <v>-0.002247220327</v>
      </c>
      <c r="D1325" s="18">
        <v>0.00932352495289025</v>
      </c>
    </row>
    <row r="1326" ht="15.75" customHeight="1">
      <c r="A1326" s="3">
        <v>45014.0</v>
      </c>
      <c r="B1326" s="17">
        <v>401.35</v>
      </c>
      <c r="C1326" s="18">
        <f t="shared" si="2"/>
        <v>0.01443026483</v>
      </c>
      <c r="D1326" s="18">
        <v>-0.0018980869556031537</v>
      </c>
    </row>
    <row r="1327" ht="15.75" customHeight="1">
      <c r="A1327" s="3">
        <v>45015.0</v>
      </c>
      <c r="B1327" s="17">
        <v>403.7</v>
      </c>
      <c r="C1327" s="18">
        <f t="shared" si="2"/>
        <v>0.005838163281</v>
      </c>
      <c r="D1327" s="18">
        <v>-0.0028511527993821148</v>
      </c>
    </row>
    <row r="1328" ht="15.75" customHeight="1">
      <c r="A1328" s="3">
        <v>45016.0</v>
      </c>
      <c r="B1328" s="17">
        <v>409.39</v>
      </c>
      <c r="C1328" s="18">
        <f t="shared" si="2"/>
        <v>0.01399621908</v>
      </c>
      <c r="D1328" s="18">
        <v>-5.534560514491778E-4</v>
      </c>
    </row>
    <row r="1329" ht="15.75" customHeight="1">
      <c r="A1329" s="3">
        <v>45019.0</v>
      </c>
      <c r="B1329" s="17">
        <v>410.95</v>
      </c>
      <c r="C1329" s="18">
        <f t="shared" si="2"/>
        <v>0.003803305655</v>
      </c>
      <c r="D1329" s="18">
        <v>-0.004395835703574476</v>
      </c>
    </row>
    <row r="1330" ht="15.75" customHeight="1">
      <c r="A1330" s="3">
        <v>45020.0</v>
      </c>
      <c r="B1330" s="17">
        <v>408.67</v>
      </c>
      <c r="C1330" s="18">
        <f t="shared" si="2"/>
        <v>-0.005563568193</v>
      </c>
      <c r="D1330" s="18">
        <v>0.0022062517744165884</v>
      </c>
    </row>
    <row r="1331" ht="15.75" customHeight="1">
      <c r="A1331" s="3">
        <v>45021.0</v>
      </c>
      <c r="B1331" s="17">
        <v>407.6</v>
      </c>
      <c r="C1331" s="18">
        <f t="shared" si="2"/>
        <v>-0.002621683053</v>
      </c>
      <c r="D1331" s="18">
        <v>-0.0037237594072773317</v>
      </c>
    </row>
    <row r="1332" ht="15.75" customHeight="1">
      <c r="A1332" s="3">
        <v>45022.0</v>
      </c>
      <c r="B1332" s="17">
        <v>409.19</v>
      </c>
      <c r="C1332" s="18">
        <f t="shared" si="2"/>
        <v>0.003893294503</v>
      </c>
      <c r="D1332" s="18">
        <v>5.091925338174835E-4</v>
      </c>
    </row>
    <row r="1333" ht="15.75" customHeight="1">
      <c r="A1333" s="3">
        <v>45026.0</v>
      </c>
      <c r="B1333" s="17">
        <v>409.61</v>
      </c>
      <c r="C1333" s="18">
        <f t="shared" si="2"/>
        <v>0.001025891639</v>
      </c>
      <c r="D1333" s="18">
        <v>-0.0015830057954588006</v>
      </c>
    </row>
    <row r="1334" ht="15.75" customHeight="1">
      <c r="A1334" s="3">
        <v>45027.0</v>
      </c>
      <c r="B1334" s="17">
        <v>409.72</v>
      </c>
      <c r="C1334" s="18">
        <f t="shared" si="2"/>
        <v>0.0002685120786</v>
      </c>
      <c r="D1334" s="18">
        <v>0.0012178850484775396</v>
      </c>
    </row>
    <row r="1335" ht="15.75" customHeight="1">
      <c r="A1335" s="3">
        <v>45028.0</v>
      </c>
      <c r="B1335" s="17">
        <v>408.05</v>
      </c>
      <c r="C1335" s="18">
        <f t="shared" si="2"/>
        <v>-0.004084283653</v>
      </c>
      <c r="D1335" s="18">
        <v>0.0044978400071178665</v>
      </c>
    </row>
    <row r="1336" ht="15.75" customHeight="1">
      <c r="A1336" s="3">
        <v>45029.0</v>
      </c>
      <c r="B1336" s="17">
        <v>413.47</v>
      </c>
      <c r="C1336" s="18">
        <f t="shared" si="2"/>
        <v>0.01319524453</v>
      </c>
      <c r="D1336" s="18">
        <v>0.005787758036527332</v>
      </c>
    </row>
    <row r="1337" ht="15.75" customHeight="1">
      <c r="A1337" s="3">
        <v>45030.0</v>
      </c>
      <c r="B1337" s="17">
        <v>412.46</v>
      </c>
      <c r="C1337" s="18">
        <f t="shared" si="2"/>
        <v>-0.002445729065</v>
      </c>
      <c r="D1337" s="18">
        <v>0.0035734747489463074</v>
      </c>
    </row>
    <row r="1338" ht="15.75" customHeight="1">
      <c r="A1338" s="3">
        <v>45033.0</v>
      </c>
      <c r="B1338" s="17">
        <v>413.94</v>
      </c>
      <c r="C1338" s="18">
        <f t="shared" si="2"/>
        <v>0.00358180441</v>
      </c>
      <c r="D1338" s="18">
        <v>6.05693191470154E-4</v>
      </c>
    </row>
    <row r="1339" ht="15.75" customHeight="1">
      <c r="A1339" s="3">
        <v>45034.0</v>
      </c>
      <c r="B1339" s="17">
        <v>414.21</v>
      </c>
      <c r="C1339" s="18">
        <f t="shared" si="2"/>
        <v>0.0006520558101</v>
      </c>
      <c r="D1339" s="18">
        <v>-0.0015522220235873805</v>
      </c>
    </row>
    <row r="1340" ht="15.75" customHeight="1">
      <c r="A1340" s="3">
        <v>45035.0</v>
      </c>
      <c r="B1340" s="17">
        <v>414.14</v>
      </c>
      <c r="C1340" s="18">
        <f t="shared" si="2"/>
        <v>-0.0001690106843</v>
      </c>
      <c r="D1340" s="18">
        <v>-0.0012099197810994807</v>
      </c>
    </row>
    <row r="1341" ht="15.75" customHeight="1">
      <c r="A1341" s="3">
        <v>45036.0</v>
      </c>
      <c r="B1341" s="17">
        <v>411.88</v>
      </c>
      <c r="C1341" s="18">
        <f t="shared" si="2"/>
        <v>-0.005472036123</v>
      </c>
      <c r="D1341" s="18">
        <v>-0.0010738282204968024</v>
      </c>
    </row>
    <row r="1342" ht="15.75" customHeight="1">
      <c r="A1342" s="3">
        <v>45037.0</v>
      </c>
      <c r="B1342" s="17">
        <v>412.2</v>
      </c>
      <c r="C1342" s="18">
        <f t="shared" si="2"/>
        <v>0.0007766236678</v>
      </c>
      <c r="D1342" s="18">
        <v>0.0024382690934461743</v>
      </c>
    </row>
    <row r="1343" ht="15.75" customHeight="1">
      <c r="A1343" s="3">
        <v>45040.0</v>
      </c>
      <c r="B1343" s="17">
        <v>412.63</v>
      </c>
      <c r="C1343" s="18">
        <f t="shared" si="2"/>
        <v>0.001042639184</v>
      </c>
      <c r="D1343" s="18">
        <v>0.0018757762495457005</v>
      </c>
    </row>
    <row r="1344" ht="15.75" customHeight="1">
      <c r="A1344" s="3">
        <v>45041.0</v>
      </c>
      <c r="B1344" s="17">
        <v>406.08</v>
      </c>
      <c r="C1344" s="18">
        <f t="shared" si="2"/>
        <v>-0.01600112311</v>
      </c>
      <c r="D1344" s="18">
        <v>0.005643129906208195</v>
      </c>
    </row>
    <row r="1345" ht="15.75" customHeight="1">
      <c r="A1345" s="3">
        <v>45042.0</v>
      </c>
      <c r="B1345" s="17">
        <v>404.36</v>
      </c>
      <c r="C1345" s="18">
        <f t="shared" si="2"/>
        <v>-0.00424461424</v>
      </c>
      <c r="D1345" s="18">
        <v>0.0016485103720270899</v>
      </c>
    </row>
    <row r="1346" ht="15.75" customHeight="1">
      <c r="A1346" s="3">
        <v>45043.0</v>
      </c>
      <c r="B1346" s="17">
        <v>412.41</v>
      </c>
      <c r="C1346" s="18">
        <f t="shared" si="2"/>
        <v>0.01971242987</v>
      </c>
      <c r="D1346" s="18">
        <v>-0.0011084938027759723</v>
      </c>
    </row>
    <row r="1347" ht="15.75" customHeight="1">
      <c r="A1347" s="3">
        <v>45044.0</v>
      </c>
      <c r="B1347" s="17">
        <v>415.93</v>
      </c>
      <c r="C1347" s="18">
        <f t="shared" si="2"/>
        <v>0.00849897672</v>
      </c>
      <c r="D1347" s="18">
        <v>-0.007281535391995293</v>
      </c>
    </row>
    <row r="1348" ht="15.75" customHeight="1">
      <c r="A1348" s="3">
        <v>45047.0</v>
      </c>
      <c r="B1348" s="17">
        <v>415.51</v>
      </c>
      <c r="C1348" s="18">
        <f t="shared" si="2"/>
        <v>-0.001010295477</v>
      </c>
      <c r="D1348" s="18">
        <v>-0.004453070528131649</v>
      </c>
    </row>
    <row r="1349" ht="15.75" customHeight="1">
      <c r="A1349" s="3">
        <v>45048.0</v>
      </c>
      <c r="B1349" s="17">
        <v>410.84</v>
      </c>
      <c r="C1349" s="18">
        <f t="shared" si="2"/>
        <v>-0.0113028371</v>
      </c>
      <c r="D1349" s="18">
        <v>0.004618878598945739</v>
      </c>
    </row>
    <row r="1350" ht="15.75" customHeight="1">
      <c r="A1350" s="3">
        <v>45049.0</v>
      </c>
      <c r="B1350" s="17">
        <v>408.02</v>
      </c>
      <c r="C1350" s="18">
        <f t="shared" si="2"/>
        <v>-0.006887651487</v>
      </c>
      <c r="D1350" s="18">
        <v>-0.004095419662168753</v>
      </c>
    </row>
    <row r="1351" ht="15.75" customHeight="1">
      <c r="A1351" s="3">
        <v>45050.0</v>
      </c>
      <c r="B1351" s="17">
        <v>405.13</v>
      </c>
      <c r="C1351" s="18">
        <f t="shared" si="2"/>
        <v>-0.007108189555</v>
      </c>
      <c r="D1351" s="18">
        <v>8.792570501369544E-4</v>
      </c>
    </row>
    <row r="1352" ht="15.75" customHeight="1">
      <c r="A1352" s="3">
        <v>45051.0</v>
      </c>
      <c r="B1352" s="17">
        <v>412.63</v>
      </c>
      <c r="C1352" s="18">
        <f t="shared" si="2"/>
        <v>0.01834330438</v>
      </c>
      <c r="D1352" s="18">
        <v>0.0030493568824876056</v>
      </c>
    </row>
    <row r="1353" ht="15.75" customHeight="1">
      <c r="A1353" s="3">
        <v>45054.0</v>
      </c>
      <c r="B1353" s="17">
        <v>412.74</v>
      </c>
      <c r="C1353" s="18">
        <f t="shared" si="2"/>
        <v>0.0002665471259</v>
      </c>
      <c r="D1353" s="18">
        <v>0.006139955446559224</v>
      </c>
    </row>
    <row r="1354" ht="15.75" customHeight="1">
      <c r="A1354" s="3">
        <v>45055.0</v>
      </c>
      <c r="B1354" s="17">
        <v>410.93</v>
      </c>
      <c r="C1354" s="18">
        <f t="shared" si="2"/>
        <v>-0.004394971077</v>
      </c>
      <c r="D1354" s="18">
        <v>0.0015696446385872539</v>
      </c>
    </row>
    <row r="1355" ht="15.75" customHeight="1">
      <c r="A1355" s="3">
        <v>45056.0</v>
      </c>
      <c r="B1355" s="17">
        <v>412.85</v>
      </c>
      <c r="C1355" s="18">
        <f t="shared" si="2"/>
        <v>0.004661447174</v>
      </c>
      <c r="D1355" s="18">
        <v>-0.0031954315015527207</v>
      </c>
    </row>
    <row r="1356" ht="15.75" customHeight="1">
      <c r="A1356" s="3">
        <v>45057.0</v>
      </c>
      <c r="B1356" s="17">
        <v>412.13</v>
      </c>
      <c r="C1356" s="18">
        <f t="shared" si="2"/>
        <v>-0.001745497304</v>
      </c>
      <c r="D1356" s="18">
        <v>0.005049558042988848</v>
      </c>
    </row>
    <row r="1357" ht="15.75" customHeight="1">
      <c r="A1357" s="3">
        <v>45058.0</v>
      </c>
      <c r="B1357" s="17">
        <v>411.59</v>
      </c>
      <c r="C1357" s="18">
        <f t="shared" si="2"/>
        <v>-0.001311125327</v>
      </c>
      <c r="D1357" s="18">
        <v>-0.0024987248255072757</v>
      </c>
    </row>
    <row r="1358" ht="15.75" customHeight="1">
      <c r="A1358" s="3">
        <v>45061.0</v>
      </c>
      <c r="B1358" s="17">
        <v>413.01</v>
      </c>
      <c r="C1358" s="18">
        <f t="shared" si="2"/>
        <v>0.003444097511</v>
      </c>
      <c r="D1358" s="18">
        <v>-5.415377551520104E-4</v>
      </c>
    </row>
    <row r="1359" ht="15.75" customHeight="1">
      <c r="A1359" s="3">
        <v>45062.0</v>
      </c>
      <c r="B1359" s="17">
        <v>410.25</v>
      </c>
      <c r="C1359" s="18">
        <f t="shared" si="2"/>
        <v>-0.006705075773</v>
      </c>
      <c r="D1359" s="18">
        <v>0.001581607617834176</v>
      </c>
    </row>
    <row r="1360" ht="15.75" customHeight="1">
      <c r="A1360" s="3">
        <v>45063.0</v>
      </c>
      <c r="B1360" s="17">
        <v>415.23</v>
      </c>
      <c r="C1360" s="18">
        <f t="shared" si="2"/>
        <v>0.01206585361</v>
      </c>
      <c r="D1360" s="18">
        <v>-0.0010383699568780333</v>
      </c>
    </row>
    <row r="1361" ht="15.75" customHeight="1">
      <c r="A1361" s="3">
        <v>45064.0</v>
      </c>
      <c r="B1361" s="17">
        <v>419.23</v>
      </c>
      <c r="C1361" s="18">
        <f t="shared" si="2"/>
        <v>0.009587111755</v>
      </c>
      <c r="D1361" s="18">
        <v>-0.0036565181246718216</v>
      </c>
    </row>
    <row r="1362" ht="15.75" customHeight="1">
      <c r="A1362" s="3">
        <v>45065.0</v>
      </c>
      <c r="B1362" s="17">
        <v>418.62</v>
      </c>
      <c r="C1362" s="18">
        <f t="shared" si="2"/>
        <v>-0.001456108152</v>
      </c>
      <c r="D1362" s="18">
        <v>0.0076681639696527335</v>
      </c>
    </row>
    <row r="1363" ht="15.75" customHeight="1">
      <c r="A1363" s="3">
        <v>45068.0</v>
      </c>
      <c r="B1363" s="17">
        <v>418.79</v>
      </c>
      <c r="C1363" s="18">
        <f t="shared" si="2"/>
        <v>0.0004060137862</v>
      </c>
      <c r="D1363" s="18">
        <v>0.006000715006762471</v>
      </c>
    </row>
    <row r="1364" ht="15.75" customHeight="1">
      <c r="A1364" s="3">
        <v>45069.0</v>
      </c>
      <c r="B1364" s="17">
        <v>414.09</v>
      </c>
      <c r="C1364" s="18">
        <f t="shared" si="2"/>
        <v>-0.01128625946</v>
      </c>
      <c r="D1364" s="18">
        <v>-0.002681821735225636</v>
      </c>
    </row>
    <row r="1365" ht="15.75" customHeight="1">
      <c r="A1365" s="3">
        <v>45070.0</v>
      </c>
      <c r="B1365" s="17">
        <v>411.09</v>
      </c>
      <c r="C1365" s="18">
        <f t="shared" si="2"/>
        <v>-0.007271172877</v>
      </c>
      <c r="D1365" s="18">
        <v>-0.002875358944948642</v>
      </c>
    </row>
    <row r="1366" ht="15.75" customHeight="1">
      <c r="A1366" s="3">
        <v>45071.0</v>
      </c>
      <c r="B1366" s="17">
        <v>414.65</v>
      </c>
      <c r="C1366" s="18">
        <f t="shared" si="2"/>
        <v>0.008622622271</v>
      </c>
      <c r="D1366" s="18">
        <v>3.776879345308782E-4</v>
      </c>
    </row>
    <row r="1367" ht="15.75" customHeight="1">
      <c r="A1367" s="3">
        <v>45072.0</v>
      </c>
      <c r="B1367" s="17">
        <v>420.02</v>
      </c>
      <c r="C1367" s="18">
        <f t="shared" si="2"/>
        <v>0.01286753829</v>
      </c>
      <c r="D1367" s="18">
        <v>0.008326549281870304</v>
      </c>
    </row>
    <row r="1368" ht="15.75" customHeight="1">
      <c r="A1368" s="3">
        <v>45076.0</v>
      </c>
      <c r="B1368" s="17">
        <v>420.18</v>
      </c>
      <c r="C1368" s="18">
        <f t="shared" si="2"/>
        <v>0.0003808617042</v>
      </c>
      <c r="D1368" s="18">
        <v>6.126094616003808E-4</v>
      </c>
    </row>
    <row r="1369" ht="15.75" customHeight="1">
      <c r="A1369" s="3">
        <v>45077.0</v>
      </c>
      <c r="B1369" s="17">
        <v>417.85</v>
      </c>
      <c r="C1369" s="18">
        <f t="shared" si="2"/>
        <v>-0.005560674448</v>
      </c>
      <c r="D1369" s="18">
        <v>9.982914536164974E-5</v>
      </c>
    </row>
    <row r="1370" ht="15.75" customHeight="1">
      <c r="A1370" s="3">
        <v>45078.0</v>
      </c>
      <c r="B1370" s="17">
        <v>421.82</v>
      </c>
      <c r="C1370" s="18">
        <f t="shared" si="2"/>
        <v>0.00945616631</v>
      </c>
      <c r="D1370" s="18">
        <v>0.00808766882287867</v>
      </c>
    </row>
    <row r="1371" ht="15.75" customHeight="1">
      <c r="A1371" s="3">
        <v>45079.0</v>
      </c>
      <c r="B1371" s="17">
        <v>427.92</v>
      </c>
      <c r="C1371" s="18">
        <f t="shared" si="2"/>
        <v>0.01435757947</v>
      </c>
      <c r="D1371" s="18">
        <v>-1.1831957769266244E-4</v>
      </c>
    </row>
    <row r="1372" ht="15.75" customHeight="1">
      <c r="A1372" s="3">
        <v>45082.0</v>
      </c>
      <c r="B1372" s="17">
        <v>427.1</v>
      </c>
      <c r="C1372" s="18">
        <f t="shared" si="2"/>
        <v>-0.001918084376</v>
      </c>
      <c r="D1372" s="18">
        <v>-0.0027778804240248304</v>
      </c>
    </row>
    <row r="1373" ht="15.75" customHeight="1">
      <c r="A1373" s="3">
        <v>45083.0</v>
      </c>
      <c r="B1373" s="17">
        <v>428.03</v>
      </c>
      <c r="C1373" s="18">
        <f t="shared" si="2"/>
        <v>0.002175108736</v>
      </c>
      <c r="D1373" s="18">
        <v>-0.003972013877299511</v>
      </c>
    </row>
    <row r="1374" ht="15.75" customHeight="1">
      <c r="A1374" s="3">
        <v>45084.0</v>
      </c>
      <c r="B1374" s="17">
        <v>426.55</v>
      </c>
      <c r="C1374" s="18">
        <f t="shared" si="2"/>
        <v>-0.003463693229</v>
      </c>
      <c r="D1374" s="18">
        <v>-3.9577810262255385E-4</v>
      </c>
    </row>
    <row r="1375" ht="15.75" customHeight="1">
      <c r="A1375" s="3">
        <v>45085.0</v>
      </c>
      <c r="B1375" s="17">
        <v>429.13</v>
      </c>
      <c r="C1375" s="18">
        <f t="shared" si="2"/>
        <v>0.006030309972</v>
      </c>
      <c r="D1375" s="18">
        <v>0.009488837007702653</v>
      </c>
    </row>
    <row r="1376" ht="15.75" customHeight="1">
      <c r="A1376" s="3">
        <v>45086.0</v>
      </c>
      <c r="B1376" s="17">
        <v>429.9</v>
      </c>
      <c r="C1376" s="18">
        <f t="shared" si="2"/>
        <v>0.001792720176</v>
      </c>
      <c r="D1376" s="18">
        <v>-0.0014613212380196815</v>
      </c>
    </row>
    <row r="1377" ht="15.75" customHeight="1">
      <c r="A1377" s="3">
        <v>45089.0</v>
      </c>
      <c r="B1377" s="17">
        <v>433.8</v>
      </c>
      <c r="C1377" s="18">
        <f t="shared" si="2"/>
        <v>0.009030974891</v>
      </c>
      <c r="D1377" s="18">
        <v>0.0028645616932916167</v>
      </c>
    </row>
    <row r="1378" ht="15.75" customHeight="1">
      <c r="A1378" s="3">
        <v>45090.0</v>
      </c>
      <c r="B1378" s="17">
        <v>436.66</v>
      </c>
      <c r="C1378" s="18">
        <f t="shared" si="2"/>
        <v>0.006571261842</v>
      </c>
      <c r="D1378" s="18">
        <v>-0.0019214725833536473</v>
      </c>
    </row>
    <row r="1379" ht="15.75" customHeight="1">
      <c r="A1379" s="3">
        <v>45091.0</v>
      </c>
      <c r="B1379" s="17">
        <v>437.18</v>
      </c>
      <c r="C1379" s="18">
        <f t="shared" si="2"/>
        <v>0.001190149367</v>
      </c>
      <c r="D1379" s="18">
        <v>0.0010378085068664259</v>
      </c>
    </row>
    <row r="1380" ht="15.75" customHeight="1">
      <c r="A1380" s="3">
        <v>45092.0</v>
      </c>
      <c r="B1380" s="17">
        <v>442.6</v>
      </c>
      <c r="C1380" s="18">
        <f t="shared" si="2"/>
        <v>0.01232141802</v>
      </c>
      <c r="D1380" s="18">
        <v>-0.00699711989213931</v>
      </c>
    </row>
    <row r="1381" ht="15.75" customHeight="1">
      <c r="A1381" s="3">
        <v>45093.0</v>
      </c>
      <c r="B1381" s="17">
        <v>439.46</v>
      </c>
      <c r="C1381" s="18">
        <f t="shared" si="2"/>
        <v>-0.007119727148</v>
      </c>
      <c r="D1381" s="18">
        <v>1.6743251226836588E-4</v>
      </c>
    </row>
    <row r="1382" ht="15.75" customHeight="1">
      <c r="A1382" s="3">
        <v>45096.0</v>
      </c>
      <c r="B1382" s="17"/>
      <c r="C1382" s="18">
        <v>0.0</v>
      </c>
      <c r="D1382" s="18">
        <v>0.0</v>
      </c>
    </row>
    <row r="1383" ht="15.75" customHeight="1">
      <c r="A1383" s="3">
        <v>45097.0</v>
      </c>
      <c r="B1383" s="17">
        <v>437.18</v>
      </c>
      <c r="C1383" s="18">
        <f>LN(B1383/B1381)</f>
        <v>-0.005201690867</v>
      </c>
      <c r="D1383" s="18">
        <v>-0.0020199201027282653</v>
      </c>
    </row>
    <row r="1384" ht="15.75" customHeight="1">
      <c r="A1384" s="3">
        <v>45098.0</v>
      </c>
      <c r="B1384" s="17">
        <v>434.94</v>
      </c>
      <c r="C1384" s="18">
        <f t="shared" ref="C1384:C1516" si="3">LN(B1384/B1383)</f>
        <v>-0.005136919061</v>
      </c>
      <c r="D1384" s="18">
        <v>0.007503569132432383</v>
      </c>
    </row>
    <row r="1385" ht="15.75" customHeight="1">
      <c r="A1385" s="3">
        <v>45099.0</v>
      </c>
      <c r="B1385" s="17">
        <v>436.51</v>
      </c>
      <c r="C1385" s="18">
        <f t="shared" si="3"/>
        <v>0.003603193984</v>
      </c>
      <c r="D1385" s="18">
        <v>0.0061216952098998665</v>
      </c>
    </row>
    <row r="1386" ht="15.75" customHeight="1">
      <c r="A1386" s="3">
        <v>45100.0</v>
      </c>
      <c r="B1386" s="17">
        <v>433.21</v>
      </c>
      <c r="C1386" s="18">
        <f t="shared" si="3"/>
        <v>-0.007588685638</v>
      </c>
      <c r="D1386" s="18">
        <v>-0.0097521678310122</v>
      </c>
    </row>
    <row r="1387" ht="15.75" customHeight="1">
      <c r="A1387" s="3">
        <v>45103.0</v>
      </c>
      <c r="B1387" s="17">
        <v>431.44</v>
      </c>
      <c r="C1387" s="18">
        <f t="shared" si="3"/>
        <v>-0.004094147857</v>
      </c>
      <c r="D1387" s="18">
        <v>0.008743413339032047</v>
      </c>
    </row>
    <row r="1388" ht="15.75" customHeight="1">
      <c r="A1388" s="3">
        <v>45104.0</v>
      </c>
      <c r="B1388" s="17">
        <v>436.17</v>
      </c>
      <c r="C1388" s="18">
        <f t="shared" si="3"/>
        <v>0.01090362458</v>
      </c>
      <c r="D1388" s="18">
        <v>0.0028900505961885637</v>
      </c>
    </row>
    <row r="1389" ht="15.75" customHeight="1">
      <c r="A1389" s="3">
        <v>45105.0</v>
      </c>
      <c r="B1389" s="17">
        <v>436.39</v>
      </c>
      <c r="C1389" s="18">
        <f t="shared" si="3"/>
        <v>0.0005042633278</v>
      </c>
      <c r="D1389" s="18">
        <v>0.005828374753523209</v>
      </c>
    </row>
    <row r="1390" ht="15.75" customHeight="1">
      <c r="A1390" s="3">
        <v>45106.0</v>
      </c>
      <c r="B1390" s="17">
        <v>438.11</v>
      </c>
      <c r="C1390" s="18">
        <f t="shared" si="3"/>
        <v>0.003933681459</v>
      </c>
      <c r="D1390" s="18">
        <v>0.004312824042125585</v>
      </c>
    </row>
    <row r="1391" ht="15.75" customHeight="1">
      <c r="A1391" s="3">
        <v>45107.0</v>
      </c>
      <c r="B1391" s="17">
        <v>443.28</v>
      </c>
      <c r="C1391" s="18">
        <f t="shared" si="3"/>
        <v>0.01173160416</v>
      </c>
      <c r="D1391" s="18">
        <v>0.010593784893127034</v>
      </c>
    </row>
    <row r="1392" ht="15.75" customHeight="1">
      <c r="A1392" s="3">
        <v>45110.0</v>
      </c>
      <c r="B1392" s="17">
        <v>443.79</v>
      </c>
      <c r="C1392" s="18">
        <f t="shared" si="3"/>
        <v>0.001149853013</v>
      </c>
      <c r="D1392" s="18">
        <v>0.004196589052140228</v>
      </c>
    </row>
    <row r="1393" ht="15.75" customHeight="1">
      <c r="A1393" s="3">
        <v>45112.0</v>
      </c>
      <c r="B1393" s="17">
        <v>443.13</v>
      </c>
      <c r="C1393" s="18">
        <f t="shared" si="3"/>
        <v>-0.001488296852</v>
      </c>
      <c r="D1393" s="18">
        <v>0.00150823366498272</v>
      </c>
    </row>
    <row r="1394" ht="15.75" customHeight="1">
      <c r="A1394" s="3">
        <v>45113.0</v>
      </c>
      <c r="B1394" s="17">
        <v>439.66</v>
      </c>
      <c r="C1394" s="18">
        <f t="shared" si="3"/>
        <v>-0.007861479789</v>
      </c>
      <c r="D1394" s="18">
        <v>-0.006924536312166976</v>
      </c>
    </row>
    <row r="1395" ht="15.75" customHeight="1">
      <c r="A1395" s="3">
        <v>45114.0</v>
      </c>
      <c r="B1395" s="17">
        <v>438.55</v>
      </c>
      <c r="C1395" s="18">
        <f t="shared" si="3"/>
        <v>-0.002527870535</v>
      </c>
      <c r="D1395" s="18">
        <v>0.003921311933586938</v>
      </c>
    </row>
    <row r="1396" ht="15.75" customHeight="1">
      <c r="A1396" s="3">
        <v>45117.0</v>
      </c>
      <c r="B1396" s="17">
        <v>439.66</v>
      </c>
      <c r="C1396" s="18">
        <f t="shared" si="3"/>
        <v>0.002527870535</v>
      </c>
      <c r="D1396" s="18">
        <v>0.003269521337490808</v>
      </c>
    </row>
    <row r="1397" ht="15.75" customHeight="1">
      <c r="A1397" s="3">
        <v>45118.0</v>
      </c>
      <c r="B1397" s="17">
        <v>442.46</v>
      </c>
      <c r="C1397" s="18">
        <f t="shared" si="3"/>
        <v>0.00634836395</v>
      </c>
      <c r="D1397" s="18">
        <v>0.00317680107575107</v>
      </c>
    </row>
    <row r="1398" ht="15.75" customHeight="1">
      <c r="A1398" s="3">
        <v>45119.0</v>
      </c>
      <c r="B1398" s="17">
        <v>446.02</v>
      </c>
      <c r="C1398" s="18">
        <f t="shared" si="3"/>
        <v>0.008013729182</v>
      </c>
      <c r="D1398" s="18">
        <v>-0.003133880977035432</v>
      </c>
    </row>
    <row r="1399" ht="15.75" customHeight="1">
      <c r="A1399" s="3">
        <v>45120.0</v>
      </c>
      <c r="B1399" s="17">
        <v>449.56</v>
      </c>
      <c r="C1399" s="18">
        <f t="shared" si="3"/>
        <v>0.007905532586</v>
      </c>
      <c r="D1399" s="18">
        <v>0.007087201476836372</v>
      </c>
    </row>
    <row r="1400" ht="15.75" customHeight="1">
      <c r="A1400" s="3">
        <v>45121.0</v>
      </c>
      <c r="B1400" s="17">
        <v>449.28</v>
      </c>
      <c r="C1400" s="18">
        <f t="shared" si="3"/>
        <v>-0.0006230252527</v>
      </c>
      <c r="D1400" s="18">
        <v>-0.002075813199037575</v>
      </c>
    </row>
    <row r="1401" ht="15.75" customHeight="1">
      <c r="A1401" s="3">
        <v>45124.0</v>
      </c>
      <c r="B1401" s="17">
        <v>450.84</v>
      </c>
      <c r="C1401" s="18">
        <f t="shared" si="3"/>
        <v>0.003466207976</v>
      </c>
      <c r="D1401" s="18">
        <v>-0.008201683234148367</v>
      </c>
    </row>
    <row r="1402" ht="15.75" customHeight="1">
      <c r="A1402" s="3">
        <v>45125.0</v>
      </c>
      <c r="B1402" s="17">
        <v>454.19</v>
      </c>
      <c r="C1402" s="18">
        <f t="shared" si="3"/>
        <v>0.007403103322</v>
      </c>
      <c r="D1402" s="18">
        <v>1.9005858019471725E-4</v>
      </c>
    </row>
    <row r="1403" ht="15.75" customHeight="1">
      <c r="A1403" s="3">
        <v>45126.0</v>
      </c>
      <c r="B1403" s="17">
        <v>455.2</v>
      </c>
      <c r="C1403" s="18">
        <f t="shared" si="3"/>
        <v>0.002221270116</v>
      </c>
      <c r="D1403" s="18">
        <v>-0.0010764423807367212</v>
      </c>
    </row>
    <row r="1404" ht="15.75" customHeight="1">
      <c r="A1404" s="3">
        <v>45127.0</v>
      </c>
      <c r="B1404" s="17">
        <v>452.18</v>
      </c>
      <c r="C1404" s="18">
        <f t="shared" si="3"/>
        <v>-0.006656552164</v>
      </c>
      <c r="D1404" s="18">
        <v>-3.679684957269599E-4</v>
      </c>
    </row>
    <row r="1405" ht="15.75" customHeight="1">
      <c r="A1405" s="3">
        <v>45128.0</v>
      </c>
      <c r="B1405" s="17">
        <v>452.18</v>
      </c>
      <c r="C1405" s="18">
        <f t="shared" si="3"/>
        <v>0</v>
      </c>
      <c r="D1405" s="18">
        <v>0.012083792406455589</v>
      </c>
    </row>
    <row r="1406" ht="15.75" customHeight="1">
      <c r="A1406" s="3">
        <v>45131.0</v>
      </c>
      <c r="B1406" s="17">
        <v>454.2</v>
      </c>
      <c r="C1406" s="18">
        <f t="shared" si="3"/>
        <v>0.004457299023</v>
      </c>
      <c r="D1406" s="18">
        <v>8.717538259716379E-4</v>
      </c>
    </row>
    <row r="1407" ht="15.75" customHeight="1">
      <c r="A1407" s="3">
        <v>45132.0</v>
      </c>
      <c r="B1407" s="17">
        <v>455.44</v>
      </c>
      <c r="C1407" s="18">
        <f t="shared" si="3"/>
        <v>0.002726354971</v>
      </c>
      <c r="D1407" s="18">
        <v>-0.005837331602626511</v>
      </c>
    </row>
    <row r="1408" ht="15.75" customHeight="1">
      <c r="A1408" s="3">
        <v>45133.0</v>
      </c>
      <c r="B1408" s="17">
        <v>455.51</v>
      </c>
      <c r="C1408" s="18">
        <f t="shared" si="3"/>
        <v>0.000153685713</v>
      </c>
      <c r="D1408" s="18">
        <v>0.0037079628015439367</v>
      </c>
    </row>
    <row r="1409" ht="15.75" customHeight="1">
      <c r="A1409" s="3">
        <v>45134.0</v>
      </c>
      <c r="B1409" s="17">
        <v>452.49</v>
      </c>
      <c r="C1409" s="18">
        <f t="shared" si="3"/>
        <v>-0.006652006908</v>
      </c>
      <c r="D1409" s="18">
        <v>0.005204374545182012</v>
      </c>
    </row>
    <row r="1410" ht="15.75" customHeight="1">
      <c r="A1410" s="3">
        <v>45135.0</v>
      </c>
      <c r="B1410" s="17">
        <v>456.92</v>
      </c>
      <c r="C1410" s="18">
        <f t="shared" si="3"/>
        <v>0.009742657417</v>
      </c>
      <c r="D1410" s="18">
        <v>0.0037783742827101133</v>
      </c>
    </row>
    <row r="1411" ht="15.75" customHeight="1">
      <c r="A1411" s="3">
        <v>45138.0</v>
      </c>
      <c r="B1411" s="17">
        <v>457.79</v>
      </c>
      <c r="C1411" s="18">
        <f t="shared" si="3"/>
        <v>0.001902242814</v>
      </c>
      <c r="D1411" s="18">
        <v>-0.001100166822045972</v>
      </c>
    </row>
    <row r="1412" ht="15.75" customHeight="1">
      <c r="A1412" s="3">
        <v>45139.0</v>
      </c>
      <c r="B1412" s="17">
        <v>456.48</v>
      </c>
      <c r="C1412" s="18">
        <f t="shared" si="3"/>
        <v>-0.002865676215</v>
      </c>
      <c r="D1412" s="18">
        <v>0.00456835002080381</v>
      </c>
    </row>
    <row r="1413" ht="15.75" customHeight="1">
      <c r="A1413" s="3">
        <v>45140.0</v>
      </c>
      <c r="B1413" s="17">
        <v>450.13</v>
      </c>
      <c r="C1413" s="18">
        <f t="shared" si="3"/>
        <v>-0.01400845753</v>
      </c>
      <c r="D1413" s="18">
        <v>-0.005167370878070378</v>
      </c>
    </row>
    <row r="1414" ht="15.75" customHeight="1">
      <c r="A1414" s="3">
        <v>45141.0</v>
      </c>
      <c r="B1414" s="17">
        <v>448.84</v>
      </c>
      <c r="C1414" s="18">
        <f t="shared" si="3"/>
        <v>-0.002869953136</v>
      </c>
      <c r="D1414" s="18">
        <v>3.3813427444920904E-4</v>
      </c>
    </row>
    <row r="1415" ht="15.75" customHeight="1">
      <c r="A1415" s="3">
        <v>45142.0</v>
      </c>
      <c r="B1415" s="17">
        <v>446.81</v>
      </c>
      <c r="C1415" s="18">
        <f t="shared" si="3"/>
        <v>-0.004533028473</v>
      </c>
      <c r="D1415" s="18">
        <v>-0.005011028487365472</v>
      </c>
    </row>
    <row r="1416" ht="15.75" customHeight="1">
      <c r="A1416" s="3">
        <v>45145.0</v>
      </c>
      <c r="B1416" s="17">
        <v>450.71</v>
      </c>
      <c r="C1416" s="18">
        <f t="shared" si="3"/>
        <v>0.008690668835</v>
      </c>
      <c r="D1416" s="18">
        <v>-0.0021802440341235946</v>
      </c>
    </row>
    <row r="1417" ht="15.75" customHeight="1">
      <c r="A1417" s="3">
        <v>45146.0</v>
      </c>
      <c r="B1417" s="17">
        <v>448.75</v>
      </c>
      <c r="C1417" s="18">
        <f t="shared" si="3"/>
        <v>-0.004358177356</v>
      </c>
      <c r="D1417" s="18">
        <v>-0.00223231596383245</v>
      </c>
    </row>
    <row r="1418" ht="15.75" customHeight="1">
      <c r="A1418" s="3">
        <v>45147.0</v>
      </c>
      <c r="B1418" s="17">
        <v>445.75</v>
      </c>
      <c r="C1418" s="18">
        <f t="shared" si="3"/>
        <v>-0.006707683059</v>
      </c>
      <c r="D1418" s="18">
        <v>0.0017168975591571097</v>
      </c>
    </row>
    <row r="1419" ht="15.75" customHeight="1">
      <c r="A1419" s="3">
        <v>45148.0</v>
      </c>
      <c r="B1419" s="17">
        <v>445.91</v>
      </c>
      <c r="C1419" s="18">
        <f t="shared" si="3"/>
        <v>0.0003588811917</v>
      </c>
      <c r="D1419" s="18">
        <v>0.006141127688159561</v>
      </c>
    </row>
    <row r="1420" ht="15.75" customHeight="1">
      <c r="A1420" s="3">
        <v>45149.0</v>
      </c>
      <c r="B1420" s="17">
        <v>445.65</v>
      </c>
      <c r="C1420" s="18">
        <f t="shared" si="3"/>
        <v>-0.0005832473583</v>
      </c>
      <c r="D1420" s="18">
        <v>0.002500686348109184</v>
      </c>
    </row>
    <row r="1421" ht="15.75" customHeight="1">
      <c r="A1421" s="3">
        <v>45152.0</v>
      </c>
      <c r="B1421" s="17">
        <v>448.11</v>
      </c>
      <c r="C1421" s="18">
        <f t="shared" si="3"/>
        <v>0.005504847414</v>
      </c>
      <c r="D1421" s="18">
        <v>1.6555942261230904E-4</v>
      </c>
    </row>
    <row r="1422" ht="15.75" customHeight="1">
      <c r="A1422" s="3">
        <v>45153.0</v>
      </c>
      <c r="B1422" s="17">
        <v>442.89</v>
      </c>
      <c r="C1422" s="18">
        <f t="shared" si="3"/>
        <v>-0.01171730578</v>
      </c>
      <c r="D1422" s="18">
        <v>-0.0012005868339475562</v>
      </c>
    </row>
    <row r="1423" ht="15.75" customHeight="1">
      <c r="A1423" s="3">
        <v>45154.0</v>
      </c>
      <c r="B1423" s="17">
        <v>439.64</v>
      </c>
      <c r="C1423" s="18">
        <f t="shared" si="3"/>
        <v>-0.007365222013</v>
      </c>
      <c r="D1423" s="18">
        <v>1.8353473072584784E-4</v>
      </c>
    </row>
    <row r="1424" ht="15.75" customHeight="1">
      <c r="A1424" s="3">
        <v>45155.0</v>
      </c>
      <c r="B1424" s="17">
        <v>436.29</v>
      </c>
      <c r="C1424" s="18">
        <f t="shared" si="3"/>
        <v>-0.007649050343</v>
      </c>
      <c r="D1424" s="18">
        <v>-0.0041767306073941185</v>
      </c>
    </row>
    <row r="1425" ht="15.75" customHeight="1">
      <c r="A1425" s="3">
        <v>45156.0</v>
      </c>
      <c r="B1425" s="17">
        <v>436.5</v>
      </c>
      <c r="C1425" s="18">
        <f t="shared" si="3"/>
        <v>0.0004812154219</v>
      </c>
      <c r="D1425" s="18">
        <v>-9.072236777397196E-5</v>
      </c>
    </row>
    <row r="1426" ht="15.75" customHeight="1">
      <c r="A1426" s="3">
        <v>45159.0</v>
      </c>
      <c r="B1426" s="17">
        <v>439.34</v>
      </c>
      <c r="C1426" s="18">
        <f t="shared" si="3"/>
        <v>0.006485225506</v>
      </c>
      <c r="D1426" s="18">
        <v>-0.005893108296564443</v>
      </c>
    </row>
    <row r="1427" ht="15.75" customHeight="1">
      <c r="A1427" s="3">
        <v>45160.0</v>
      </c>
      <c r="B1427" s="17">
        <v>438.15</v>
      </c>
      <c r="C1427" s="18">
        <f t="shared" si="3"/>
        <v>-0.002712283284</v>
      </c>
      <c r="D1427" s="18">
        <v>-0.0027094471090341123</v>
      </c>
    </row>
    <row r="1428" ht="15.75" customHeight="1">
      <c r="A1428" s="3">
        <v>45161.0</v>
      </c>
      <c r="B1428" s="17">
        <v>443.03</v>
      </c>
      <c r="C1428" s="18">
        <f t="shared" si="3"/>
        <v>0.01107617034</v>
      </c>
      <c r="D1428" s="18">
        <v>-0.0015095115083158697</v>
      </c>
    </row>
    <row r="1429" ht="15.75" customHeight="1">
      <c r="A1429" s="3">
        <v>45162.0</v>
      </c>
      <c r="B1429" s="17">
        <v>436.89</v>
      </c>
      <c r="C1429" s="18">
        <f t="shared" si="3"/>
        <v>-0.01395604068</v>
      </c>
      <c r="D1429" s="18">
        <v>-0.0011998410200034725</v>
      </c>
    </row>
    <row r="1430" ht="15.75" customHeight="1">
      <c r="A1430" s="3">
        <v>45163.0</v>
      </c>
      <c r="B1430" s="17">
        <v>439.97</v>
      </c>
      <c r="C1430" s="18">
        <f t="shared" si="3"/>
        <v>0.007025095607</v>
      </c>
      <c r="D1430" s="18">
        <v>0.002216209086629585</v>
      </c>
    </row>
    <row r="1431" ht="15.75" customHeight="1">
      <c r="A1431" s="3">
        <v>45166.0</v>
      </c>
      <c r="B1431" s="17">
        <v>442.76</v>
      </c>
      <c r="C1431" s="18">
        <f t="shared" si="3"/>
        <v>0.006321319748</v>
      </c>
      <c r="D1431" s="18">
        <v>0.004097720304104367</v>
      </c>
    </row>
    <row r="1432" ht="15.75" customHeight="1">
      <c r="A1432" s="3">
        <v>45167.0</v>
      </c>
      <c r="B1432" s="17">
        <v>449.16</v>
      </c>
      <c r="C1432" s="18">
        <f t="shared" si="3"/>
        <v>0.01435130919</v>
      </c>
      <c r="D1432" s="18">
        <v>-0.0014607248321781283</v>
      </c>
    </row>
    <row r="1433" ht="15.75" customHeight="1">
      <c r="A1433" s="3">
        <v>45168.0</v>
      </c>
      <c r="B1433" s="17">
        <v>451.01</v>
      </c>
      <c r="C1433" s="18">
        <f t="shared" si="3"/>
        <v>0.004110340502</v>
      </c>
      <c r="D1433" s="18">
        <v>-3.4738901393469616E-5</v>
      </c>
    </row>
    <row r="1434" ht="15.75" customHeight="1">
      <c r="A1434" s="3">
        <v>45169.0</v>
      </c>
      <c r="B1434" s="17">
        <v>450.35</v>
      </c>
      <c r="C1434" s="18">
        <f t="shared" si="3"/>
        <v>-0.001464453976</v>
      </c>
      <c r="D1434" s="18">
        <v>-2.726134605743939E-4</v>
      </c>
    </row>
    <row r="1435" ht="15.75" customHeight="1">
      <c r="A1435" s="3">
        <v>45170.0</v>
      </c>
      <c r="B1435" s="17">
        <v>451.19</v>
      </c>
      <c r="C1435" s="18">
        <f t="shared" si="3"/>
        <v>0.001863478588</v>
      </c>
      <c r="D1435" s="18">
        <v>0.007376179836683314</v>
      </c>
    </row>
    <row r="1436" ht="15.75" customHeight="1">
      <c r="A1436" s="3">
        <v>45174.0</v>
      </c>
      <c r="B1436" s="17">
        <v>449.24</v>
      </c>
      <c r="C1436" s="18">
        <f t="shared" si="3"/>
        <v>-0.004331270723</v>
      </c>
      <c r="D1436" s="18">
        <v>-0.003318625343568855</v>
      </c>
    </row>
    <row r="1437" ht="15.75" customHeight="1">
      <c r="A1437" s="3">
        <v>45175.0</v>
      </c>
      <c r="B1437" s="17">
        <v>446.22</v>
      </c>
      <c r="C1437" s="18">
        <f t="shared" si="3"/>
        <v>-0.006745162152</v>
      </c>
      <c r="D1437" s="18">
        <v>4.5968489861086516E-4</v>
      </c>
    </row>
    <row r="1438" ht="15.75" customHeight="1">
      <c r="A1438" s="3">
        <v>45176.0</v>
      </c>
      <c r="B1438" s="17">
        <v>444.85</v>
      </c>
      <c r="C1438" s="18">
        <f t="shared" si="3"/>
        <v>-0.003074957252</v>
      </c>
      <c r="D1438" s="18">
        <v>0.0015103214804545089</v>
      </c>
    </row>
    <row r="1439" ht="15.75" customHeight="1">
      <c r="A1439" s="3">
        <v>45177.0</v>
      </c>
      <c r="B1439" s="17">
        <v>445.52</v>
      </c>
      <c r="C1439" s="18">
        <f t="shared" si="3"/>
        <v>0.001504992591</v>
      </c>
      <c r="D1439" s="18">
        <v>0.005096100313885755</v>
      </c>
    </row>
    <row r="1440" ht="15.75" customHeight="1">
      <c r="A1440" s="3">
        <v>45180.0</v>
      </c>
      <c r="B1440" s="17">
        <v>448.45</v>
      </c>
      <c r="C1440" s="18">
        <f t="shared" si="3"/>
        <v>0.006555053283</v>
      </c>
      <c r="D1440" s="18">
        <v>0.006478437955514485</v>
      </c>
    </row>
    <row r="1441" ht="15.75" customHeight="1">
      <c r="A1441" s="3">
        <v>45181.0</v>
      </c>
      <c r="B1441" s="17">
        <v>445.99</v>
      </c>
      <c r="C1441" s="18">
        <f t="shared" si="3"/>
        <v>-0.00550066232</v>
      </c>
      <c r="D1441" s="18">
        <v>-8.431281990279258E-4</v>
      </c>
    </row>
    <row r="1442" ht="15.75" customHeight="1">
      <c r="A1442" s="3">
        <v>45182.0</v>
      </c>
      <c r="B1442" s="17">
        <v>446.51</v>
      </c>
      <c r="C1442" s="18">
        <f t="shared" si="3"/>
        <v>0.001165266238</v>
      </c>
      <c r="D1442" s="18">
        <v>-0.0029401528355225796</v>
      </c>
    </row>
    <row r="1443" ht="15.75" customHeight="1">
      <c r="A1443" s="3">
        <v>45183.0</v>
      </c>
      <c r="B1443" s="17">
        <v>450.36</v>
      </c>
      <c r="C1443" s="18">
        <f t="shared" si="3"/>
        <v>0.008585466453</v>
      </c>
      <c r="D1443" s="18">
        <v>0.0019173270593208264</v>
      </c>
    </row>
    <row r="1444" ht="15.75" customHeight="1">
      <c r="A1444" s="3">
        <v>45184.0</v>
      </c>
      <c r="B1444" s="17">
        <v>443.37</v>
      </c>
      <c r="C1444" s="18">
        <f t="shared" si="3"/>
        <v>-0.01564262704</v>
      </c>
      <c r="D1444" s="18">
        <v>-0.0011009039277023258</v>
      </c>
    </row>
    <row r="1445" ht="15.75" customHeight="1">
      <c r="A1445" s="3">
        <v>45187.0</v>
      </c>
      <c r="B1445" s="17">
        <v>443.63</v>
      </c>
      <c r="C1445" s="18">
        <f t="shared" si="3"/>
        <v>0.0005862457891</v>
      </c>
      <c r="D1445" s="18">
        <v>7.888702856589076E-4</v>
      </c>
    </row>
    <row r="1446" ht="15.75" customHeight="1">
      <c r="A1446" s="3">
        <v>45188.0</v>
      </c>
      <c r="B1446" s="17">
        <v>442.71</v>
      </c>
      <c r="C1446" s="18">
        <f t="shared" si="3"/>
        <v>-0.00207595354</v>
      </c>
      <c r="D1446" s="18">
        <v>0.004407096849466913</v>
      </c>
    </row>
    <row r="1447" ht="15.75" customHeight="1">
      <c r="A1447" s="3">
        <v>45189.0</v>
      </c>
      <c r="B1447" s="17">
        <v>438.64</v>
      </c>
      <c r="C1447" s="18">
        <f t="shared" si="3"/>
        <v>-0.009235897048</v>
      </c>
      <c r="D1447" s="18">
        <v>-0.0018880639202412933</v>
      </c>
    </row>
    <row r="1448" ht="15.75" customHeight="1">
      <c r="A1448" s="3">
        <v>45190.0</v>
      </c>
      <c r="B1448" s="17">
        <v>431.39</v>
      </c>
      <c r="C1448" s="18">
        <f t="shared" si="3"/>
        <v>-0.01666647775</v>
      </c>
      <c r="D1448" s="18">
        <v>-0.004371579659108304</v>
      </c>
    </row>
    <row r="1449" ht="15.75" customHeight="1">
      <c r="A1449" s="3">
        <v>45191.0</v>
      </c>
      <c r="B1449" s="17">
        <v>430.42</v>
      </c>
      <c r="C1449" s="18">
        <f t="shared" si="3"/>
        <v>-0.002251077174</v>
      </c>
      <c r="D1449" s="18">
        <v>0.006423481988250082</v>
      </c>
    </row>
    <row r="1450" ht="15.75" customHeight="1">
      <c r="A1450" s="3">
        <v>45194.0</v>
      </c>
      <c r="B1450" s="17">
        <v>432.23</v>
      </c>
      <c r="C1450" s="18">
        <f t="shared" si="3"/>
        <v>0.004196377804</v>
      </c>
      <c r="D1450" s="18">
        <v>0.006019800603558153</v>
      </c>
    </row>
    <row r="1451" ht="15.75" customHeight="1">
      <c r="A1451" s="3">
        <v>45195.0</v>
      </c>
      <c r="B1451" s="17">
        <v>425.88</v>
      </c>
      <c r="C1451" s="18">
        <f t="shared" si="3"/>
        <v>-0.01480023753</v>
      </c>
      <c r="D1451" s="18">
        <v>-0.001928894226932025</v>
      </c>
    </row>
    <row r="1452" ht="15.75" customHeight="1">
      <c r="A1452" s="3">
        <v>45196.0</v>
      </c>
      <c r="B1452" s="17">
        <v>426.05</v>
      </c>
      <c r="C1452" s="18">
        <f t="shared" si="3"/>
        <v>0.0003990938276</v>
      </c>
      <c r="D1452" s="18">
        <v>0.005950600169495435</v>
      </c>
    </row>
    <row r="1453" ht="15.75" customHeight="1">
      <c r="A1453" s="3">
        <v>45197.0</v>
      </c>
      <c r="B1453" s="17">
        <v>428.52</v>
      </c>
      <c r="C1453" s="18">
        <f t="shared" si="3"/>
        <v>0.00578070112</v>
      </c>
      <c r="D1453" s="18">
        <v>0.004379608730112663</v>
      </c>
    </row>
    <row r="1454" ht="15.75" customHeight="1">
      <c r="A1454" s="3">
        <v>45198.0</v>
      </c>
      <c r="B1454" s="17">
        <v>427.48</v>
      </c>
      <c r="C1454" s="18">
        <f t="shared" si="3"/>
        <v>-0.002429907738</v>
      </c>
      <c r="D1454" s="18">
        <v>-0.005189184562280225</v>
      </c>
    </row>
    <row r="1455" ht="15.75" customHeight="1">
      <c r="A1455" s="3">
        <v>45201.0</v>
      </c>
      <c r="B1455" s="17">
        <v>427.31</v>
      </c>
      <c r="C1455" s="18">
        <f t="shared" si="3"/>
        <v>-0.000397758519</v>
      </c>
      <c r="D1455" s="18">
        <v>0.0069218853694413655</v>
      </c>
    </row>
    <row r="1456" ht="15.75" customHeight="1">
      <c r="A1456" s="3">
        <v>45202.0</v>
      </c>
      <c r="B1456" s="17">
        <v>421.59</v>
      </c>
      <c r="C1456" s="18">
        <f t="shared" si="3"/>
        <v>-0.01347646736</v>
      </c>
      <c r="D1456" s="18">
        <v>-0.001137657766250403</v>
      </c>
    </row>
    <row r="1457" ht="15.75" customHeight="1">
      <c r="A1457" s="3">
        <v>45203.0</v>
      </c>
      <c r="B1457" s="17">
        <v>424.66</v>
      </c>
      <c r="C1457" s="18">
        <f t="shared" si="3"/>
        <v>0.007255570973</v>
      </c>
      <c r="D1457" s="18">
        <v>5.747952151954443E-4</v>
      </c>
    </row>
    <row r="1458" ht="15.75" customHeight="1">
      <c r="A1458" s="3">
        <v>45204.0</v>
      </c>
      <c r="B1458" s="17">
        <v>424.5</v>
      </c>
      <c r="C1458" s="18">
        <f t="shared" si="3"/>
        <v>-0.0003768430022</v>
      </c>
      <c r="D1458" s="18">
        <v>-0.0033795181331590916</v>
      </c>
    </row>
    <row r="1459" ht="15.75" customHeight="1">
      <c r="A1459" s="3">
        <v>45205.0</v>
      </c>
      <c r="B1459" s="17">
        <v>429.54</v>
      </c>
      <c r="C1459" s="18">
        <f t="shared" si="3"/>
        <v>0.01180286288</v>
      </c>
      <c r="D1459" s="18">
        <v>-0.002798829794347194</v>
      </c>
    </row>
    <row r="1460" ht="15.75" customHeight="1">
      <c r="A1460" s="3">
        <v>45208.0</v>
      </c>
      <c r="B1460" s="17">
        <v>432.29</v>
      </c>
      <c r="C1460" s="18">
        <f t="shared" si="3"/>
        <v>0.006381790686</v>
      </c>
      <c r="D1460" s="18">
        <v>9.785753745136067E-4</v>
      </c>
    </row>
    <row r="1461" ht="15.75" customHeight="1">
      <c r="A1461" s="3">
        <v>45209.0</v>
      </c>
      <c r="B1461" s="17">
        <v>434.54</v>
      </c>
      <c r="C1461" s="18">
        <f t="shared" si="3"/>
        <v>0.005191340985</v>
      </c>
      <c r="D1461" s="18">
        <v>-0.006485124135739381</v>
      </c>
    </row>
    <row r="1462" ht="15.75" customHeight="1">
      <c r="A1462" s="3">
        <v>45210.0</v>
      </c>
      <c r="B1462" s="17">
        <v>436.32</v>
      </c>
      <c r="C1462" s="18">
        <f t="shared" si="3"/>
        <v>0.00408791879</v>
      </c>
      <c r="D1462" s="18">
        <v>0.007853894999671747</v>
      </c>
    </row>
    <row r="1463" ht="15.75" customHeight="1">
      <c r="A1463" s="3">
        <v>45211.0</v>
      </c>
      <c r="B1463" s="17">
        <v>433.66</v>
      </c>
      <c r="C1463" s="18">
        <f t="shared" si="3"/>
        <v>-0.006115102161</v>
      </c>
      <c r="D1463" s="18">
        <v>-0.0010351958097871287</v>
      </c>
    </row>
    <row r="1464" ht="15.75" customHeight="1">
      <c r="A1464" s="3">
        <v>45212.0</v>
      </c>
      <c r="B1464" s="17">
        <v>431.5</v>
      </c>
      <c r="C1464" s="18">
        <f t="shared" si="3"/>
        <v>-0.004993306413</v>
      </c>
      <c r="D1464" s="18">
        <v>0.001408455186679286</v>
      </c>
    </row>
    <row r="1465" ht="15.75" customHeight="1">
      <c r="A1465" s="3">
        <v>45215.0</v>
      </c>
      <c r="B1465" s="17">
        <v>436.04</v>
      </c>
      <c r="C1465" s="18">
        <f t="shared" si="3"/>
        <v>0.01046647174</v>
      </c>
      <c r="D1465" s="18">
        <v>-0.0011142431524731266</v>
      </c>
    </row>
    <row r="1466" ht="15.75" customHeight="1">
      <c r="A1466" s="3">
        <v>45216.0</v>
      </c>
      <c r="B1466" s="17">
        <v>436.02</v>
      </c>
      <c r="C1466" s="18">
        <f t="shared" si="3"/>
        <v>-0.00004586840356</v>
      </c>
      <c r="D1466" s="18">
        <v>7.098381129140266E-4</v>
      </c>
    </row>
    <row r="1467" ht="15.75" customHeight="1">
      <c r="A1467" s="3">
        <v>45217.0</v>
      </c>
      <c r="B1467" s="17">
        <v>430.21</v>
      </c>
      <c r="C1467" s="18">
        <f t="shared" si="3"/>
        <v>-0.01341465229</v>
      </c>
      <c r="D1467" s="18">
        <v>9.0660739129262E-4</v>
      </c>
    </row>
    <row r="1468" ht="15.75" customHeight="1">
      <c r="A1468" s="3">
        <v>45218.0</v>
      </c>
      <c r="B1468" s="17">
        <v>426.43</v>
      </c>
      <c r="C1468" s="18">
        <f t="shared" si="3"/>
        <v>-0.008825234716</v>
      </c>
      <c r="D1468" s="18">
        <v>7.627798645353637E-5</v>
      </c>
    </row>
    <row r="1469" ht="15.75" customHeight="1">
      <c r="A1469" s="3">
        <v>45219.0</v>
      </c>
      <c r="B1469" s="17">
        <v>421.19</v>
      </c>
      <c r="C1469" s="18">
        <f t="shared" si="3"/>
        <v>-0.01236418856</v>
      </c>
      <c r="D1469" s="18">
        <v>0.0028610704315728767</v>
      </c>
    </row>
    <row r="1470" ht="15.75" customHeight="1">
      <c r="A1470" s="3">
        <v>45222.0</v>
      </c>
      <c r="B1470" s="17">
        <v>420.46</v>
      </c>
      <c r="C1470" s="18">
        <f t="shared" si="3"/>
        <v>-0.001734688251</v>
      </c>
      <c r="D1470" s="18">
        <v>0.0018051153798974997</v>
      </c>
    </row>
    <row r="1471" ht="15.75" customHeight="1">
      <c r="A1471" s="3">
        <v>45223.0</v>
      </c>
      <c r="B1471" s="17">
        <v>423.63</v>
      </c>
      <c r="C1471" s="18">
        <f t="shared" si="3"/>
        <v>0.007511082712</v>
      </c>
      <c r="D1471" s="18">
        <v>0.0022130996721655897</v>
      </c>
    </row>
    <row r="1472" ht="15.75" customHeight="1">
      <c r="A1472" s="3">
        <v>45224.0</v>
      </c>
      <c r="B1472" s="17">
        <v>417.55</v>
      </c>
      <c r="C1472" s="18">
        <f t="shared" si="3"/>
        <v>-0.01445613515</v>
      </c>
      <c r="D1472" s="18">
        <v>-0.0033459615954972107</v>
      </c>
    </row>
    <row r="1473" ht="15.75" customHeight="1">
      <c r="A1473" s="3">
        <v>45225.0</v>
      </c>
      <c r="B1473" s="17">
        <v>412.55</v>
      </c>
      <c r="C1473" s="18">
        <f t="shared" si="3"/>
        <v>-0.01204688705</v>
      </c>
      <c r="D1473" s="18">
        <v>0.002825846671758941</v>
      </c>
    </row>
    <row r="1474" ht="15.75" customHeight="1">
      <c r="A1474" s="3">
        <v>45226.0</v>
      </c>
      <c r="B1474" s="17">
        <v>410.68</v>
      </c>
      <c r="C1474" s="18">
        <f t="shared" si="3"/>
        <v>-0.00454308812</v>
      </c>
      <c r="D1474" s="18">
        <v>0.004409578942181458</v>
      </c>
    </row>
    <row r="1475" ht="15.75" customHeight="1">
      <c r="A1475" s="3">
        <v>45229.0</v>
      </c>
      <c r="B1475" s="17">
        <v>415.59</v>
      </c>
      <c r="C1475" s="18">
        <f t="shared" si="3"/>
        <v>0.01188487491</v>
      </c>
      <c r="D1475" s="18">
        <v>-8.239164386217777E-4</v>
      </c>
    </row>
    <row r="1476" ht="15.75" customHeight="1">
      <c r="A1476" s="3">
        <v>45230.0</v>
      </c>
      <c r="B1476" s="17">
        <v>418.2</v>
      </c>
      <c r="C1476" s="18">
        <f t="shared" si="3"/>
        <v>0.006260589657</v>
      </c>
      <c r="D1476" s="18">
        <v>0.008704602023300947</v>
      </c>
    </row>
    <row r="1477" ht="15.75" customHeight="1">
      <c r="A1477" s="3">
        <v>45231.0</v>
      </c>
      <c r="B1477" s="17">
        <v>422.66</v>
      </c>
      <c r="C1477" s="18">
        <f t="shared" si="3"/>
        <v>0.01060828634</v>
      </c>
      <c r="D1477" s="18">
        <v>9.243139994095987E-4</v>
      </c>
    </row>
    <row r="1478" ht="15.75" customHeight="1">
      <c r="A1478" s="3">
        <v>45232.0</v>
      </c>
      <c r="B1478" s="17">
        <v>430.76</v>
      </c>
      <c r="C1478" s="18">
        <f t="shared" si="3"/>
        <v>0.01898301713</v>
      </c>
      <c r="D1478" s="18">
        <v>-0.005658083630566413</v>
      </c>
    </row>
    <row r="1479" ht="15.75" customHeight="1">
      <c r="A1479" s="3">
        <v>45233.0</v>
      </c>
      <c r="B1479" s="17">
        <v>434.69</v>
      </c>
      <c r="C1479" s="18">
        <f t="shared" si="3"/>
        <v>0.009082042899</v>
      </c>
      <c r="D1479" s="18">
        <v>-0.0016459114517281643</v>
      </c>
    </row>
    <row r="1480" ht="15.75" customHeight="1">
      <c r="A1480" s="3">
        <v>45236.0</v>
      </c>
      <c r="B1480" s="17">
        <v>435.69</v>
      </c>
      <c r="C1480" s="18">
        <f t="shared" si="3"/>
        <v>0.002297847929</v>
      </c>
      <c r="D1480" s="18">
        <v>0.007171124989714961</v>
      </c>
    </row>
    <row r="1481" ht="15.75" customHeight="1">
      <c r="A1481" s="3">
        <v>45237.0</v>
      </c>
      <c r="B1481" s="17">
        <v>436.93</v>
      </c>
      <c r="C1481" s="18">
        <f t="shared" si="3"/>
        <v>0.002842017911</v>
      </c>
      <c r="D1481" s="18">
        <v>0.0031755557163168522</v>
      </c>
    </row>
    <row r="1482" ht="15.75" customHeight="1">
      <c r="A1482" s="3">
        <v>45238.0</v>
      </c>
      <c r="B1482" s="17">
        <v>437.25</v>
      </c>
      <c r="C1482" s="18">
        <f t="shared" si="3"/>
        <v>0.0007321147002</v>
      </c>
      <c r="D1482" s="18">
        <v>8.591967050381356E-4</v>
      </c>
    </row>
    <row r="1483" ht="15.75" customHeight="1">
      <c r="A1483" s="3">
        <v>45239.0</v>
      </c>
      <c r="B1483" s="17">
        <v>433.84</v>
      </c>
      <c r="C1483" s="18">
        <f t="shared" si="3"/>
        <v>-0.007829311366</v>
      </c>
      <c r="D1483" s="18">
        <v>-0.003368294531626137</v>
      </c>
    </row>
    <row r="1484" ht="15.75" customHeight="1">
      <c r="A1484" s="3">
        <v>45240.0</v>
      </c>
      <c r="B1484" s="17">
        <v>440.61</v>
      </c>
      <c r="C1484" s="18">
        <f t="shared" si="3"/>
        <v>0.0154843279</v>
      </c>
      <c r="D1484" s="18">
        <v>0.006772333954911568</v>
      </c>
    </row>
    <row r="1485" ht="15.75" customHeight="1">
      <c r="A1485" s="3">
        <v>45243.0</v>
      </c>
      <c r="B1485" s="17">
        <v>440.19</v>
      </c>
      <c r="C1485" s="18">
        <f t="shared" si="3"/>
        <v>-0.0009536785464</v>
      </c>
      <c r="D1485" s="18">
        <v>0.0037335723506858503</v>
      </c>
    </row>
    <row r="1486" ht="15.75" customHeight="1">
      <c r="A1486" s="3">
        <v>45244.0</v>
      </c>
      <c r="B1486" s="17">
        <v>448.73</v>
      </c>
      <c r="C1486" s="18">
        <f t="shared" si="3"/>
        <v>0.01921491868</v>
      </c>
      <c r="D1486" s="18">
        <v>-0.0017494276804324359</v>
      </c>
    </row>
    <row r="1487" ht="15.75" customHeight="1">
      <c r="A1487" s="3">
        <v>45245.0</v>
      </c>
      <c r="B1487" s="17">
        <v>449.68</v>
      </c>
      <c r="C1487" s="18">
        <f t="shared" si="3"/>
        <v>0.00211484813</v>
      </c>
      <c r="D1487" s="18">
        <v>5.103814952049292E-4</v>
      </c>
    </row>
    <row r="1488" ht="15.75" customHeight="1">
      <c r="A1488" s="3">
        <v>45246.0</v>
      </c>
      <c r="B1488" s="17">
        <v>450.23</v>
      </c>
      <c r="C1488" s="18">
        <f t="shared" si="3"/>
        <v>0.001222344609</v>
      </c>
      <c r="D1488" s="18">
        <v>0.004016825653417456</v>
      </c>
    </row>
    <row r="1489" ht="15.75" customHeight="1">
      <c r="A1489" s="3">
        <v>45247.0</v>
      </c>
      <c r="B1489" s="17">
        <v>450.79</v>
      </c>
      <c r="C1489" s="18">
        <f t="shared" si="3"/>
        <v>0.001243035831</v>
      </c>
      <c r="D1489" s="18">
        <v>0.007718635472165231</v>
      </c>
    </row>
    <row r="1490" ht="15.75" customHeight="1">
      <c r="A1490" s="3">
        <v>45250.0</v>
      </c>
      <c r="B1490" s="17">
        <v>454.26</v>
      </c>
      <c r="C1490" s="18">
        <f t="shared" si="3"/>
        <v>0.00766812221</v>
      </c>
      <c r="D1490" s="18">
        <v>-0.006689697097207339</v>
      </c>
    </row>
    <row r="1491" ht="15.75" customHeight="1">
      <c r="A1491" s="3">
        <v>45251.0</v>
      </c>
      <c r="B1491" s="17">
        <v>453.27</v>
      </c>
      <c r="C1491" s="18">
        <f t="shared" si="3"/>
        <v>-0.002181746923</v>
      </c>
      <c r="D1491" s="18">
        <v>6.112207985430764E-4</v>
      </c>
    </row>
    <row r="1492" ht="15.75" customHeight="1">
      <c r="A1492" s="3">
        <v>45252.0</v>
      </c>
      <c r="B1492" s="17">
        <v>455.02</v>
      </c>
      <c r="C1492" s="18">
        <f t="shared" si="3"/>
        <v>0.003853399609</v>
      </c>
      <c r="D1492" s="18">
        <v>0.0019268757891699028</v>
      </c>
    </row>
    <row r="1493" ht="15.75" customHeight="1">
      <c r="A1493" s="3">
        <v>45254.0</v>
      </c>
      <c r="B1493" s="17">
        <v>455.3</v>
      </c>
      <c r="C1493" s="18">
        <f t="shared" si="3"/>
        <v>0.0006151683119</v>
      </c>
      <c r="D1493" s="18">
        <v>1.9957797734547733E-4</v>
      </c>
    </row>
    <row r="1494" ht="15.75" customHeight="1">
      <c r="A1494" s="3">
        <v>45257.0</v>
      </c>
      <c r="B1494" s="17">
        <v>454.48</v>
      </c>
      <c r="C1494" s="18">
        <f t="shared" si="3"/>
        <v>-0.001802634092</v>
      </c>
      <c r="D1494" s="18">
        <v>-0.00240803175416652</v>
      </c>
    </row>
    <row r="1495" ht="15.75" customHeight="1">
      <c r="A1495" s="3">
        <v>45258.0</v>
      </c>
      <c r="B1495" s="17">
        <v>454.93</v>
      </c>
      <c r="C1495" s="18">
        <f t="shared" si="3"/>
        <v>0.0009896527127</v>
      </c>
      <c r="D1495" s="18">
        <v>0.006493603010581522</v>
      </c>
    </row>
    <row r="1496" ht="15.75" customHeight="1">
      <c r="A1496" s="3">
        <v>45259.0</v>
      </c>
      <c r="B1496" s="17">
        <v>454.61</v>
      </c>
      <c r="C1496" s="18">
        <f t="shared" si="3"/>
        <v>-0.0007036524247</v>
      </c>
      <c r="D1496" s="18">
        <v>0.005810460755980323</v>
      </c>
    </row>
    <row r="1497" ht="15.75" customHeight="1">
      <c r="A1497" s="3">
        <v>45260.0</v>
      </c>
      <c r="B1497" s="17">
        <v>456.4</v>
      </c>
      <c r="C1497" s="18">
        <f t="shared" si="3"/>
        <v>0.003929709451</v>
      </c>
      <c r="D1497" s="18">
        <v>0.004557357099546703</v>
      </c>
    </row>
    <row r="1498" ht="15.75" customHeight="1">
      <c r="A1498" s="3">
        <v>45261.0</v>
      </c>
      <c r="B1498" s="17">
        <v>459.1</v>
      </c>
      <c r="C1498" s="18">
        <f t="shared" si="3"/>
        <v>0.005898433267</v>
      </c>
      <c r="D1498" s="18">
        <v>7.020599095983273E-4</v>
      </c>
    </row>
    <row r="1499" ht="15.75" customHeight="1">
      <c r="A1499" s="3">
        <v>45264.0</v>
      </c>
      <c r="B1499" s="17">
        <v>456.69</v>
      </c>
      <c r="C1499" s="18">
        <f t="shared" si="3"/>
        <v>-0.005263227516</v>
      </c>
      <c r="D1499" s="18">
        <v>0.004088203000521859</v>
      </c>
    </row>
    <row r="1500" ht="15.75" customHeight="1">
      <c r="A1500" s="3">
        <v>45265.0</v>
      </c>
      <c r="B1500" s="17">
        <v>456.6</v>
      </c>
      <c r="C1500" s="18">
        <f t="shared" si="3"/>
        <v>-0.0001970896436</v>
      </c>
      <c r="D1500" s="18">
        <v>-0.0020294645426989465</v>
      </c>
    </row>
    <row r="1501" ht="15.75" customHeight="1">
      <c r="A1501" s="3">
        <v>45266.0</v>
      </c>
      <c r="B1501" s="17">
        <v>454.76</v>
      </c>
      <c r="C1501" s="18">
        <f t="shared" si="3"/>
        <v>-0.004037926835</v>
      </c>
      <c r="D1501" s="18">
        <v>0.008056784168885146</v>
      </c>
    </row>
    <row r="1502" ht="15.75" customHeight="1">
      <c r="A1502" s="3">
        <v>45267.0</v>
      </c>
      <c r="B1502" s="17">
        <v>458.23</v>
      </c>
      <c r="C1502" s="18">
        <f t="shared" si="3"/>
        <v>0.007601434208</v>
      </c>
      <c r="D1502" s="18">
        <v>0.0055597799084216954</v>
      </c>
    </row>
    <row r="1503" ht="15.75" customHeight="1">
      <c r="A1503" s="3">
        <v>45268.0</v>
      </c>
      <c r="B1503" s="17">
        <v>460.2</v>
      </c>
      <c r="C1503" s="18">
        <f t="shared" si="3"/>
        <v>0.004289936133</v>
      </c>
      <c r="D1503" s="18">
        <v>-0.0047474507594690496</v>
      </c>
    </row>
    <row r="1504" ht="15.75" customHeight="1">
      <c r="A1504" s="3">
        <v>45271.0</v>
      </c>
      <c r="B1504" s="17">
        <v>461.99</v>
      </c>
      <c r="C1504" s="18">
        <f t="shared" si="3"/>
        <v>0.003882068225</v>
      </c>
      <c r="D1504" s="18">
        <v>0.001724432454227737</v>
      </c>
    </row>
    <row r="1505" ht="15.75" customHeight="1">
      <c r="A1505" s="3">
        <v>45272.0</v>
      </c>
      <c r="B1505" s="17">
        <v>464.1</v>
      </c>
      <c r="C1505" s="18">
        <f t="shared" si="3"/>
        <v>0.004556800421</v>
      </c>
      <c r="D1505" s="18">
        <v>0.0014712136695369123</v>
      </c>
    </row>
    <row r="1506" ht="15.75" customHeight="1">
      <c r="A1506" s="3">
        <v>45273.0</v>
      </c>
      <c r="B1506" s="17">
        <v>470.5</v>
      </c>
      <c r="C1506" s="18">
        <f t="shared" si="3"/>
        <v>0.01369591278</v>
      </c>
      <c r="D1506" s="18">
        <v>-0.00772831123096261</v>
      </c>
    </row>
    <row r="1507" ht="15.75" customHeight="1">
      <c r="A1507" s="3">
        <v>45274.0</v>
      </c>
      <c r="B1507" s="17">
        <v>472.01</v>
      </c>
      <c r="C1507" s="18">
        <f t="shared" si="3"/>
        <v>0.003204212776</v>
      </c>
      <c r="D1507" s="18">
        <v>0.013964916451222768</v>
      </c>
    </row>
    <row r="1508" ht="15.75" customHeight="1">
      <c r="A1508" s="3">
        <v>45275.0</v>
      </c>
      <c r="B1508" s="17">
        <v>469.33</v>
      </c>
      <c r="C1508" s="18">
        <f t="shared" si="3"/>
        <v>-0.00569402605</v>
      </c>
      <c r="D1508" s="18">
        <v>0.007365768071233105</v>
      </c>
    </row>
    <row r="1509" ht="15.75" customHeight="1">
      <c r="A1509" s="3">
        <v>45278.0</v>
      </c>
      <c r="B1509" s="17">
        <v>471.97</v>
      </c>
      <c r="C1509" s="18">
        <f t="shared" si="3"/>
        <v>0.005609278492</v>
      </c>
      <c r="D1509" s="18">
        <v>0.018795823414208115</v>
      </c>
    </row>
    <row r="1510" ht="15.75" customHeight="1">
      <c r="A1510" s="3">
        <v>45279.0</v>
      </c>
      <c r="B1510" s="17">
        <v>474.84</v>
      </c>
      <c r="C1510" s="18">
        <f t="shared" si="3"/>
        <v>0.006062480942</v>
      </c>
      <c r="D1510" s="18">
        <v>0.007597599794943558</v>
      </c>
    </row>
    <row r="1511" ht="15.75" customHeight="1">
      <c r="A1511" s="3">
        <v>45280.0</v>
      </c>
      <c r="B1511" s="17">
        <v>468.26</v>
      </c>
      <c r="C1511" s="18">
        <f t="shared" si="3"/>
        <v>-0.01395420798</v>
      </c>
      <c r="D1511" s="18">
        <v>0.0024592464070318245</v>
      </c>
    </row>
    <row r="1512" ht="15.75" customHeight="1">
      <c r="A1512" s="3">
        <v>45281.0</v>
      </c>
      <c r="B1512" s="17">
        <v>472.7</v>
      </c>
      <c r="C1512" s="18">
        <f t="shared" si="3"/>
        <v>0.00943724059</v>
      </c>
      <c r="D1512" s="18">
        <v>0.002768567968974443</v>
      </c>
    </row>
    <row r="1513" ht="15.75" customHeight="1">
      <c r="A1513" s="3">
        <v>45282.0</v>
      </c>
      <c r="B1513" s="17">
        <v>473.65</v>
      </c>
      <c r="C1513" s="18">
        <f t="shared" si="3"/>
        <v>0.002007714522</v>
      </c>
      <c r="D1513" s="18">
        <v>0.004921214111046759</v>
      </c>
    </row>
    <row r="1514" ht="15.75" customHeight="1">
      <c r="A1514" s="3">
        <v>45286.0</v>
      </c>
      <c r="B1514" s="17">
        <v>475.65</v>
      </c>
      <c r="C1514" s="18">
        <f t="shared" si="3"/>
        <v>0.004213637331</v>
      </c>
      <c r="D1514" s="18">
        <v>0.0051036687154020315</v>
      </c>
    </row>
    <row r="1515" ht="15.75" customHeight="1">
      <c r="A1515" s="3">
        <v>45287.0</v>
      </c>
      <c r="B1515" s="17">
        <v>476.51</v>
      </c>
      <c r="C1515" s="18">
        <f t="shared" si="3"/>
        <v>0.00180641958</v>
      </c>
      <c r="D1515" s="18">
        <v>0.0019487647555802151</v>
      </c>
    </row>
    <row r="1516" ht="15.75" customHeight="1">
      <c r="A1516" s="3">
        <v>45288.0</v>
      </c>
      <c r="B1516" s="17">
        <v>476.69</v>
      </c>
      <c r="C1516" s="18">
        <f t="shared" si="3"/>
        <v>0.0003776752038</v>
      </c>
      <c r="D1516" s="18">
        <v>0.003139002195171552</v>
      </c>
    </row>
    <row r="1517" ht="15.75" customHeight="1"/>
    <row r="1518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29"/>
    <col customWidth="1" min="3" max="26" width="10.71"/>
  </cols>
  <sheetData>
    <row r="2">
      <c r="B2" s="19">
        <v>2.0180102E7</v>
      </c>
      <c r="C2" s="2" t="s">
        <v>2431</v>
      </c>
      <c r="D2" s="2" t="s">
        <v>2432</v>
      </c>
      <c r="E2" s="2" t="s">
        <v>2433</v>
      </c>
      <c r="F2" s="2" t="s">
        <v>2434</v>
      </c>
    </row>
    <row r="3">
      <c r="B3" s="19">
        <v>2.0180103E7</v>
      </c>
      <c r="C3" s="2" t="s">
        <v>2435</v>
      </c>
      <c r="D3" s="2" t="s">
        <v>2436</v>
      </c>
      <c r="E3" s="2" t="s">
        <v>2437</v>
      </c>
      <c r="F3" s="2" t="s">
        <v>2434</v>
      </c>
    </row>
    <row r="4">
      <c r="B4" s="19">
        <v>2.0180104E7</v>
      </c>
      <c r="C4" s="2" t="s">
        <v>2438</v>
      </c>
      <c r="D4" s="2" t="s">
        <v>2439</v>
      </c>
      <c r="E4" s="2" t="s">
        <v>2440</v>
      </c>
      <c r="F4" s="2" t="s">
        <v>2434</v>
      </c>
    </row>
    <row r="5">
      <c r="B5" s="19">
        <v>2.0180105E7</v>
      </c>
      <c r="C5" s="2" t="s">
        <v>2441</v>
      </c>
      <c r="D5" s="2" t="s">
        <v>2442</v>
      </c>
      <c r="E5" s="2" t="s">
        <v>2439</v>
      </c>
      <c r="F5" s="2" t="s">
        <v>2434</v>
      </c>
    </row>
    <row r="6">
      <c r="B6" s="19">
        <v>2.0180108E7</v>
      </c>
      <c r="C6" s="2" t="s">
        <v>2443</v>
      </c>
      <c r="D6" s="2" t="s">
        <v>2444</v>
      </c>
      <c r="E6" s="2" t="s">
        <v>2445</v>
      </c>
      <c r="F6" s="2" t="s">
        <v>2434</v>
      </c>
    </row>
    <row r="7">
      <c r="B7" s="19">
        <v>2.0180109E7</v>
      </c>
      <c r="C7" s="2" t="s">
        <v>2446</v>
      </c>
      <c r="D7" s="2" t="s">
        <v>2442</v>
      </c>
      <c r="E7" s="2" t="s">
        <v>2447</v>
      </c>
      <c r="F7" s="2" t="s">
        <v>2434</v>
      </c>
    </row>
    <row r="8">
      <c r="B8" s="19">
        <v>2.018011E7</v>
      </c>
      <c r="C8" s="2" t="s">
        <v>2448</v>
      </c>
      <c r="D8" s="2" t="s">
        <v>2449</v>
      </c>
      <c r="E8" s="2" t="s">
        <v>2450</v>
      </c>
      <c r="F8" s="2" t="s">
        <v>2434</v>
      </c>
    </row>
    <row r="9">
      <c r="B9" s="19">
        <v>2.0180111E7</v>
      </c>
      <c r="C9" s="2" t="s">
        <v>2451</v>
      </c>
      <c r="D9" s="2" t="s">
        <v>2452</v>
      </c>
      <c r="E9" s="2" t="s">
        <v>2453</v>
      </c>
      <c r="F9" s="2" t="s">
        <v>2434</v>
      </c>
    </row>
    <row r="10">
      <c r="B10" s="19">
        <v>2.0180112E7</v>
      </c>
      <c r="C10" s="2" t="s">
        <v>2441</v>
      </c>
      <c r="D10" s="2" t="s">
        <v>2454</v>
      </c>
      <c r="E10" s="2" t="s">
        <v>2455</v>
      </c>
      <c r="F10" s="2" t="s">
        <v>2434</v>
      </c>
    </row>
    <row r="11">
      <c r="B11" s="19">
        <v>2.0180116E7</v>
      </c>
      <c r="C11" s="2" t="s">
        <v>2456</v>
      </c>
      <c r="D11" s="2" t="s">
        <v>2457</v>
      </c>
      <c r="E11" s="2" t="s">
        <v>2458</v>
      </c>
      <c r="F11" s="2" t="s">
        <v>2434</v>
      </c>
    </row>
    <row r="12">
      <c r="B12" s="19">
        <v>2.0180117E7</v>
      </c>
      <c r="C12" s="2" t="s">
        <v>2459</v>
      </c>
      <c r="D12" s="2" t="s">
        <v>2460</v>
      </c>
      <c r="E12" s="2" t="s">
        <v>2461</v>
      </c>
      <c r="F12" s="2" t="s">
        <v>2434</v>
      </c>
    </row>
    <row r="13">
      <c r="B13" s="19">
        <v>2.0180118E7</v>
      </c>
      <c r="C13" s="2" t="s">
        <v>2437</v>
      </c>
      <c r="D13" s="2" t="s">
        <v>2462</v>
      </c>
      <c r="E13" s="2" t="s">
        <v>2463</v>
      </c>
      <c r="F13" s="2" t="s">
        <v>2434</v>
      </c>
    </row>
    <row r="14">
      <c r="B14" s="19">
        <v>2.0180119E7</v>
      </c>
      <c r="C14" s="2" t="s">
        <v>2450</v>
      </c>
      <c r="D14" s="2" t="s">
        <v>2464</v>
      </c>
      <c r="E14" s="2" t="s">
        <v>2447</v>
      </c>
      <c r="F14" s="2" t="s">
        <v>2434</v>
      </c>
    </row>
    <row r="15">
      <c r="B15" s="19">
        <v>2.0180122E7</v>
      </c>
      <c r="C15" s="2" t="s">
        <v>2465</v>
      </c>
      <c r="D15" s="2" t="s">
        <v>2466</v>
      </c>
      <c r="E15" s="2" t="s">
        <v>2467</v>
      </c>
      <c r="F15" s="2" t="s">
        <v>2434</v>
      </c>
    </row>
    <row r="16">
      <c r="B16" s="19">
        <v>2.0180123E7</v>
      </c>
      <c r="C16" s="2" t="s">
        <v>2468</v>
      </c>
      <c r="D16" s="2" t="s">
        <v>2469</v>
      </c>
      <c r="E16" s="2" t="s">
        <v>2470</v>
      </c>
      <c r="F16" s="2" t="s">
        <v>2434</v>
      </c>
    </row>
    <row r="17">
      <c r="B17" s="19">
        <v>2.0180124E7</v>
      </c>
      <c r="C17" s="2" t="s">
        <v>2471</v>
      </c>
      <c r="D17" s="2" t="s">
        <v>2472</v>
      </c>
      <c r="E17" s="2" t="s">
        <v>2473</v>
      </c>
      <c r="F17" s="2" t="s">
        <v>2434</v>
      </c>
    </row>
    <row r="18">
      <c r="B18" s="19">
        <v>2.0180125E7</v>
      </c>
      <c r="C18" s="2" t="s">
        <v>2449</v>
      </c>
      <c r="D18" s="2" t="s">
        <v>2469</v>
      </c>
      <c r="E18" s="2" t="s">
        <v>2474</v>
      </c>
      <c r="F18" s="2" t="s">
        <v>2434</v>
      </c>
    </row>
    <row r="19">
      <c r="B19" s="19">
        <v>2.0180126E7</v>
      </c>
      <c r="C19" s="2" t="s">
        <v>2475</v>
      </c>
      <c r="D19" s="2" t="s">
        <v>2476</v>
      </c>
      <c r="E19" s="2" t="s">
        <v>2477</v>
      </c>
      <c r="F19" s="2" t="s">
        <v>2434</v>
      </c>
    </row>
    <row r="20">
      <c r="B20" s="19">
        <v>2.0180129E7</v>
      </c>
      <c r="C20" s="2" t="s">
        <v>2478</v>
      </c>
      <c r="D20" s="2" t="s">
        <v>2479</v>
      </c>
      <c r="E20" s="2" t="s">
        <v>2463</v>
      </c>
      <c r="F20" s="2" t="s">
        <v>2434</v>
      </c>
    </row>
    <row r="21" ht="15.75" customHeight="1">
      <c r="B21" s="19">
        <v>2.018013E7</v>
      </c>
      <c r="C21" s="2" t="s">
        <v>2480</v>
      </c>
      <c r="D21" s="2" t="s">
        <v>2469</v>
      </c>
      <c r="E21" s="2" t="s">
        <v>2481</v>
      </c>
      <c r="F21" s="2" t="s">
        <v>2434</v>
      </c>
    </row>
    <row r="22" ht="15.75" customHeight="1">
      <c r="B22" s="19">
        <v>2.0180131E7</v>
      </c>
      <c r="C22" s="2" t="s">
        <v>2448</v>
      </c>
      <c r="D22" s="2" t="s">
        <v>2482</v>
      </c>
      <c r="E22" s="2" t="s">
        <v>2483</v>
      </c>
      <c r="F22" s="2" t="s">
        <v>2434</v>
      </c>
    </row>
    <row r="23" ht="15.75" customHeight="1">
      <c r="B23" s="19">
        <v>2.0180201E7</v>
      </c>
      <c r="C23" s="2" t="s">
        <v>2484</v>
      </c>
      <c r="D23" s="2" t="s">
        <v>2485</v>
      </c>
      <c r="E23" s="2" t="s">
        <v>2486</v>
      </c>
      <c r="F23" s="2" t="s">
        <v>2434</v>
      </c>
    </row>
    <row r="24" ht="15.75" customHeight="1">
      <c r="B24" s="19">
        <v>2.0180202E7</v>
      </c>
      <c r="C24" s="2" t="s">
        <v>2487</v>
      </c>
      <c r="D24" s="2" t="s">
        <v>2488</v>
      </c>
      <c r="E24" s="2" t="s">
        <v>2489</v>
      </c>
      <c r="F24" s="2" t="s">
        <v>2434</v>
      </c>
    </row>
    <row r="25" ht="15.75" customHeight="1">
      <c r="B25" s="19">
        <v>2.0180205E7</v>
      </c>
      <c r="C25" s="2" t="s">
        <v>2490</v>
      </c>
      <c r="D25" s="2" t="s">
        <v>2491</v>
      </c>
      <c r="E25" s="2" t="s">
        <v>2492</v>
      </c>
      <c r="F25" s="2" t="s">
        <v>2434</v>
      </c>
    </row>
    <row r="26" ht="15.75" customHeight="1">
      <c r="B26" s="19">
        <v>2.0180206E7</v>
      </c>
      <c r="C26" s="2" t="s">
        <v>2493</v>
      </c>
      <c r="D26" s="2" t="s">
        <v>2494</v>
      </c>
      <c r="E26" s="2" t="s">
        <v>2437</v>
      </c>
      <c r="F26" s="2" t="s">
        <v>2434</v>
      </c>
    </row>
    <row r="27" ht="15.75" customHeight="1">
      <c r="B27" s="19">
        <v>2.0180207E7</v>
      </c>
      <c r="C27" s="2" t="s">
        <v>2495</v>
      </c>
      <c r="D27" s="2" t="s">
        <v>2496</v>
      </c>
      <c r="E27" s="2" t="s">
        <v>2497</v>
      </c>
      <c r="F27" s="2" t="s">
        <v>2434</v>
      </c>
    </row>
    <row r="28" ht="15.75" customHeight="1">
      <c r="B28" s="19">
        <v>2.0180208E7</v>
      </c>
      <c r="C28" s="2" t="s">
        <v>2498</v>
      </c>
      <c r="D28" s="2" t="s">
        <v>2499</v>
      </c>
      <c r="E28" s="2" t="s">
        <v>2500</v>
      </c>
      <c r="F28" s="2" t="s">
        <v>2434</v>
      </c>
    </row>
    <row r="29" ht="15.75" customHeight="1">
      <c r="B29" s="19">
        <v>2.0180209E7</v>
      </c>
      <c r="C29" s="2" t="s">
        <v>2501</v>
      </c>
      <c r="D29" s="2" t="s">
        <v>2492</v>
      </c>
      <c r="E29" s="2" t="s">
        <v>2446</v>
      </c>
      <c r="F29" s="2" t="s">
        <v>2434</v>
      </c>
    </row>
    <row r="30" ht="15.75" customHeight="1">
      <c r="B30" s="19">
        <v>2.0180212E7</v>
      </c>
      <c r="C30" s="2" t="s">
        <v>2501</v>
      </c>
      <c r="D30" s="2" t="s">
        <v>2502</v>
      </c>
      <c r="E30" s="2" t="s">
        <v>2489</v>
      </c>
      <c r="F30" s="2" t="s">
        <v>2434</v>
      </c>
    </row>
    <row r="31" ht="15.75" customHeight="1">
      <c r="B31" s="19">
        <v>2.0180213E7</v>
      </c>
      <c r="C31" s="2" t="s">
        <v>2453</v>
      </c>
      <c r="D31" s="2" t="s">
        <v>2485</v>
      </c>
      <c r="E31" s="2" t="s">
        <v>2503</v>
      </c>
      <c r="F31" s="2" t="s">
        <v>2434</v>
      </c>
    </row>
    <row r="32" ht="15.75" customHeight="1">
      <c r="B32" s="19">
        <v>2.0180214E7</v>
      </c>
      <c r="C32" s="2" t="s">
        <v>2504</v>
      </c>
      <c r="D32" s="2" t="s">
        <v>2505</v>
      </c>
      <c r="E32" s="2" t="s">
        <v>2506</v>
      </c>
      <c r="F32" s="2" t="s">
        <v>2434</v>
      </c>
    </row>
    <row r="33" ht="15.75" customHeight="1">
      <c r="B33" s="19">
        <v>2.0180215E7</v>
      </c>
      <c r="C33" s="2" t="s">
        <v>2507</v>
      </c>
      <c r="D33" s="2" t="s">
        <v>2508</v>
      </c>
      <c r="E33" s="2" t="s">
        <v>2509</v>
      </c>
      <c r="F33" s="2" t="s">
        <v>2434</v>
      </c>
    </row>
    <row r="34" ht="15.75" customHeight="1">
      <c r="B34" s="19">
        <v>2.0180216E7</v>
      </c>
      <c r="C34" s="2" t="s">
        <v>2484</v>
      </c>
      <c r="D34" s="2" t="s">
        <v>2510</v>
      </c>
      <c r="E34" s="2" t="s">
        <v>2455</v>
      </c>
      <c r="F34" s="2" t="s">
        <v>2434</v>
      </c>
    </row>
    <row r="35" ht="15.75" customHeight="1">
      <c r="B35" s="19">
        <v>2.018022E7</v>
      </c>
      <c r="C35" s="2" t="s">
        <v>2478</v>
      </c>
      <c r="D35" s="2" t="s">
        <v>2470</v>
      </c>
      <c r="E35" s="2" t="s">
        <v>2503</v>
      </c>
      <c r="F35" s="2" t="s">
        <v>2434</v>
      </c>
    </row>
    <row r="36" ht="15.75" customHeight="1">
      <c r="B36" s="19">
        <v>2.0180221E7</v>
      </c>
      <c r="C36" s="2" t="s">
        <v>2511</v>
      </c>
      <c r="D36" s="2" t="s">
        <v>2512</v>
      </c>
      <c r="E36" s="2" t="s">
        <v>2513</v>
      </c>
      <c r="F36" s="2" t="s">
        <v>2434</v>
      </c>
    </row>
    <row r="37" ht="15.75" customHeight="1">
      <c r="B37" s="19">
        <v>2.0180222E7</v>
      </c>
      <c r="C37" s="2" t="s">
        <v>2458</v>
      </c>
      <c r="D37" s="2" t="s">
        <v>2445</v>
      </c>
      <c r="E37" s="2" t="s">
        <v>2514</v>
      </c>
      <c r="F37" s="2" t="s">
        <v>2434</v>
      </c>
    </row>
    <row r="38" ht="15.75" customHeight="1">
      <c r="B38" s="19">
        <v>2.0180223E7</v>
      </c>
      <c r="C38" s="2" t="s">
        <v>2515</v>
      </c>
      <c r="D38" s="2" t="s">
        <v>2495</v>
      </c>
      <c r="E38" s="2" t="s">
        <v>2444</v>
      </c>
      <c r="F38" s="2" t="s">
        <v>2434</v>
      </c>
    </row>
    <row r="39" ht="15.75" customHeight="1">
      <c r="B39" s="19">
        <v>2.0180226E7</v>
      </c>
      <c r="C39" s="2" t="s">
        <v>2516</v>
      </c>
      <c r="D39" s="2" t="s">
        <v>2477</v>
      </c>
      <c r="E39" s="2" t="s">
        <v>2448</v>
      </c>
      <c r="F39" s="2" t="s">
        <v>2434</v>
      </c>
    </row>
    <row r="40" ht="15.75" customHeight="1">
      <c r="B40" s="19">
        <v>2.0180227E7</v>
      </c>
      <c r="C40" s="2" t="s">
        <v>2517</v>
      </c>
      <c r="D40" s="2" t="s">
        <v>2518</v>
      </c>
      <c r="E40" s="2" t="s">
        <v>2484</v>
      </c>
      <c r="F40" s="2" t="s">
        <v>2434</v>
      </c>
    </row>
    <row r="41" ht="15.75" customHeight="1">
      <c r="B41" s="19">
        <v>2.0180228E7</v>
      </c>
      <c r="C41" s="2" t="s">
        <v>2519</v>
      </c>
      <c r="D41" s="2" t="s">
        <v>2520</v>
      </c>
      <c r="E41" s="2" t="s">
        <v>2454</v>
      </c>
      <c r="F41" s="2" t="s">
        <v>2434</v>
      </c>
    </row>
    <row r="42" ht="15.75" customHeight="1">
      <c r="B42" s="19">
        <v>2.0180301E7</v>
      </c>
      <c r="C42" s="2" t="s">
        <v>2521</v>
      </c>
      <c r="D42" s="2" t="s">
        <v>2522</v>
      </c>
      <c r="E42" s="2" t="s">
        <v>2479</v>
      </c>
      <c r="F42" s="2" t="s">
        <v>2523</v>
      </c>
    </row>
    <row r="43" ht="15.75" customHeight="1">
      <c r="B43" s="19">
        <v>2.0180302E7</v>
      </c>
      <c r="C43" s="2" t="s">
        <v>2524</v>
      </c>
      <c r="D43" s="2" t="s">
        <v>2525</v>
      </c>
      <c r="E43" s="2" t="s">
        <v>2456</v>
      </c>
      <c r="F43" s="2" t="s">
        <v>2523</v>
      </c>
    </row>
    <row r="44" ht="15.75" customHeight="1">
      <c r="B44" s="19">
        <v>2.0180305E7</v>
      </c>
      <c r="C44" s="2" t="s">
        <v>2526</v>
      </c>
      <c r="D44" s="2" t="s">
        <v>2436</v>
      </c>
      <c r="E44" s="2" t="s">
        <v>2513</v>
      </c>
      <c r="F44" s="2" t="s">
        <v>2523</v>
      </c>
    </row>
    <row r="45" ht="15.75" customHeight="1">
      <c r="B45" s="19">
        <v>2.0180306E7</v>
      </c>
      <c r="C45" s="2" t="s">
        <v>2510</v>
      </c>
      <c r="D45" s="2" t="s">
        <v>2527</v>
      </c>
      <c r="E45" s="2" t="s">
        <v>2528</v>
      </c>
      <c r="F45" s="2" t="s">
        <v>2523</v>
      </c>
    </row>
    <row r="46" ht="15.75" customHeight="1">
      <c r="B46" s="19">
        <v>2.0180307E7</v>
      </c>
      <c r="C46" s="2" t="s">
        <v>2445</v>
      </c>
      <c r="D46" s="2" t="s">
        <v>2491</v>
      </c>
      <c r="E46" s="2" t="s">
        <v>2529</v>
      </c>
      <c r="F46" s="2" t="s">
        <v>2523</v>
      </c>
    </row>
    <row r="47" ht="15.75" customHeight="1">
      <c r="B47" s="19">
        <v>2.0180308E7</v>
      </c>
      <c r="C47" s="2" t="s">
        <v>2530</v>
      </c>
      <c r="D47" s="2" t="s">
        <v>2531</v>
      </c>
      <c r="E47" s="2" t="s">
        <v>2470</v>
      </c>
      <c r="F47" s="2" t="s">
        <v>2523</v>
      </c>
    </row>
    <row r="48" ht="15.75" customHeight="1">
      <c r="B48" s="19">
        <v>2.0180309E7</v>
      </c>
      <c r="C48" s="2" t="s">
        <v>2532</v>
      </c>
      <c r="D48" s="2" t="s">
        <v>2463</v>
      </c>
      <c r="E48" s="2" t="s">
        <v>2533</v>
      </c>
      <c r="F48" s="2" t="s">
        <v>2523</v>
      </c>
    </row>
    <row r="49" ht="15.75" customHeight="1">
      <c r="B49" s="19">
        <v>2.0180312E7</v>
      </c>
      <c r="C49" s="2" t="s">
        <v>2534</v>
      </c>
      <c r="D49" s="2" t="s">
        <v>2535</v>
      </c>
      <c r="E49" s="2" t="s">
        <v>2536</v>
      </c>
      <c r="F49" s="2" t="s">
        <v>2523</v>
      </c>
    </row>
    <row r="50" ht="15.75" customHeight="1">
      <c r="B50" s="19">
        <v>2.0180313E7</v>
      </c>
      <c r="C50" s="2" t="s">
        <v>2537</v>
      </c>
      <c r="D50" s="2" t="s">
        <v>2485</v>
      </c>
      <c r="E50" s="2" t="s">
        <v>2484</v>
      </c>
      <c r="F50" s="2" t="s">
        <v>2523</v>
      </c>
    </row>
    <row r="51" ht="15.75" customHeight="1">
      <c r="B51" s="19">
        <v>2.0180314E7</v>
      </c>
      <c r="C51" s="2" t="s">
        <v>2538</v>
      </c>
      <c r="D51" s="2" t="s">
        <v>2513</v>
      </c>
      <c r="E51" s="2" t="s">
        <v>2539</v>
      </c>
      <c r="F51" s="2" t="s">
        <v>2523</v>
      </c>
    </row>
    <row r="52" ht="15.75" customHeight="1">
      <c r="B52" s="19">
        <v>2.0180315E7</v>
      </c>
      <c r="C52" s="2" t="s">
        <v>2437</v>
      </c>
      <c r="D52" s="2" t="s">
        <v>2436</v>
      </c>
      <c r="E52" s="2" t="s">
        <v>2540</v>
      </c>
      <c r="F52" s="2" t="s">
        <v>2523</v>
      </c>
    </row>
    <row r="53" ht="15.75" customHeight="1">
      <c r="B53" s="19">
        <v>2.0180316E7</v>
      </c>
      <c r="C53" s="2" t="s">
        <v>2541</v>
      </c>
      <c r="D53" s="2" t="s">
        <v>2535</v>
      </c>
      <c r="E53" s="2" t="s">
        <v>2542</v>
      </c>
      <c r="F53" s="2" t="s">
        <v>2523</v>
      </c>
    </row>
    <row r="54" ht="15.75" customHeight="1">
      <c r="B54" s="19">
        <v>2.0180319E7</v>
      </c>
      <c r="C54" s="2" t="s">
        <v>2543</v>
      </c>
      <c r="D54" s="2" t="s">
        <v>2432</v>
      </c>
      <c r="E54" s="2" t="s">
        <v>2544</v>
      </c>
      <c r="F54" s="2" t="s">
        <v>2523</v>
      </c>
    </row>
    <row r="55" ht="15.75" customHeight="1">
      <c r="B55" s="19">
        <v>2.018032E7</v>
      </c>
      <c r="C55" s="2" t="s">
        <v>2446</v>
      </c>
      <c r="D55" s="2" t="s">
        <v>2536</v>
      </c>
      <c r="E55" s="2" t="s">
        <v>2470</v>
      </c>
      <c r="F55" s="2" t="s">
        <v>2523</v>
      </c>
    </row>
    <row r="56" ht="15.75" customHeight="1">
      <c r="B56" s="19">
        <v>2.0180321E7</v>
      </c>
      <c r="C56" s="2" t="s">
        <v>2545</v>
      </c>
      <c r="D56" s="2" t="s">
        <v>2546</v>
      </c>
      <c r="E56" s="2" t="s">
        <v>2547</v>
      </c>
      <c r="F56" s="2" t="s">
        <v>2523</v>
      </c>
    </row>
    <row r="57" ht="15.75" customHeight="1">
      <c r="B57" s="19">
        <v>2.0180322E7</v>
      </c>
      <c r="C57" s="2" t="s">
        <v>2548</v>
      </c>
      <c r="D57" s="2" t="s">
        <v>2549</v>
      </c>
      <c r="E57" s="2" t="s">
        <v>2456</v>
      </c>
      <c r="F57" s="2" t="s">
        <v>2523</v>
      </c>
    </row>
    <row r="58" ht="15.75" customHeight="1">
      <c r="B58" s="19">
        <v>2.0180323E7</v>
      </c>
      <c r="C58" s="2" t="s">
        <v>2550</v>
      </c>
      <c r="D58" s="2" t="s">
        <v>2497</v>
      </c>
      <c r="E58" s="2" t="s">
        <v>2551</v>
      </c>
      <c r="F58" s="2" t="s">
        <v>2523</v>
      </c>
    </row>
    <row r="59" ht="15.75" customHeight="1">
      <c r="B59" s="19">
        <v>2.0180326E7</v>
      </c>
      <c r="C59" s="2" t="s">
        <v>2552</v>
      </c>
      <c r="D59" s="2" t="s">
        <v>2553</v>
      </c>
      <c r="E59" s="2" t="s">
        <v>2484</v>
      </c>
      <c r="F59" s="2" t="s">
        <v>2523</v>
      </c>
    </row>
    <row r="60" ht="15.75" customHeight="1">
      <c r="B60" s="19">
        <v>2.0180327E7</v>
      </c>
      <c r="C60" s="2" t="s">
        <v>2554</v>
      </c>
      <c r="D60" s="2" t="s">
        <v>2481</v>
      </c>
      <c r="E60" s="2" t="s">
        <v>2530</v>
      </c>
      <c r="F60" s="2" t="s">
        <v>2523</v>
      </c>
    </row>
    <row r="61" ht="15.75" customHeight="1">
      <c r="B61" s="19">
        <v>2.0180328E7</v>
      </c>
      <c r="C61" s="2" t="s">
        <v>2442</v>
      </c>
      <c r="D61" s="2" t="s">
        <v>2469</v>
      </c>
      <c r="E61" s="2" t="s">
        <v>2555</v>
      </c>
      <c r="F61" s="2" t="s">
        <v>2523</v>
      </c>
    </row>
    <row r="62" ht="15.75" customHeight="1">
      <c r="B62" s="19">
        <v>2.0180329E7</v>
      </c>
      <c r="C62" s="2" t="s">
        <v>2556</v>
      </c>
      <c r="D62" s="2" t="s">
        <v>2557</v>
      </c>
      <c r="E62" s="2" t="s">
        <v>2433</v>
      </c>
      <c r="F62" s="2" t="s">
        <v>2523</v>
      </c>
    </row>
    <row r="63" ht="15.75" customHeight="1">
      <c r="B63" s="19">
        <v>2.0180402E7</v>
      </c>
      <c r="C63" s="2" t="s">
        <v>2558</v>
      </c>
      <c r="D63" s="2" t="s">
        <v>2444</v>
      </c>
      <c r="E63" s="2" t="s">
        <v>2510</v>
      </c>
      <c r="F63" s="2" t="s">
        <v>2559</v>
      </c>
    </row>
    <row r="64" ht="15.75" customHeight="1">
      <c r="B64" s="19">
        <v>2.0180403E7</v>
      </c>
      <c r="C64" s="2" t="s">
        <v>2560</v>
      </c>
      <c r="D64" s="2" t="s">
        <v>2447</v>
      </c>
      <c r="E64" s="2" t="s">
        <v>2443</v>
      </c>
      <c r="F64" s="2" t="s">
        <v>2559</v>
      </c>
    </row>
    <row r="65" ht="15.75" customHeight="1">
      <c r="B65" s="19">
        <v>2.0180404E7</v>
      </c>
      <c r="C65" s="2" t="s">
        <v>2525</v>
      </c>
      <c r="D65" s="2" t="s">
        <v>2561</v>
      </c>
      <c r="E65" s="2" t="s">
        <v>2557</v>
      </c>
      <c r="F65" s="2" t="s">
        <v>2559</v>
      </c>
    </row>
    <row r="66" ht="15.75" customHeight="1">
      <c r="B66" s="19">
        <v>2.0180405E7</v>
      </c>
      <c r="C66" s="2" t="s">
        <v>2546</v>
      </c>
      <c r="D66" s="2" t="s">
        <v>2484</v>
      </c>
      <c r="E66" s="2" t="s">
        <v>2562</v>
      </c>
      <c r="F66" s="2" t="s">
        <v>2559</v>
      </c>
    </row>
    <row r="67" ht="15.75" customHeight="1">
      <c r="B67" s="19">
        <v>2.0180406E7</v>
      </c>
      <c r="C67" s="2" t="s">
        <v>2563</v>
      </c>
      <c r="D67" s="2" t="s">
        <v>2564</v>
      </c>
      <c r="E67" s="2" t="s">
        <v>2545</v>
      </c>
      <c r="F67" s="2" t="s">
        <v>2559</v>
      </c>
    </row>
    <row r="68" ht="15.75" customHeight="1">
      <c r="B68" s="19">
        <v>2.0180409E7</v>
      </c>
      <c r="C68" s="2" t="s">
        <v>2565</v>
      </c>
      <c r="D68" s="2" t="s">
        <v>2444</v>
      </c>
      <c r="E68" s="2" t="s">
        <v>2538</v>
      </c>
      <c r="F68" s="2" t="s">
        <v>2559</v>
      </c>
    </row>
    <row r="69" ht="15.75" customHeight="1">
      <c r="B69" s="19">
        <v>2.018041E7</v>
      </c>
      <c r="C69" s="2" t="s">
        <v>2566</v>
      </c>
      <c r="D69" s="2" t="s">
        <v>2567</v>
      </c>
      <c r="E69" s="2" t="s">
        <v>2568</v>
      </c>
      <c r="F69" s="2" t="s">
        <v>2559</v>
      </c>
    </row>
    <row r="70" ht="15.75" customHeight="1">
      <c r="B70" s="19">
        <v>2.0180411E7</v>
      </c>
      <c r="C70" s="2" t="s">
        <v>2456</v>
      </c>
      <c r="D70" s="2" t="s">
        <v>2569</v>
      </c>
      <c r="E70" s="2" t="s">
        <v>2454</v>
      </c>
      <c r="F70" s="2" t="s">
        <v>2559</v>
      </c>
    </row>
    <row r="71" ht="15.75" customHeight="1">
      <c r="B71" s="19">
        <v>2.0180412E7</v>
      </c>
      <c r="C71" s="2" t="s">
        <v>2570</v>
      </c>
      <c r="D71" s="2" t="s">
        <v>2551</v>
      </c>
      <c r="E71" s="2" t="s">
        <v>2542</v>
      </c>
      <c r="F71" s="2" t="s">
        <v>2559</v>
      </c>
    </row>
    <row r="72" ht="15.75" customHeight="1">
      <c r="B72" s="19">
        <v>2.0180413E7</v>
      </c>
      <c r="C72" s="2" t="s">
        <v>2571</v>
      </c>
      <c r="D72" s="2" t="s">
        <v>2484</v>
      </c>
      <c r="E72" s="2" t="s">
        <v>2503</v>
      </c>
      <c r="F72" s="2" t="s">
        <v>2559</v>
      </c>
    </row>
    <row r="73" ht="15.75" customHeight="1">
      <c r="B73" s="19">
        <v>2.0180416E7</v>
      </c>
      <c r="C73" s="2" t="s">
        <v>2572</v>
      </c>
      <c r="D73" s="2" t="s">
        <v>2485</v>
      </c>
      <c r="E73" s="2" t="s">
        <v>2479</v>
      </c>
      <c r="F73" s="2" t="s">
        <v>2559</v>
      </c>
    </row>
    <row r="74" ht="15.75" customHeight="1">
      <c r="B74" s="19">
        <v>2.0180417E7</v>
      </c>
      <c r="C74" s="2" t="s">
        <v>2573</v>
      </c>
      <c r="D74" s="2" t="s">
        <v>2455</v>
      </c>
      <c r="E74" s="2" t="s">
        <v>2574</v>
      </c>
      <c r="F74" s="2" t="s">
        <v>2559</v>
      </c>
    </row>
    <row r="75" ht="15.75" customHeight="1">
      <c r="B75" s="19">
        <v>2.0180418E7</v>
      </c>
      <c r="C75" s="2" t="s">
        <v>2575</v>
      </c>
      <c r="D75" s="2" t="s">
        <v>2497</v>
      </c>
      <c r="E75" s="2" t="s">
        <v>2576</v>
      </c>
      <c r="F75" s="2" t="s">
        <v>2559</v>
      </c>
    </row>
    <row r="76" ht="15.75" customHeight="1">
      <c r="B76" s="19">
        <v>2.0180419E7</v>
      </c>
      <c r="C76" s="2" t="s">
        <v>2456</v>
      </c>
      <c r="D76" s="2" t="s">
        <v>2577</v>
      </c>
      <c r="E76" s="2" t="s">
        <v>2578</v>
      </c>
      <c r="F76" s="2" t="s">
        <v>2559</v>
      </c>
    </row>
    <row r="77" ht="15.75" customHeight="1">
      <c r="B77" s="19">
        <v>2.018042E7</v>
      </c>
      <c r="C77" s="2" t="s">
        <v>2579</v>
      </c>
      <c r="D77" s="2" t="s">
        <v>2580</v>
      </c>
      <c r="E77" s="2" t="s">
        <v>2581</v>
      </c>
      <c r="F77" s="2" t="s">
        <v>2559</v>
      </c>
    </row>
    <row r="78" ht="15.75" customHeight="1">
      <c r="B78" s="19">
        <v>2.0180423E7</v>
      </c>
      <c r="C78" s="2" t="s">
        <v>2582</v>
      </c>
      <c r="D78" s="2" t="s">
        <v>2448</v>
      </c>
      <c r="E78" s="2" t="s">
        <v>2583</v>
      </c>
      <c r="F78" s="2" t="s">
        <v>2559</v>
      </c>
    </row>
    <row r="79" ht="15.75" customHeight="1">
      <c r="B79" s="19">
        <v>2.0180424E7</v>
      </c>
      <c r="C79" s="2" t="s">
        <v>2584</v>
      </c>
      <c r="D79" s="2" t="s">
        <v>2486</v>
      </c>
      <c r="E79" s="2" t="s">
        <v>2585</v>
      </c>
      <c r="F79" s="2" t="s">
        <v>2559</v>
      </c>
    </row>
    <row r="80" ht="15.75" customHeight="1">
      <c r="B80" s="19">
        <v>2.0180425E7</v>
      </c>
      <c r="C80" s="2" t="s">
        <v>2586</v>
      </c>
      <c r="D80" s="2" t="s">
        <v>2587</v>
      </c>
      <c r="E80" s="2" t="s">
        <v>2485</v>
      </c>
      <c r="F80" s="2" t="s">
        <v>2559</v>
      </c>
    </row>
    <row r="81" ht="15.75" customHeight="1">
      <c r="B81" s="19">
        <v>2.0180426E7</v>
      </c>
      <c r="C81" s="2" t="s">
        <v>2588</v>
      </c>
      <c r="D81" s="2" t="s">
        <v>2436</v>
      </c>
      <c r="E81" s="2" t="s">
        <v>2589</v>
      </c>
      <c r="F81" s="2" t="s">
        <v>2559</v>
      </c>
    </row>
    <row r="82" ht="15.75" customHeight="1">
      <c r="B82" s="19">
        <v>2.0180427E7</v>
      </c>
      <c r="C82" s="2" t="s">
        <v>2458</v>
      </c>
      <c r="D82" s="2" t="s">
        <v>2439</v>
      </c>
      <c r="E82" s="2" t="s">
        <v>2484</v>
      </c>
      <c r="F82" s="2" t="s">
        <v>2559</v>
      </c>
    </row>
    <row r="83" ht="15.75" customHeight="1">
      <c r="B83" s="19">
        <v>2.018043E7</v>
      </c>
      <c r="C83" s="2" t="s">
        <v>2590</v>
      </c>
      <c r="D83" s="2" t="s">
        <v>2576</v>
      </c>
      <c r="E83" s="2" t="s">
        <v>2461</v>
      </c>
      <c r="F83" s="2" t="s">
        <v>2559</v>
      </c>
    </row>
    <row r="84" ht="15.75" customHeight="1">
      <c r="B84" s="19">
        <v>2.0180501E7</v>
      </c>
      <c r="C84" s="2" t="s">
        <v>2440</v>
      </c>
      <c r="D84" s="2" t="s">
        <v>2468</v>
      </c>
      <c r="E84" s="2" t="s">
        <v>2474</v>
      </c>
      <c r="F84" s="2" t="s">
        <v>2434</v>
      </c>
    </row>
    <row r="85" ht="15.75" customHeight="1">
      <c r="B85" s="19">
        <v>2.0180502E7</v>
      </c>
      <c r="C85" s="2" t="s">
        <v>2509</v>
      </c>
      <c r="D85" s="2" t="s">
        <v>2591</v>
      </c>
      <c r="E85" s="2" t="s">
        <v>2470</v>
      </c>
      <c r="F85" s="2" t="s">
        <v>2434</v>
      </c>
    </row>
    <row r="86" ht="15.75" customHeight="1">
      <c r="B86" s="19">
        <v>2.0180503E7</v>
      </c>
      <c r="C86" s="2" t="s">
        <v>2463</v>
      </c>
      <c r="D86" s="2" t="s">
        <v>2494</v>
      </c>
      <c r="E86" s="2" t="s">
        <v>2444</v>
      </c>
      <c r="F86" s="2" t="s">
        <v>2434</v>
      </c>
    </row>
    <row r="87" ht="15.75" customHeight="1">
      <c r="B87" s="19">
        <v>2.0180504E7</v>
      </c>
      <c r="C87" s="2" t="s">
        <v>2592</v>
      </c>
      <c r="D87" s="2" t="s">
        <v>2576</v>
      </c>
      <c r="E87" s="2" t="s">
        <v>2593</v>
      </c>
      <c r="F87" s="2" t="s">
        <v>2434</v>
      </c>
    </row>
    <row r="88" ht="15.75" customHeight="1">
      <c r="B88" s="19">
        <v>2.0180507E7</v>
      </c>
      <c r="C88" s="2" t="s">
        <v>2438</v>
      </c>
      <c r="D88" s="2" t="s">
        <v>2544</v>
      </c>
      <c r="E88" s="2" t="s">
        <v>2466</v>
      </c>
      <c r="F88" s="2" t="s">
        <v>2434</v>
      </c>
    </row>
    <row r="89" ht="15.75" customHeight="1">
      <c r="B89" s="19">
        <v>2.0180508E7</v>
      </c>
      <c r="C89" s="2" t="s">
        <v>2449</v>
      </c>
      <c r="D89" s="2" t="s">
        <v>2506</v>
      </c>
      <c r="E89" s="2" t="s">
        <v>2440</v>
      </c>
      <c r="F89" s="2" t="s">
        <v>2434</v>
      </c>
    </row>
    <row r="90" ht="15.75" customHeight="1">
      <c r="B90" s="19">
        <v>2.0180509E7</v>
      </c>
      <c r="C90" s="2" t="s">
        <v>2594</v>
      </c>
      <c r="D90" s="2" t="s">
        <v>2433</v>
      </c>
      <c r="E90" s="2" t="s">
        <v>2505</v>
      </c>
      <c r="F90" s="2" t="s">
        <v>2434</v>
      </c>
    </row>
    <row r="91" ht="15.75" customHeight="1">
      <c r="B91" s="19">
        <v>2.018051E7</v>
      </c>
      <c r="C91" s="2" t="s">
        <v>2431</v>
      </c>
      <c r="D91" s="2" t="s">
        <v>2511</v>
      </c>
      <c r="E91" s="2" t="s">
        <v>2447</v>
      </c>
      <c r="F91" s="2" t="s">
        <v>2434</v>
      </c>
    </row>
    <row r="92" ht="15.75" customHeight="1">
      <c r="B92" s="19">
        <v>2.0180511E7</v>
      </c>
      <c r="C92" s="2" t="s">
        <v>2443</v>
      </c>
      <c r="D92" s="2" t="s">
        <v>2575</v>
      </c>
      <c r="E92" s="2" t="s">
        <v>2495</v>
      </c>
      <c r="F92" s="2" t="s">
        <v>2434</v>
      </c>
    </row>
    <row r="93" ht="15.75" customHeight="1">
      <c r="B93" s="19">
        <v>2.0180514E7</v>
      </c>
      <c r="C93" s="2" t="s">
        <v>2445</v>
      </c>
      <c r="D93" s="2" t="s">
        <v>2470</v>
      </c>
      <c r="E93" s="2" t="s">
        <v>2586</v>
      </c>
      <c r="F93" s="2" t="s">
        <v>2434</v>
      </c>
    </row>
    <row r="94" ht="15.75" customHeight="1">
      <c r="B94" s="19">
        <v>2.0180515E7</v>
      </c>
      <c r="C94" s="2" t="s">
        <v>2595</v>
      </c>
      <c r="D94" s="2" t="s">
        <v>2596</v>
      </c>
      <c r="E94" s="2" t="s">
        <v>2544</v>
      </c>
      <c r="F94" s="2" t="s">
        <v>2434</v>
      </c>
    </row>
    <row r="95" ht="15.75" customHeight="1">
      <c r="B95" s="19">
        <v>2.0180516E7</v>
      </c>
      <c r="C95" s="2" t="s">
        <v>2597</v>
      </c>
      <c r="D95" s="2" t="s">
        <v>2598</v>
      </c>
      <c r="E95" s="2" t="s">
        <v>2463</v>
      </c>
      <c r="F95" s="2" t="s">
        <v>2434</v>
      </c>
    </row>
    <row r="96" ht="15.75" customHeight="1">
      <c r="B96" s="19">
        <v>2.0180517E7</v>
      </c>
      <c r="C96" s="2" t="s">
        <v>2576</v>
      </c>
      <c r="D96" s="2" t="s">
        <v>2599</v>
      </c>
      <c r="E96" s="2" t="s">
        <v>2565</v>
      </c>
      <c r="F96" s="2" t="s">
        <v>2434</v>
      </c>
    </row>
    <row r="97" ht="15.75" customHeight="1">
      <c r="B97" s="19">
        <v>2.0180518E7</v>
      </c>
      <c r="C97" s="2" t="s">
        <v>2551</v>
      </c>
      <c r="D97" s="2" t="s">
        <v>2450</v>
      </c>
      <c r="E97" s="2" t="s">
        <v>2476</v>
      </c>
      <c r="F97" s="2" t="s">
        <v>2434</v>
      </c>
    </row>
    <row r="98" ht="15.75" customHeight="1">
      <c r="B98" s="19">
        <v>2.0180521E7</v>
      </c>
      <c r="C98" s="2" t="s">
        <v>2600</v>
      </c>
      <c r="D98" s="2" t="s">
        <v>2518</v>
      </c>
      <c r="E98" s="2" t="s">
        <v>2473</v>
      </c>
      <c r="F98" s="2" t="s">
        <v>2434</v>
      </c>
    </row>
    <row r="99" ht="15.75" customHeight="1">
      <c r="B99" s="19">
        <v>2.0180522E7</v>
      </c>
      <c r="C99" s="2" t="s">
        <v>2520</v>
      </c>
      <c r="D99" s="2" t="s">
        <v>2601</v>
      </c>
      <c r="E99" s="2" t="s">
        <v>2602</v>
      </c>
      <c r="F99" s="2" t="s">
        <v>2434</v>
      </c>
    </row>
    <row r="100" ht="15.75" customHeight="1">
      <c r="B100" s="19">
        <v>2.0180523E7</v>
      </c>
      <c r="C100" s="2" t="s">
        <v>2603</v>
      </c>
      <c r="D100" s="2" t="s">
        <v>2445</v>
      </c>
      <c r="E100" s="2" t="s">
        <v>2604</v>
      </c>
      <c r="F100" s="2" t="s">
        <v>2434</v>
      </c>
    </row>
    <row r="101" ht="15.75" customHeight="1">
      <c r="B101" s="19">
        <v>2.0180524E7</v>
      </c>
      <c r="C101" s="2" t="s">
        <v>2467</v>
      </c>
      <c r="D101" s="2" t="s">
        <v>2530</v>
      </c>
      <c r="E101" s="2" t="s">
        <v>2442</v>
      </c>
      <c r="F101" s="2" t="s">
        <v>2434</v>
      </c>
    </row>
    <row r="102" ht="15.75" customHeight="1">
      <c r="B102" s="19">
        <v>2.0180525E7</v>
      </c>
      <c r="C102" s="2" t="s">
        <v>2481</v>
      </c>
      <c r="D102" s="2" t="s">
        <v>2541</v>
      </c>
      <c r="E102" s="2" t="s">
        <v>2605</v>
      </c>
      <c r="F102" s="2" t="s">
        <v>2434</v>
      </c>
    </row>
    <row r="103" ht="15.75" customHeight="1">
      <c r="B103" s="19">
        <v>2.0180529E7</v>
      </c>
      <c r="C103" s="2" t="s">
        <v>2606</v>
      </c>
      <c r="D103" s="2" t="s">
        <v>2607</v>
      </c>
      <c r="E103" s="2" t="s">
        <v>2457</v>
      </c>
      <c r="F103" s="2" t="s">
        <v>2434</v>
      </c>
    </row>
    <row r="104" ht="15.75" customHeight="1">
      <c r="B104" s="19">
        <v>2.018053E7</v>
      </c>
      <c r="C104" s="2" t="s">
        <v>2608</v>
      </c>
      <c r="D104" s="2" t="s">
        <v>2445</v>
      </c>
      <c r="E104" s="2" t="s">
        <v>2530</v>
      </c>
      <c r="F104" s="2" t="s">
        <v>2434</v>
      </c>
    </row>
    <row r="105" ht="15.75" customHeight="1">
      <c r="B105" s="19">
        <v>2.0180531E7</v>
      </c>
      <c r="C105" s="2" t="s">
        <v>2604</v>
      </c>
      <c r="D105" s="2" t="s">
        <v>2449</v>
      </c>
      <c r="E105" s="2" t="s">
        <v>2511</v>
      </c>
      <c r="F105" s="2" t="s">
        <v>2434</v>
      </c>
    </row>
    <row r="106" ht="15.75" customHeight="1">
      <c r="B106" s="19">
        <v>2.0180601E7</v>
      </c>
      <c r="C106" s="2" t="s">
        <v>2526</v>
      </c>
      <c r="D106" s="2" t="s">
        <v>2551</v>
      </c>
      <c r="E106" s="2" t="s">
        <v>2609</v>
      </c>
      <c r="F106" s="2" t="s">
        <v>2434</v>
      </c>
    </row>
    <row r="107" ht="15.75" customHeight="1">
      <c r="B107" s="19">
        <v>2.0180604E7</v>
      </c>
      <c r="C107" s="2" t="s">
        <v>2610</v>
      </c>
      <c r="D107" s="2" t="s">
        <v>2611</v>
      </c>
      <c r="E107" s="2" t="s">
        <v>2612</v>
      </c>
      <c r="F107" s="2" t="s">
        <v>2434</v>
      </c>
    </row>
    <row r="108" ht="15.75" customHeight="1">
      <c r="B108" s="19">
        <v>2.0180605E7</v>
      </c>
      <c r="C108" s="2" t="s">
        <v>2611</v>
      </c>
      <c r="D108" s="2" t="s">
        <v>2572</v>
      </c>
      <c r="E108" s="2" t="s">
        <v>2529</v>
      </c>
      <c r="F108" s="2" t="s">
        <v>2434</v>
      </c>
    </row>
    <row r="109" ht="15.75" customHeight="1">
      <c r="B109" s="19">
        <v>2.0180606E7</v>
      </c>
      <c r="C109" s="2" t="s">
        <v>2613</v>
      </c>
      <c r="D109" s="2" t="s">
        <v>2587</v>
      </c>
      <c r="E109" s="2" t="s">
        <v>2583</v>
      </c>
      <c r="F109" s="2" t="s">
        <v>2434</v>
      </c>
    </row>
    <row r="110" ht="15.75" customHeight="1">
      <c r="B110" s="19">
        <v>2.0180607E7</v>
      </c>
      <c r="C110" s="2" t="s">
        <v>2508</v>
      </c>
      <c r="D110" s="2" t="s">
        <v>2614</v>
      </c>
      <c r="E110" s="2" t="s">
        <v>2615</v>
      </c>
      <c r="F110" s="2" t="s">
        <v>2434</v>
      </c>
    </row>
    <row r="111" ht="15.75" customHeight="1">
      <c r="B111" s="19">
        <v>2.0180608E7</v>
      </c>
      <c r="C111" s="2" t="s">
        <v>2453</v>
      </c>
      <c r="D111" s="2" t="s">
        <v>2485</v>
      </c>
      <c r="E111" s="2" t="s">
        <v>2605</v>
      </c>
      <c r="F111" s="2" t="s">
        <v>2434</v>
      </c>
    </row>
    <row r="112" ht="15.75" customHeight="1">
      <c r="B112" s="19">
        <v>2.0180611E7</v>
      </c>
      <c r="C112" s="2" t="s">
        <v>2528</v>
      </c>
      <c r="D112" s="2" t="s">
        <v>2542</v>
      </c>
      <c r="E112" s="2" t="s">
        <v>2616</v>
      </c>
      <c r="F112" s="2" t="s">
        <v>2434</v>
      </c>
    </row>
    <row r="113" ht="15.75" customHeight="1">
      <c r="B113" s="19">
        <v>2.0180612E7</v>
      </c>
      <c r="C113" s="2" t="s">
        <v>2513</v>
      </c>
      <c r="D113" s="2" t="s">
        <v>2513</v>
      </c>
      <c r="E113" s="2" t="s">
        <v>2509</v>
      </c>
      <c r="F113" s="2" t="s">
        <v>2434</v>
      </c>
    </row>
    <row r="114" ht="15.75" customHeight="1">
      <c r="B114" s="19">
        <v>2.0180613E7</v>
      </c>
      <c r="C114" s="2" t="s">
        <v>2587</v>
      </c>
      <c r="D114" s="2" t="s">
        <v>2485</v>
      </c>
      <c r="E114" s="2" t="s">
        <v>2593</v>
      </c>
      <c r="F114" s="2" t="s">
        <v>2434</v>
      </c>
    </row>
    <row r="115" ht="15.75" customHeight="1">
      <c r="B115" s="19">
        <v>2.0180614E7</v>
      </c>
      <c r="C115" s="2" t="s">
        <v>2617</v>
      </c>
      <c r="D115" s="2" t="s">
        <v>2540</v>
      </c>
      <c r="E115" s="2" t="s">
        <v>2618</v>
      </c>
      <c r="F115" s="2" t="s">
        <v>2434</v>
      </c>
    </row>
    <row r="116" ht="15.75" customHeight="1">
      <c r="B116" s="19">
        <v>2.0180615E7</v>
      </c>
      <c r="C116" s="2" t="s">
        <v>2536</v>
      </c>
      <c r="D116" s="2" t="s">
        <v>2445</v>
      </c>
      <c r="E116" s="2" t="s">
        <v>2463</v>
      </c>
      <c r="F116" s="2" t="s">
        <v>2434</v>
      </c>
    </row>
    <row r="117" ht="15.75" customHeight="1">
      <c r="B117" s="19">
        <v>2.0180618E7</v>
      </c>
      <c r="C117" s="2" t="s">
        <v>2534</v>
      </c>
      <c r="D117" s="2" t="s">
        <v>2600</v>
      </c>
      <c r="E117" s="2" t="s">
        <v>2485</v>
      </c>
      <c r="F117" s="2" t="s">
        <v>2434</v>
      </c>
    </row>
    <row r="118" ht="15.75" customHeight="1">
      <c r="B118" s="19">
        <v>2.0180619E7</v>
      </c>
      <c r="C118" s="2" t="s">
        <v>2495</v>
      </c>
      <c r="D118" s="2" t="s">
        <v>2450</v>
      </c>
      <c r="E118" s="2" t="s">
        <v>2508</v>
      </c>
      <c r="F118" s="2" t="s">
        <v>2434</v>
      </c>
    </row>
    <row r="119" ht="15.75" customHeight="1">
      <c r="B119" s="19">
        <v>2.018062E7</v>
      </c>
      <c r="C119" s="2" t="s">
        <v>2513</v>
      </c>
      <c r="D119" s="2" t="s">
        <v>2619</v>
      </c>
      <c r="E119" s="2" t="s">
        <v>2477</v>
      </c>
      <c r="F119" s="2" t="s">
        <v>2434</v>
      </c>
    </row>
    <row r="120" ht="15.75" customHeight="1">
      <c r="B120" s="19">
        <v>2.0180621E7</v>
      </c>
      <c r="C120" s="2" t="s">
        <v>2620</v>
      </c>
      <c r="D120" s="2" t="s">
        <v>2509</v>
      </c>
      <c r="E120" s="2" t="s">
        <v>2561</v>
      </c>
      <c r="F120" s="2" t="s">
        <v>2434</v>
      </c>
    </row>
    <row r="121" ht="15.75" customHeight="1">
      <c r="B121" s="19">
        <v>2.0180622E7</v>
      </c>
      <c r="C121" s="2" t="s">
        <v>2483</v>
      </c>
      <c r="D121" s="2" t="s">
        <v>2621</v>
      </c>
      <c r="E121" s="2" t="s">
        <v>2562</v>
      </c>
      <c r="F121" s="2" t="s">
        <v>2434</v>
      </c>
    </row>
    <row r="122" ht="15.75" customHeight="1">
      <c r="B122" s="19">
        <v>2.0180625E7</v>
      </c>
      <c r="C122" s="2" t="s">
        <v>2622</v>
      </c>
      <c r="D122" s="2" t="s">
        <v>2474</v>
      </c>
      <c r="E122" s="2" t="s">
        <v>2450</v>
      </c>
      <c r="F122" s="2" t="s">
        <v>2434</v>
      </c>
    </row>
    <row r="123" ht="15.75" customHeight="1">
      <c r="B123" s="19">
        <v>2.0180626E7</v>
      </c>
      <c r="C123" s="2" t="s">
        <v>2617</v>
      </c>
      <c r="D123" s="2" t="s">
        <v>2623</v>
      </c>
      <c r="E123" s="2" t="s">
        <v>2503</v>
      </c>
      <c r="F123" s="2" t="s">
        <v>2434</v>
      </c>
    </row>
    <row r="124" ht="15.75" customHeight="1">
      <c r="B124" s="19">
        <v>2.0180627E7</v>
      </c>
      <c r="C124" s="2" t="s">
        <v>2457</v>
      </c>
      <c r="D124" s="2" t="s">
        <v>2618</v>
      </c>
      <c r="E124" s="2" t="s">
        <v>2510</v>
      </c>
      <c r="F124" s="2" t="s">
        <v>2434</v>
      </c>
    </row>
    <row r="125" ht="15.75" customHeight="1">
      <c r="B125" s="19">
        <v>2.0180628E7</v>
      </c>
      <c r="C125" s="2" t="s">
        <v>2581</v>
      </c>
      <c r="D125" s="2" t="s">
        <v>2437</v>
      </c>
      <c r="E125" s="2" t="s">
        <v>2477</v>
      </c>
      <c r="F125" s="2" t="s">
        <v>2434</v>
      </c>
    </row>
    <row r="126" ht="15.75" customHeight="1">
      <c r="B126" s="19">
        <v>2.0180629E7</v>
      </c>
      <c r="C126" s="2" t="s">
        <v>2449</v>
      </c>
      <c r="D126" s="2" t="s">
        <v>2593</v>
      </c>
      <c r="E126" s="2" t="s">
        <v>2503</v>
      </c>
      <c r="F126" s="2" t="s">
        <v>2434</v>
      </c>
    </row>
    <row r="127" ht="15.75" customHeight="1">
      <c r="B127" s="19">
        <v>2.0180702E7</v>
      </c>
      <c r="C127" s="2" t="s">
        <v>2510</v>
      </c>
      <c r="D127" s="2" t="s">
        <v>2473</v>
      </c>
      <c r="E127" s="2" t="s">
        <v>2463</v>
      </c>
      <c r="F127" s="2" t="s">
        <v>2624</v>
      </c>
    </row>
    <row r="128" ht="15.75" customHeight="1">
      <c r="B128" s="19">
        <v>2.0180703E7</v>
      </c>
      <c r="C128" s="2" t="s">
        <v>2529</v>
      </c>
      <c r="D128" s="2" t="s">
        <v>2499</v>
      </c>
      <c r="E128" s="2" t="s">
        <v>2479</v>
      </c>
      <c r="F128" s="2" t="s">
        <v>2624</v>
      </c>
    </row>
    <row r="129" ht="15.75" customHeight="1">
      <c r="B129" s="19">
        <v>2.0180705E7</v>
      </c>
      <c r="C129" s="2" t="s">
        <v>2451</v>
      </c>
      <c r="D129" s="2" t="s">
        <v>2473</v>
      </c>
      <c r="E129" s="2" t="s">
        <v>2511</v>
      </c>
      <c r="F129" s="2" t="s">
        <v>2624</v>
      </c>
    </row>
    <row r="130" ht="15.75" customHeight="1">
      <c r="B130" s="19">
        <v>2.0180706E7</v>
      </c>
      <c r="C130" s="2" t="s">
        <v>2625</v>
      </c>
      <c r="D130" s="2" t="s">
        <v>2445</v>
      </c>
      <c r="E130" s="2" t="s">
        <v>2614</v>
      </c>
      <c r="F130" s="2" t="s">
        <v>2624</v>
      </c>
    </row>
    <row r="131" ht="15.75" customHeight="1">
      <c r="B131" s="19">
        <v>2.0180709E7</v>
      </c>
      <c r="C131" s="2" t="s">
        <v>2615</v>
      </c>
      <c r="D131" s="2" t="s">
        <v>2514</v>
      </c>
      <c r="E131" s="2" t="s">
        <v>2431</v>
      </c>
      <c r="F131" s="2" t="s">
        <v>2624</v>
      </c>
    </row>
    <row r="132" ht="15.75" customHeight="1">
      <c r="B132" s="19">
        <v>2.018071E7</v>
      </c>
      <c r="C132" s="2" t="s">
        <v>2497</v>
      </c>
      <c r="D132" s="2" t="s">
        <v>2626</v>
      </c>
      <c r="E132" s="2" t="s">
        <v>2616</v>
      </c>
      <c r="F132" s="2" t="s">
        <v>2624</v>
      </c>
    </row>
    <row r="133" ht="15.75" customHeight="1">
      <c r="B133" s="19">
        <v>2.0180711E7</v>
      </c>
      <c r="C133" s="2" t="s">
        <v>2627</v>
      </c>
      <c r="D133" s="2" t="s">
        <v>2479</v>
      </c>
      <c r="E133" s="2" t="s">
        <v>2612</v>
      </c>
      <c r="F133" s="2" t="s">
        <v>2624</v>
      </c>
    </row>
    <row r="134" ht="15.75" customHeight="1">
      <c r="B134" s="19">
        <v>2.0180712E7</v>
      </c>
      <c r="C134" s="2" t="s">
        <v>2613</v>
      </c>
      <c r="D134" s="2" t="s">
        <v>2442</v>
      </c>
      <c r="E134" s="2" t="s">
        <v>2628</v>
      </c>
      <c r="F134" s="2" t="s">
        <v>2624</v>
      </c>
    </row>
    <row r="135" ht="15.75" customHeight="1">
      <c r="B135" s="19">
        <v>2.0180713E7</v>
      </c>
      <c r="C135" s="2" t="s">
        <v>2485</v>
      </c>
      <c r="D135" s="2" t="s">
        <v>2568</v>
      </c>
      <c r="E135" s="2" t="s">
        <v>2614</v>
      </c>
      <c r="F135" s="2" t="s">
        <v>2624</v>
      </c>
    </row>
    <row r="136" ht="15.75" customHeight="1">
      <c r="B136" s="19">
        <v>2.0180716E7</v>
      </c>
      <c r="C136" s="2" t="s">
        <v>2467</v>
      </c>
      <c r="D136" s="2" t="s">
        <v>2626</v>
      </c>
      <c r="E136" s="2" t="s">
        <v>2629</v>
      </c>
      <c r="F136" s="2" t="s">
        <v>2624</v>
      </c>
    </row>
    <row r="137" ht="15.75" customHeight="1">
      <c r="B137" s="19">
        <v>2.0180717E7</v>
      </c>
      <c r="C137" s="2" t="s">
        <v>2610</v>
      </c>
      <c r="D137" s="2" t="s">
        <v>2505</v>
      </c>
      <c r="E137" s="2" t="s">
        <v>2601</v>
      </c>
      <c r="F137" s="2" t="s">
        <v>2624</v>
      </c>
    </row>
    <row r="138" ht="15.75" customHeight="1">
      <c r="B138" s="19">
        <v>2.0180718E7</v>
      </c>
      <c r="C138" s="2" t="s">
        <v>2617</v>
      </c>
      <c r="D138" s="2" t="s">
        <v>2630</v>
      </c>
      <c r="E138" s="2" t="s">
        <v>2596</v>
      </c>
      <c r="F138" s="2" t="s">
        <v>2624</v>
      </c>
    </row>
    <row r="139" ht="15.75" customHeight="1">
      <c r="B139" s="19">
        <v>2.0180719E7</v>
      </c>
      <c r="C139" s="2" t="s">
        <v>2466</v>
      </c>
      <c r="D139" s="2" t="s">
        <v>2588</v>
      </c>
      <c r="E139" s="2" t="s">
        <v>2470</v>
      </c>
      <c r="F139" s="2" t="s">
        <v>2624</v>
      </c>
    </row>
    <row r="140" ht="15.75" customHeight="1">
      <c r="B140" s="19">
        <v>2.018072E7</v>
      </c>
      <c r="C140" s="2" t="s">
        <v>2461</v>
      </c>
      <c r="D140" s="2" t="s">
        <v>2518</v>
      </c>
      <c r="E140" s="2" t="s">
        <v>2528</v>
      </c>
      <c r="F140" s="2" t="s">
        <v>2624</v>
      </c>
    </row>
    <row r="141" ht="15.75" customHeight="1">
      <c r="B141" s="19">
        <v>2.0180723E7</v>
      </c>
      <c r="C141" s="2" t="s">
        <v>2446</v>
      </c>
      <c r="D141" s="2" t="s">
        <v>2614</v>
      </c>
      <c r="E141" s="2" t="s">
        <v>2631</v>
      </c>
      <c r="F141" s="2" t="s">
        <v>2624</v>
      </c>
    </row>
    <row r="142" ht="15.75" customHeight="1">
      <c r="B142" s="19">
        <v>2.0180724E7</v>
      </c>
      <c r="C142" s="2" t="s">
        <v>2468</v>
      </c>
      <c r="D142" s="2" t="s">
        <v>2632</v>
      </c>
      <c r="E142" s="2" t="s">
        <v>2564</v>
      </c>
      <c r="F142" s="2" t="s">
        <v>2624</v>
      </c>
    </row>
    <row r="143" ht="15.75" customHeight="1">
      <c r="B143" s="19">
        <v>2.0180725E7</v>
      </c>
      <c r="C143" s="2" t="s">
        <v>2633</v>
      </c>
      <c r="D143" s="2" t="s">
        <v>2511</v>
      </c>
      <c r="E143" s="2" t="s">
        <v>2480</v>
      </c>
      <c r="F143" s="2" t="s">
        <v>2624</v>
      </c>
    </row>
    <row r="144" ht="15.75" customHeight="1">
      <c r="B144" s="19">
        <v>2.0180726E7</v>
      </c>
      <c r="C144" s="2" t="s">
        <v>2593</v>
      </c>
      <c r="D144" s="2" t="s">
        <v>2634</v>
      </c>
      <c r="E144" s="2" t="s">
        <v>2450</v>
      </c>
      <c r="F144" s="2" t="s">
        <v>2624</v>
      </c>
    </row>
    <row r="145" ht="15.75" customHeight="1">
      <c r="B145" s="19">
        <v>2.0180727E7</v>
      </c>
      <c r="C145" s="2" t="s">
        <v>2635</v>
      </c>
      <c r="D145" s="2" t="s">
        <v>2543</v>
      </c>
      <c r="E145" s="2" t="s">
        <v>2526</v>
      </c>
      <c r="F145" s="2" t="s">
        <v>2624</v>
      </c>
    </row>
    <row r="146" ht="15.75" customHeight="1">
      <c r="B146" s="19">
        <v>2.018073E7</v>
      </c>
      <c r="C146" s="2" t="s">
        <v>2604</v>
      </c>
      <c r="D146" s="2" t="s">
        <v>2481</v>
      </c>
      <c r="E146" s="2" t="s">
        <v>2636</v>
      </c>
      <c r="F146" s="2" t="s">
        <v>2624</v>
      </c>
    </row>
    <row r="147" ht="15.75" customHeight="1">
      <c r="B147" s="19">
        <v>2.0180731E7</v>
      </c>
      <c r="C147" s="2" t="s">
        <v>2549</v>
      </c>
      <c r="D147" s="2" t="s">
        <v>2431</v>
      </c>
      <c r="E147" s="2" t="s">
        <v>2519</v>
      </c>
      <c r="F147" s="2" t="s">
        <v>2624</v>
      </c>
    </row>
    <row r="148" ht="15.75" customHeight="1">
      <c r="B148" s="19">
        <v>2.0180801E7</v>
      </c>
      <c r="C148" s="2" t="s">
        <v>2471</v>
      </c>
      <c r="D148" s="2" t="s">
        <v>2488</v>
      </c>
      <c r="E148" s="2" t="s">
        <v>2518</v>
      </c>
      <c r="F148" s="2" t="s">
        <v>2559</v>
      </c>
    </row>
    <row r="149" ht="15.75" customHeight="1">
      <c r="B149" s="19">
        <v>2.0180802E7</v>
      </c>
      <c r="C149" s="2" t="s">
        <v>2596</v>
      </c>
      <c r="D149" s="2" t="s">
        <v>2453</v>
      </c>
      <c r="E149" s="2" t="s">
        <v>2537</v>
      </c>
      <c r="F149" s="2" t="s">
        <v>2559</v>
      </c>
    </row>
    <row r="150" ht="15.75" customHeight="1">
      <c r="B150" s="19">
        <v>2.0180803E7</v>
      </c>
      <c r="C150" s="2" t="s">
        <v>2453</v>
      </c>
      <c r="D150" s="2" t="s">
        <v>2637</v>
      </c>
      <c r="E150" s="2" t="s">
        <v>2500</v>
      </c>
      <c r="F150" s="2" t="s">
        <v>2559</v>
      </c>
    </row>
    <row r="151" ht="15.75" customHeight="1">
      <c r="B151" s="19">
        <v>2.0180806E7</v>
      </c>
      <c r="C151" s="2" t="s">
        <v>2562</v>
      </c>
      <c r="D151" s="2" t="s">
        <v>2541</v>
      </c>
      <c r="E151" s="2" t="s">
        <v>2466</v>
      </c>
      <c r="F151" s="2" t="s">
        <v>2559</v>
      </c>
    </row>
    <row r="152" ht="15.75" customHeight="1">
      <c r="B152" s="19">
        <v>2.0180807E7</v>
      </c>
      <c r="C152" s="2" t="s">
        <v>2603</v>
      </c>
      <c r="D152" s="2" t="s">
        <v>2484</v>
      </c>
      <c r="E152" s="2" t="s">
        <v>2616</v>
      </c>
      <c r="F152" s="2" t="s">
        <v>2559</v>
      </c>
    </row>
    <row r="153" ht="15.75" customHeight="1">
      <c r="B153" s="19">
        <v>2.0180808E7</v>
      </c>
      <c r="C153" s="2" t="s">
        <v>2447</v>
      </c>
      <c r="D153" s="2" t="s">
        <v>2568</v>
      </c>
      <c r="E153" s="2" t="s">
        <v>2617</v>
      </c>
      <c r="F153" s="2" t="s">
        <v>2559</v>
      </c>
    </row>
    <row r="154" ht="15.75" customHeight="1">
      <c r="B154" s="19">
        <v>2.0180809E7</v>
      </c>
      <c r="C154" s="2" t="s">
        <v>2582</v>
      </c>
      <c r="D154" s="2" t="s">
        <v>2530</v>
      </c>
      <c r="E154" s="2" t="s">
        <v>2442</v>
      </c>
      <c r="F154" s="2" t="s">
        <v>2559</v>
      </c>
    </row>
    <row r="155" ht="15.75" customHeight="1">
      <c r="B155" s="19">
        <v>2.018081E7</v>
      </c>
      <c r="C155" s="2" t="s">
        <v>2638</v>
      </c>
      <c r="D155" s="2" t="s">
        <v>2564</v>
      </c>
      <c r="E155" s="2" t="s">
        <v>2481</v>
      </c>
      <c r="F155" s="2" t="s">
        <v>2559</v>
      </c>
    </row>
    <row r="156" ht="15.75" customHeight="1">
      <c r="B156" s="19">
        <v>2.0180813E7</v>
      </c>
      <c r="C156" s="2" t="s">
        <v>2502</v>
      </c>
      <c r="D156" s="2" t="s">
        <v>2444</v>
      </c>
      <c r="E156" s="2" t="s">
        <v>2489</v>
      </c>
      <c r="F156" s="2" t="s">
        <v>2559</v>
      </c>
    </row>
    <row r="157" ht="15.75" customHeight="1">
      <c r="B157" s="19">
        <v>2.0180814E7</v>
      </c>
      <c r="C157" s="2" t="s">
        <v>2527</v>
      </c>
      <c r="D157" s="2" t="s">
        <v>2453</v>
      </c>
      <c r="E157" s="2" t="s">
        <v>2497</v>
      </c>
      <c r="F157" s="2" t="s">
        <v>2559</v>
      </c>
    </row>
    <row r="158" ht="15.75" customHeight="1">
      <c r="B158" s="19">
        <v>2.0180815E7</v>
      </c>
      <c r="C158" s="2" t="s">
        <v>2639</v>
      </c>
      <c r="D158" s="2" t="s">
        <v>2474</v>
      </c>
      <c r="E158" s="2" t="s">
        <v>2471</v>
      </c>
      <c r="F158" s="2" t="s">
        <v>2559</v>
      </c>
    </row>
    <row r="159" ht="15.75" customHeight="1">
      <c r="B159" s="19">
        <v>2.0180816E7</v>
      </c>
      <c r="C159" s="2" t="s">
        <v>2613</v>
      </c>
      <c r="D159" s="2" t="s">
        <v>2545</v>
      </c>
      <c r="E159" s="2" t="s">
        <v>2541</v>
      </c>
      <c r="F159" s="2" t="s">
        <v>2559</v>
      </c>
    </row>
    <row r="160" ht="15.75" customHeight="1">
      <c r="B160" s="19">
        <v>2.0180817E7</v>
      </c>
      <c r="C160" s="2" t="s">
        <v>2565</v>
      </c>
      <c r="D160" s="2" t="s">
        <v>2640</v>
      </c>
      <c r="E160" s="2" t="s">
        <v>2458</v>
      </c>
      <c r="F160" s="2" t="s">
        <v>2559</v>
      </c>
    </row>
    <row r="161" ht="15.75" customHeight="1">
      <c r="B161" s="19">
        <v>2.018082E7</v>
      </c>
      <c r="C161" s="2" t="s">
        <v>2541</v>
      </c>
      <c r="D161" s="2" t="s">
        <v>2528</v>
      </c>
      <c r="E161" s="2" t="s">
        <v>2469</v>
      </c>
      <c r="F161" s="2" t="s">
        <v>2559</v>
      </c>
    </row>
    <row r="162" ht="15.75" customHeight="1">
      <c r="B162" s="19">
        <v>2.0180821E7</v>
      </c>
      <c r="C162" s="2" t="s">
        <v>2561</v>
      </c>
      <c r="D162" s="2" t="s">
        <v>2641</v>
      </c>
      <c r="E162" s="2" t="s">
        <v>2528</v>
      </c>
      <c r="F162" s="2" t="s">
        <v>2559</v>
      </c>
    </row>
    <row r="163" ht="15.75" customHeight="1">
      <c r="B163" s="19">
        <v>2.0180822E7</v>
      </c>
      <c r="C163" s="2" t="s">
        <v>2445</v>
      </c>
      <c r="D163" s="2" t="s">
        <v>2510</v>
      </c>
      <c r="E163" s="2" t="s">
        <v>2442</v>
      </c>
      <c r="F163" s="2" t="s">
        <v>2559</v>
      </c>
    </row>
    <row r="164" ht="15.75" customHeight="1">
      <c r="B164" s="19">
        <v>2.0180823E7</v>
      </c>
      <c r="C164" s="2" t="s">
        <v>2518</v>
      </c>
      <c r="D164" s="2" t="s">
        <v>2545</v>
      </c>
      <c r="E164" s="2" t="s">
        <v>2557</v>
      </c>
      <c r="F164" s="2" t="s">
        <v>2559</v>
      </c>
    </row>
    <row r="165" ht="15.75" customHeight="1">
      <c r="B165" s="19">
        <v>2.0180824E7</v>
      </c>
      <c r="C165" s="2" t="s">
        <v>2642</v>
      </c>
      <c r="D165" s="2" t="s">
        <v>2479</v>
      </c>
      <c r="E165" s="2" t="s">
        <v>2492</v>
      </c>
      <c r="F165" s="2" t="s">
        <v>2559</v>
      </c>
    </row>
    <row r="166" ht="15.75" customHeight="1">
      <c r="B166" s="19">
        <v>2.0180827E7</v>
      </c>
      <c r="C166" s="2" t="s">
        <v>2643</v>
      </c>
      <c r="D166" s="2" t="s">
        <v>2537</v>
      </c>
      <c r="E166" s="2" t="s">
        <v>2467</v>
      </c>
      <c r="F166" s="2" t="s">
        <v>2559</v>
      </c>
    </row>
    <row r="167" ht="15.75" customHeight="1">
      <c r="B167" s="19">
        <v>2.0180828E7</v>
      </c>
      <c r="C167" s="2" t="s">
        <v>2644</v>
      </c>
      <c r="D167" s="2" t="s">
        <v>2609</v>
      </c>
      <c r="E167" s="2" t="s">
        <v>2503</v>
      </c>
      <c r="F167" s="2" t="s">
        <v>2559</v>
      </c>
    </row>
    <row r="168" ht="15.75" customHeight="1">
      <c r="B168" s="19">
        <v>2.0180829E7</v>
      </c>
      <c r="C168" s="2" t="s">
        <v>2645</v>
      </c>
      <c r="D168" s="2" t="s">
        <v>2447</v>
      </c>
      <c r="E168" s="2" t="s">
        <v>2492</v>
      </c>
      <c r="F168" s="2" t="s">
        <v>2559</v>
      </c>
    </row>
    <row r="169" ht="15.75" customHeight="1">
      <c r="B169" s="19">
        <v>2.018083E7</v>
      </c>
      <c r="C169" s="2" t="s">
        <v>2514</v>
      </c>
      <c r="D169" s="2" t="s">
        <v>2603</v>
      </c>
      <c r="E169" s="2" t="s">
        <v>2520</v>
      </c>
      <c r="F169" s="2" t="s">
        <v>2559</v>
      </c>
    </row>
    <row r="170" ht="15.75" customHeight="1">
      <c r="B170" s="19">
        <v>2.0180831E7</v>
      </c>
      <c r="C170" s="2" t="s">
        <v>2485</v>
      </c>
      <c r="D170" s="2" t="s">
        <v>2597</v>
      </c>
      <c r="E170" s="2" t="s">
        <v>2495</v>
      </c>
      <c r="F170" s="2" t="s">
        <v>2559</v>
      </c>
    </row>
    <row r="171" ht="15.75" customHeight="1">
      <c r="B171" s="19">
        <v>2.0180904E7</v>
      </c>
      <c r="C171" s="2" t="s">
        <v>2609</v>
      </c>
      <c r="D171" s="2" t="s">
        <v>2571</v>
      </c>
      <c r="E171" s="2" t="s">
        <v>2458</v>
      </c>
      <c r="F171" s="2" t="s">
        <v>2624</v>
      </c>
    </row>
    <row r="172" ht="15.75" customHeight="1">
      <c r="B172" s="19">
        <v>2.0180905E7</v>
      </c>
      <c r="C172" s="2" t="s">
        <v>2514</v>
      </c>
      <c r="D172" s="2" t="s">
        <v>2437</v>
      </c>
      <c r="E172" s="2" t="s">
        <v>2441</v>
      </c>
      <c r="F172" s="2" t="s">
        <v>2624</v>
      </c>
    </row>
    <row r="173" ht="15.75" customHeight="1">
      <c r="B173" s="19">
        <v>2.0180906E7</v>
      </c>
      <c r="C173" s="2" t="s">
        <v>2529</v>
      </c>
      <c r="D173" s="2" t="s">
        <v>2442</v>
      </c>
      <c r="E173" s="2" t="s">
        <v>2503</v>
      </c>
      <c r="F173" s="2" t="s">
        <v>2624</v>
      </c>
    </row>
    <row r="174" ht="15.75" customHeight="1">
      <c r="B174" s="19">
        <v>2.0180907E7</v>
      </c>
      <c r="C174" s="2" t="s">
        <v>2437</v>
      </c>
      <c r="D174" s="2" t="s">
        <v>2586</v>
      </c>
      <c r="E174" s="2" t="s">
        <v>2481</v>
      </c>
      <c r="F174" s="2" t="s">
        <v>2624</v>
      </c>
    </row>
    <row r="175" ht="15.75" customHeight="1">
      <c r="B175" s="19">
        <v>2.018091E7</v>
      </c>
      <c r="C175" s="2" t="s">
        <v>2513</v>
      </c>
      <c r="D175" s="2" t="s">
        <v>2528</v>
      </c>
      <c r="E175" s="2" t="s">
        <v>2571</v>
      </c>
      <c r="F175" s="2" t="s">
        <v>2624</v>
      </c>
    </row>
    <row r="176" ht="15.75" customHeight="1">
      <c r="B176" s="19">
        <v>2.0180911E7</v>
      </c>
      <c r="C176" s="2" t="s">
        <v>2530</v>
      </c>
      <c r="D176" s="2" t="s">
        <v>2489</v>
      </c>
      <c r="E176" s="2" t="s">
        <v>2503</v>
      </c>
      <c r="F176" s="2" t="s">
        <v>2624</v>
      </c>
    </row>
    <row r="177" ht="15.75" customHeight="1">
      <c r="B177" s="19">
        <v>2.0180912E7</v>
      </c>
      <c r="C177" s="2" t="s">
        <v>2484</v>
      </c>
      <c r="D177" s="2" t="s">
        <v>2545</v>
      </c>
      <c r="E177" s="2" t="s">
        <v>2551</v>
      </c>
      <c r="F177" s="2" t="s">
        <v>2624</v>
      </c>
    </row>
    <row r="178" ht="15.75" customHeight="1">
      <c r="B178" s="19">
        <v>2.0180913E7</v>
      </c>
      <c r="C178" s="2" t="s">
        <v>2547</v>
      </c>
      <c r="D178" s="2" t="s">
        <v>2529</v>
      </c>
      <c r="E178" s="2" t="s">
        <v>2605</v>
      </c>
      <c r="F178" s="2" t="s">
        <v>2624</v>
      </c>
    </row>
    <row r="179" ht="15.75" customHeight="1">
      <c r="B179" s="19">
        <v>2.0180914E7</v>
      </c>
      <c r="C179" s="2" t="s">
        <v>2528</v>
      </c>
      <c r="D179" s="2" t="s">
        <v>2505</v>
      </c>
      <c r="E179" s="2" t="s">
        <v>2541</v>
      </c>
      <c r="F179" s="2" t="s">
        <v>2624</v>
      </c>
    </row>
    <row r="180" ht="15.75" customHeight="1">
      <c r="B180" s="19">
        <v>2.0180917E7</v>
      </c>
      <c r="C180" s="2" t="s">
        <v>2646</v>
      </c>
      <c r="D180" s="2" t="s">
        <v>2502</v>
      </c>
      <c r="E180" s="2" t="s">
        <v>2633</v>
      </c>
      <c r="F180" s="2" t="s">
        <v>2624</v>
      </c>
    </row>
    <row r="181" ht="15.75" customHeight="1">
      <c r="B181" s="19">
        <v>2.0180918E7</v>
      </c>
      <c r="C181" s="2" t="s">
        <v>2450</v>
      </c>
      <c r="D181" s="2" t="s">
        <v>2445</v>
      </c>
      <c r="E181" s="2" t="s">
        <v>2531</v>
      </c>
      <c r="F181" s="2" t="s">
        <v>2624</v>
      </c>
    </row>
    <row r="182" ht="15.75" customHeight="1">
      <c r="B182" s="19">
        <v>2.0180919E7</v>
      </c>
      <c r="C182" s="2" t="s">
        <v>2580</v>
      </c>
      <c r="D182" s="2" t="s">
        <v>2647</v>
      </c>
      <c r="E182" s="2" t="s">
        <v>2591</v>
      </c>
      <c r="F182" s="2" t="s">
        <v>2624</v>
      </c>
    </row>
    <row r="183" ht="15.75" customHeight="1">
      <c r="B183" s="19">
        <v>2.018092E7</v>
      </c>
      <c r="C183" s="2" t="s">
        <v>2465</v>
      </c>
      <c r="D183" s="2" t="s">
        <v>2453</v>
      </c>
      <c r="E183" s="2" t="s">
        <v>2433</v>
      </c>
      <c r="F183" s="2" t="s">
        <v>2624</v>
      </c>
    </row>
    <row r="184" ht="15.75" customHeight="1">
      <c r="B184" s="19">
        <v>2.0180921E7</v>
      </c>
      <c r="C184" s="2" t="s">
        <v>2471</v>
      </c>
      <c r="D184" s="2" t="s">
        <v>2520</v>
      </c>
      <c r="E184" s="2" t="s">
        <v>2565</v>
      </c>
      <c r="F184" s="2" t="s">
        <v>2624</v>
      </c>
    </row>
    <row r="185" ht="15.75" customHeight="1">
      <c r="B185" s="19">
        <v>2.0180924E7</v>
      </c>
      <c r="C185" s="2" t="s">
        <v>2454</v>
      </c>
      <c r="D185" s="2" t="s">
        <v>2580</v>
      </c>
      <c r="E185" s="2" t="s">
        <v>2648</v>
      </c>
      <c r="F185" s="2" t="s">
        <v>2624</v>
      </c>
    </row>
    <row r="186" ht="15.75" customHeight="1">
      <c r="B186" s="19">
        <v>2.0180925E7</v>
      </c>
      <c r="C186" s="2" t="s">
        <v>2582</v>
      </c>
      <c r="D186" s="2" t="s">
        <v>2617</v>
      </c>
      <c r="E186" s="2" t="s">
        <v>2495</v>
      </c>
      <c r="F186" s="2" t="s">
        <v>2624</v>
      </c>
    </row>
    <row r="187" ht="15.75" customHeight="1">
      <c r="B187" s="19">
        <v>2.0180926E7</v>
      </c>
      <c r="C187" s="2" t="s">
        <v>2605</v>
      </c>
      <c r="D187" s="2" t="s">
        <v>2495</v>
      </c>
      <c r="E187" s="2" t="s">
        <v>2509</v>
      </c>
      <c r="F187" s="2" t="s">
        <v>2624</v>
      </c>
    </row>
    <row r="188" ht="15.75" customHeight="1">
      <c r="B188" s="19">
        <v>2.0180927E7</v>
      </c>
      <c r="C188" s="2" t="s">
        <v>2617</v>
      </c>
      <c r="D188" s="2" t="s">
        <v>2439</v>
      </c>
      <c r="E188" s="2" t="s">
        <v>2595</v>
      </c>
      <c r="F188" s="2" t="s">
        <v>2624</v>
      </c>
    </row>
    <row r="189" ht="15.75" customHeight="1">
      <c r="B189" s="19">
        <v>2.0180928E7</v>
      </c>
      <c r="C189" s="2" t="s">
        <v>2460</v>
      </c>
      <c r="D189" s="2" t="s">
        <v>2567</v>
      </c>
      <c r="E189" s="2" t="s">
        <v>2593</v>
      </c>
      <c r="F189" s="2" t="s">
        <v>2624</v>
      </c>
    </row>
    <row r="190" ht="15.75" customHeight="1">
      <c r="B190" s="19">
        <v>2.0181001E7</v>
      </c>
      <c r="C190" s="2" t="s">
        <v>2455</v>
      </c>
      <c r="D190" s="2" t="s">
        <v>2649</v>
      </c>
      <c r="E190" s="2" t="s">
        <v>2650</v>
      </c>
      <c r="F190" s="2" t="s">
        <v>2624</v>
      </c>
    </row>
    <row r="191" ht="15.75" customHeight="1">
      <c r="B191" s="19">
        <v>2.0181002E7</v>
      </c>
      <c r="C191" s="2" t="s">
        <v>2481</v>
      </c>
      <c r="D191" s="2" t="s">
        <v>2651</v>
      </c>
      <c r="E191" s="2" t="s">
        <v>2435</v>
      </c>
      <c r="F191" s="2" t="s">
        <v>2624</v>
      </c>
    </row>
    <row r="192" ht="15.75" customHeight="1">
      <c r="B192" s="19">
        <v>2.0181003E7</v>
      </c>
      <c r="C192" s="2" t="s">
        <v>2583</v>
      </c>
      <c r="D192" s="2" t="s">
        <v>2570</v>
      </c>
      <c r="E192" s="2" t="s">
        <v>2549</v>
      </c>
      <c r="F192" s="2" t="s">
        <v>2624</v>
      </c>
    </row>
    <row r="193" ht="15.75" customHeight="1">
      <c r="B193" s="19">
        <v>2.0181004E7</v>
      </c>
      <c r="C193" s="2" t="s">
        <v>2652</v>
      </c>
      <c r="D193" s="2" t="s">
        <v>2480</v>
      </c>
      <c r="E193" s="2" t="s">
        <v>2636</v>
      </c>
      <c r="F193" s="2" t="s">
        <v>2624</v>
      </c>
    </row>
    <row r="194" ht="15.75" customHeight="1">
      <c r="B194" s="19">
        <v>2.0181005E7</v>
      </c>
      <c r="C194" s="2" t="s">
        <v>2653</v>
      </c>
      <c r="D194" s="2" t="s">
        <v>2511</v>
      </c>
      <c r="E194" s="2" t="s">
        <v>2654</v>
      </c>
      <c r="F194" s="2" t="s">
        <v>2624</v>
      </c>
    </row>
    <row r="195" ht="15.75" customHeight="1">
      <c r="B195" s="19">
        <v>2.0181008E7</v>
      </c>
      <c r="C195" s="2" t="s">
        <v>2616</v>
      </c>
      <c r="D195" s="2" t="s">
        <v>2605</v>
      </c>
      <c r="E195" s="2" t="s">
        <v>2655</v>
      </c>
      <c r="F195" s="2" t="s">
        <v>2624</v>
      </c>
    </row>
    <row r="196" ht="15.75" customHeight="1">
      <c r="B196" s="19">
        <v>2.0181009E7</v>
      </c>
      <c r="C196" s="2" t="s">
        <v>2437</v>
      </c>
      <c r="D196" s="2" t="s">
        <v>2489</v>
      </c>
      <c r="E196" s="2" t="s">
        <v>2533</v>
      </c>
      <c r="F196" s="2" t="s">
        <v>2624</v>
      </c>
    </row>
    <row r="197" ht="15.75" customHeight="1">
      <c r="B197" s="19">
        <v>2.018101E7</v>
      </c>
      <c r="C197" s="2" t="s">
        <v>2656</v>
      </c>
      <c r="D197" s="2" t="s">
        <v>2603</v>
      </c>
      <c r="E197" s="2" t="s">
        <v>2657</v>
      </c>
      <c r="F197" s="2" t="s">
        <v>2624</v>
      </c>
    </row>
    <row r="198" ht="15.75" customHeight="1">
      <c r="B198" s="19">
        <v>2.0181011E7</v>
      </c>
      <c r="C198" s="2" t="s">
        <v>2658</v>
      </c>
      <c r="D198" s="2" t="s">
        <v>2547</v>
      </c>
      <c r="E198" s="2" t="s">
        <v>2659</v>
      </c>
      <c r="F198" s="2" t="s">
        <v>2624</v>
      </c>
    </row>
    <row r="199" ht="15.75" customHeight="1">
      <c r="B199" s="19">
        <v>2.0181012E7</v>
      </c>
      <c r="C199" s="2" t="s">
        <v>2660</v>
      </c>
      <c r="D199" s="2" t="s">
        <v>2661</v>
      </c>
      <c r="E199" s="2" t="s">
        <v>2662</v>
      </c>
      <c r="F199" s="2" t="s">
        <v>2624</v>
      </c>
    </row>
    <row r="200" ht="15.75" customHeight="1">
      <c r="B200" s="19">
        <v>2.0181015E7</v>
      </c>
      <c r="C200" s="2" t="s">
        <v>2531</v>
      </c>
      <c r="D200" s="2" t="s">
        <v>2569</v>
      </c>
      <c r="E200" s="2" t="s">
        <v>2549</v>
      </c>
      <c r="F200" s="2" t="s">
        <v>2624</v>
      </c>
    </row>
    <row r="201" ht="15.75" customHeight="1">
      <c r="B201" s="19">
        <v>2.0181016E7</v>
      </c>
      <c r="C201" s="2" t="s">
        <v>2663</v>
      </c>
      <c r="D201" s="2" t="s">
        <v>2664</v>
      </c>
      <c r="E201" s="2" t="s">
        <v>2665</v>
      </c>
      <c r="F201" s="2" t="s">
        <v>2624</v>
      </c>
    </row>
    <row r="202" ht="15.75" customHeight="1">
      <c r="B202" s="19">
        <v>2.0181017E7</v>
      </c>
      <c r="C202" s="2" t="s">
        <v>2536</v>
      </c>
      <c r="D202" s="2" t="s">
        <v>2553</v>
      </c>
      <c r="E202" s="2" t="s">
        <v>2541</v>
      </c>
      <c r="F202" s="2" t="s">
        <v>2624</v>
      </c>
    </row>
    <row r="203" ht="15.75" customHeight="1">
      <c r="B203" s="19">
        <v>2.0181018E7</v>
      </c>
      <c r="C203" s="2" t="s">
        <v>2666</v>
      </c>
      <c r="D203" s="2" t="s">
        <v>2474</v>
      </c>
      <c r="E203" s="2" t="s">
        <v>2438</v>
      </c>
      <c r="F203" s="2" t="s">
        <v>2624</v>
      </c>
    </row>
    <row r="204" ht="15.75" customHeight="1">
      <c r="B204" s="19">
        <v>2.0181019E7</v>
      </c>
      <c r="C204" s="2" t="s">
        <v>2463</v>
      </c>
      <c r="D204" s="2" t="s">
        <v>2667</v>
      </c>
      <c r="E204" s="2" t="s">
        <v>2598</v>
      </c>
      <c r="F204" s="2" t="s">
        <v>2624</v>
      </c>
    </row>
    <row r="205" ht="15.75" customHeight="1">
      <c r="B205" s="19">
        <v>2.0181022E7</v>
      </c>
      <c r="C205" s="2" t="s">
        <v>2495</v>
      </c>
      <c r="D205" s="2" t="s">
        <v>2610</v>
      </c>
      <c r="E205" s="2" t="s">
        <v>2517</v>
      </c>
      <c r="F205" s="2" t="s">
        <v>2624</v>
      </c>
    </row>
    <row r="206" ht="15.75" customHeight="1">
      <c r="B206" s="19">
        <v>2.0181023E7</v>
      </c>
      <c r="C206" s="2" t="s">
        <v>2478</v>
      </c>
      <c r="D206" s="2" t="s">
        <v>2461</v>
      </c>
      <c r="E206" s="2" t="s">
        <v>2514</v>
      </c>
      <c r="F206" s="2" t="s">
        <v>2624</v>
      </c>
    </row>
    <row r="207" ht="15.75" customHeight="1">
      <c r="B207" s="19">
        <v>2.0181024E7</v>
      </c>
      <c r="C207" s="2" t="s">
        <v>2656</v>
      </c>
      <c r="D207" s="2" t="s">
        <v>2652</v>
      </c>
      <c r="E207" s="2" t="s">
        <v>2465</v>
      </c>
      <c r="F207" s="2" t="s">
        <v>2624</v>
      </c>
    </row>
    <row r="208" ht="15.75" customHeight="1">
      <c r="B208" s="19">
        <v>2.0181025E7</v>
      </c>
      <c r="C208" s="2" t="s">
        <v>2668</v>
      </c>
      <c r="D208" s="2" t="s">
        <v>2438</v>
      </c>
      <c r="E208" s="2" t="s">
        <v>2492</v>
      </c>
      <c r="F208" s="2" t="s">
        <v>2624</v>
      </c>
    </row>
    <row r="209" ht="15.75" customHeight="1">
      <c r="B209" s="19">
        <v>2.0181026E7</v>
      </c>
      <c r="C209" s="2" t="s">
        <v>2669</v>
      </c>
      <c r="D209" s="2" t="s">
        <v>2581</v>
      </c>
      <c r="E209" s="2" t="s">
        <v>2432</v>
      </c>
      <c r="F209" s="2" t="s">
        <v>2624</v>
      </c>
    </row>
    <row r="210" ht="15.75" customHeight="1">
      <c r="B210" s="19">
        <v>2.0181029E7</v>
      </c>
      <c r="C210" s="2" t="s">
        <v>2670</v>
      </c>
      <c r="D210" s="2" t="s">
        <v>2587</v>
      </c>
      <c r="E210" s="2" t="s">
        <v>2671</v>
      </c>
      <c r="F210" s="2" t="s">
        <v>2624</v>
      </c>
    </row>
    <row r="211" ht="15.75" customHeight="1">
      <c r="B211" s="19">
        <v>2.018103E7</v>
      </c>
      <c r="C211" s="2" t="s">
        <v>2672</v>
      </c>
      <c r="D211" s="2" t="s">
        <v>2438</v>
      </c>
      <c r="E211" s="2" t="s">
        <v>2485</v>
      </c>
      <c r="F211" s="2" t="s">
        <v>2624</v>
      </c>
    </row>
    <row r="212" ht="15.75" customHeight="1">
      <c r="B212" s="19">
        <v>2.0181031E7</v>
      </c>
      <c r="C212" s="2" t="s">
        <v>2655</v>
      </c>
      <c r="D212" s="2" t="s">
        <v>2647</v>
      </c>
      <c r="E212" s="2" t="s">
        <v>2482</v>
      </c>
      <c r="F212" s="2" t="s">
        <v>2624</v>
      </c>
    </row>
    <row r="213" ht="15.75" customHeight="1">
      <c r="B213" s="19">
        <v>2.0181101E7</v>
      </c>
      <c r="C213" s="2" t="s">
        <v>2673</v>
      </c>
      <c r="D213" s="2" t="s">
        <v>2674</v>
      </c>
      <c r="E213" s="2" t="s">
        <v>2628</v>
      </c>
      <c r="F213" s="2" t="s">
        <v>2624</v>
      </c>
    </row>
    <row r="214" ht="15.75" customHeight="1">
      <c r="B214" s="19">
        <v>2.0181102E7</v>
      </c>
      <c r="C214" s="2" t="s">
        <v>2538</v>
      </c>
      <c r="D214" s="2" t="s">
        <v>2512</v>
      </c>
      <c r="E214" s="2" t="s">
        <v>2596</v>
      </c>
      <c r="F214" s="2" t="s">
        <v>2624</v>
      </c>
    </row>
    <row r="215" ht="15.75" customHeight="1">
      <c r="B215" s="19">
        <v>2.0181105E7</v>
      </c>
      <c r="C215" s="2" t="s">
        <v>2567</v>
      </c>
      <c r="D215" s="2" t="s">
        <v>2675</v>
      </c>
      <c r="E215" s="2" t="s">
        <v>2676</v>
      </c>
      <c r="F215" s="2" t="s">
        <v>2624</v>
      </c>
    </row>
    <row r="216" ht="15.75" customHeight="1">
      <c r="B216" s="19">
        <v>2.0181106E7</v>
      </c>
      <c r="C216" s="2" t="s">
        <v>2581</v>
      </c>
      <c r="D216" s="2" t="s">
        <v>2467</v>
      </c>
      <c r="E216" s="2" t="s">
        <v>2484</v>
      </c>
      <c r="F216" s="2" t="s">
        <v>2624</v>
      </c>
    </row>
    <row r="217" ht="15.75" customHeight="1">
      <c r="B217" s="19">
        <v>2.0181107E7</v>
      </c>
      <c r="C217" s="2" t="s">
        <v>2677</v>
      </c>
      <c r="D217" s="2" t="s">
        <v>2587</v>
      </c>
      <c r="E217" s="2" t="s">
        <v>2480</v>
      </c>
      <c r="F217" s="2" t="s">
        <v>2624</v>
      </c>
    </row>
    <row r="218" ht="15.75" customHeight="1">
      <c r="B218" s="19">
        <v>2.0181108E7</v>
      </c>
      <c r="C218" s="2" t="s">
        <v>2678</v>
      </c>
      <c r="D218" s="2" t="s">
        <v>2463</v>
      </c>
      <c r="E218" s="2" t="s">
        <v>2505</v>
      </c>
      <c r="F218" s="2" t="s">
        <v>2624</v>
      </c>
    </row>
    <row r="219" ht="15.75" customHeight="1">
      <c r="B219" s="19">
        <v>2.0181109E7</v>
      </c>
      <c r="C219" s="2" t="s">
        <v>2606</v>
      </c>
      <c r="D219" s="2" t="s">
        <v>2679</v>
      </c>
      <c r="E219" s="2" t="s">
        <v>2544</v>
      </c>
      <c r="F219" s="2" t="s">
        <v>2624</v>
      </c>
    </row>
    <row r="220" ht="15.75" customHeight="1">
      <c r="B220" s="19">
        <v>2.0181112E7</v>
      </c>
      <c r="C220" s="2" t="s">
        <v>2680</v>
      </c>
      <c r="D220" s="2" t="s">
        <v>2458</v>
      </c>
      <c r="E220" s="2" t="s">
        <v>2431</v>
      </c>
      <c r="F220" s="2" t="s">
        <v>2624</v>
      </c>
    </row>
    <row r="221" ht="15.75" customHeight="1">
      <c r="B221" s="19">
        <v>2.0181113E7</v>
      </c>
      <c r="C221" s="2" t="s">
        <v>2471</v>
      </c>
      <c r="D221" s="2" t="s">
        <v>2609</v>
      </c>
      <c r="E221" s="2" t="s">
        <v>2455</v>
      </c>
      <c r="F221" s="2" t="s">
        <v>2624</v>
      </c>
    </row>
    <row r="222" ht="15.75" customHeight="1">
      <c r="B222" s="19">
        <v>2.0181114E7</v>
      </c>
      <c r="C222" s="2" t="s">
        <v>2670</v>
      </c>
      <c r="D222" s="2" t="s">
        <v>2484</v>
      </c>
      <c r="E222" s="2" t="s">
        <v>2489</v>
      </c>
      <c r="F222" s="2" t="s">
        <v>2624</v>
      </c>
    </row>
    <row r="223" ht="15.75" customHeight="1">
      <c r="B223" s="19">
        <v>2.0181115E7</v>
      </c>
      <c r="C223" s="2" t="s">
        <v>2681</v>
      </c>
      <c r="D223" s="2" t="s">
        <v>2510</v>
      </c>
      <c r="E223" s="2" t="s">
        <v>2514</v>
      </c>
      <c r="F223" s="2" t="s">
        <v>2624</v>
      </c>
    </row>
    <row r="224" ht="15.75" customHeight="1">
      <c r="B224" s="19">
        <v>2.0181116E7</v>
      </c>
      <c r="C224" s="2" t="s">
        <v>2446</v>
      </c>
      <c r="D224" s="2" t="s">
        <v>2576</v>
      </c>
      <c r="E224" s="2" t="s">
        <v>2582</v>
      </c>
      <c r="F224" s="2" t="s">
        <v>2624</v>
      </c>
    </row>
    <row r="225" ht="15.75" customHeight="1">
      <c r="B225" s="19">
        <v>2.0181119E7</v>
      </c>
      <c r="C225" s="2" t="s">
        <v>2682</v>
      </c>
      <c r="D225" s="2" t="s">
        <v>2620</v>
      </c>
      <c r="E225" s="2" t="s">
        <v>2683</v>
      </c>
      <c r="F225" s="2" t="s">
        <v>2624</v>
      </c>
    </row>
    <row r="226" ht="15.75" customHeight="1">
      <c r="B226" s="19">
        <v>2.018112E7</v>
      </c>
      <c r="C226" s="2" t="s">
        <v>2684</v>
      </c>
      <c r="D226" s="2" t="s">
        <v>2469</v>
      </c>
      <c r="E226" s="2" t="s">
        <v>2538</v>
      </c>
      <c r="F226" s="2" t="s">
        <v>2624</v>
      </c>
    </row>
    <row r="227" ht="15.75" customHeight="1">
      <c r="B227" s="19">
        <v>2.0181121E7</v>
      </c>
      <c r="C227" s="2" t="s">
        <v>2549</v>
      </c>
      <c r="D227" s="2" t="s">
        <v>2629</v>
      </c>
      <c r="E227" s="2" t="s">
        <v>2466</v>
      </c>
      <c r="F227" s="2" t="s">
        <v>2624</v>
      </c>
    </row>
    <row r="228" ht="15.75" customHeight="1">
      <c r="B228" s="19">
        <v>2.0181123E7</v>
      </c>
      <c r="C228" s="2" t="s">
        <v>2595</v>
      </c>
      <c r="D228" s="2" t="s">
        <v>2633</v>
      </c>
      <c r="E228" s="2" t="s">
        <v>2685</v>
      </c>
      <c r="F228" s="2" t="s">
        <v>2624</v>
      </c>
    </row>
    <row r="229" ht="15.75" customHeight="1">
      <c r="B229" s="19">
        <v>2.0181126E7</v>
      </c>
      <c r="C229" s="2" t="s">
        <v>2671</v>
      </c>
      <c r="D229" s="2" t="s">
        <v>2647</v>
      </c>
      <c r="E229" s="2" t="s">
        <v>2593</v>
      </c>
      <c r="F229" s="2" t="s">
        <v>2624</v>
      </c>
    </row>
    <row r="230" ht="15.75" customHeight="1">
      <c r="B230" s="19">
        <v>2.0181127E7</v>
      </c>
      <c r="C230" s="2" t="s">
        <v>2483</v>
      </c>
      <c r="D230" s="2" t="s">
        <v>2686</v>
      </c>
      <c r="E230" s="2" t="s">
        <v>2505</v>
      </c>
      <c r="F230" s="2" t="s">
        <v>2624</v>
      </c>
    </row>
    <row r="231" ht="15.75" customHeight="1">
      <c r="B231" s="19">
        <v>2.0181128E7</v>
      </c>
      <c r="C231" s="2" t="s">
        <v>2687</v>
      </c>
      <c r="D231" s="2" t="s">
        <v>2547</v>
      </c>
      <c r="E231" s="2" t="s">
        <v>2688</v>
      </c>
      <c r="F231" s="2" t="s">
        <v>2624</v>
      </c>
    </row>
    <row r="232" ht="15.75" customHeight="1">
      <c r="B232" s="19">
        <v>2.0181129E7</v>
      </c>
      <c r="C232" s="2" t="s">
        <v>2433</v>
      </c>
      <c r="D232" s="2" t="s">
        <v>2461</v>
      </c>
      <c r="E232" s="2" t="s">
        <v>2461</v>
      </c>
      <c r="F232" s="2" t="s">
        <v>2624</v>
      </c>
    </row>
    <row r="233" ht="15.75" customHeight="1">
      <c r="B233" s="19">
        <v>2.018113E7</v>
      </c>
      <c r="C233" s="2" t="s">
        <v>2491</v>
      </c>
      <c r="D233" s="2" t="s">
        <v>2587</v>
      </c>
      <c r="E233" s="2" t="s">
        <v>2511</v>
      </c>
      <c r="F233" s="2" t="s">
        <v>2624</v>
      </c>
    </row>
    <row r="234" ht="15.75" customHeight="1">
      <c r="B234" s="19">
        <v>2.0181203E7</v>
      </c>
      <c r="C234" s="2" t="s">
        <v>2689</v>
      </c>
      <c r="D234" s="2" t="s">
        <v>2582</v>
      </c>
      <c r="E234" s="2" t="s">
        <v>2590</v>
      </c>
      <c r="F234" s="2" t="s">
        <v>2690</v>
      </c>
    </row>
    <row r="235" ht="15.75" customHeight="1">
      <c r="B235" s="19">
        <v>2.0181204E7</v>
      </c>
      <c r="C235" s="2" t="s">
        <v>2691</v>
      </c>
      <c r="D235" s="2" t="s">
        <v>2692</v>
      </c>
      <c r="E235" s="2" t="s">
        <v>2481</v>
      </c>
      <c r="F235" s="2" t="s">
        <v>2690</v>
      </c>
    </row>
    <row r="236" ht="15.75" customHeight="1">
      <c r="B236" s="19">
        <v>2.0181206E7</v>
      </c>
      <c r="C236" s="2" t="s">
        <v>2467</v>
      </c>
      <c r="D236" s="2" t="s">
        <v>2469</v>
      </c>
      <c r="E236" s="2" t="s">
        <v>2693</v>
      </c>
      <c r="F236" s="2" t="s">
        <v>2690</v>
      </c>
    </row>
    <row r="237" ht="15.75" customHeight="1">
      <c r="B237" s="19">
        <v>2.0181207E7</v>
      </c>
      <c r="C237" s="2" t="s">
        <v>2694</v>
      </c>
      <c r="D237" s="2" t="s">
        <v>2583</v>
      </c>
      <c r="E237" s="2" t="s">
        <v>2695</v>
      </c>
      <c r="F237" s="2" t="s">
        <v>2690</v>
      </c>
    </row>
    <row r="238" ht="15.75" customHeight="1">
      <c r="B238" s="19">
        <v>2.018121E7</v>
      </c>
      <c r="C238" s="2" t="s">
        <v>2586</v>
      </c>
      <c r="D238" s="2" t="s">
        <v>2609</v>
      </c>
      <c r="E238" s="2" t="s">
        <v>2649</v>
      </c>
      <c r="F238" s="2" t="s">
        <v>2690</v>
      </c>
    </row>
    <row r="239" ht="15.75" customHeight="1">
      <c r="B239" s="19">
        <v>2.0181211E7</v>
      </c>
      <c r="C239" s="2" t="s">
        <v>2536</v>
      </c>
      <c r="D239" s="2" t="s">
        <v>2582</v>
      </c>
      <c r="E239" s="2" t="s">
        <v>2605</v>
      </c>
      <c r="F239" s="2" t="s">
        <v>2690</v>
      </c>
    </row>
    <row r="240" ht="15.75" customHeight="1">
      <c r="B240" s="19">
        <v>2.0181212E7</v>
      </c>
      <c r="C240" s="2" t="s">
        <v>2664</v>
      </c>
      <c r="D240" s="2" t="s">
        <v>2450</v>
      </c>
      <c r="E240" s="2" t="s">
        <v>2518</v>
      </c>
      <c r="F240" s="2" t="s">
        <v>2690</v>
      </c>
    </row>
    <row r="241" ht="15.75" customHeight="1">
      <c r="B241" s="19">
        <v>2.0181213E7</v>
      </c>
      <c r="C241" s="2" t="s">
        <v>2439</v>
      </c>
      <c r="D241" s="2" t="s">
        <v>2696</v>
      </c>
      <c r="E241" s="2" t="s">
        <v>2518</v>
      </c>
      <c r="F241" s="2" t="s">
        <v>2690</v>
      </c>
    </row>
    <row r="242" ht="15.75" customHeight="1">
      <c r="B242" s="19">
        <v>2.0181214E7</v>
      </c>
      <c r="C242" s="2" t="s">
        <v>2697</v>
      </c>
      <c r="D242" s="2" t="s">
        <v>2448</v>
      </c>
      <c r="E242" s="2" t="s">
        <v>2597</v>
      </c>
      <c r="F242" s="2" t="s">
        <v>2690</v>
      </c>
    </row>
    <row r="243" ht="15.75" customHeight="1">
      <c r="B243" s="19">
        <v>2.0181217E7</v>
      </c>
      <c r="C243" s="2" t="s">
        <v>2487</v>
      </c>
      <c r="D243" s="2" t="s">
        <v>2439</v>
      </c>
      <c r="E243" s="2" t="s">
        <v>2573</v>
      </c>
      <c r="F243" s="2" t="s">
        <v>2690</v>
      </c>
    </row>
    <row r="244" ht="15.75" customHeight="1">
      <c r="B244" s="19">
        <v>2.0181218E7</v>
      </c>
      <c r="C244" s="2" t="s">
        <v>2460</v>
      </c>
      <c r="D244" s="2" t="s">
        <v>2484</v>
      </c>
      <c r="E244" s="2" t="s">
        <v>2638</v>
      </c>
      <c r="F244" s="2" t="s">
        <v>2690</v>
      </c>
    </row>
    <row r="245" ht="15.75" customHeight="1">
      <c r="B245" s="19">
        <v>2.0181219E7</v>
      </c>
      <c r="C245" s="2" t="s">
        <v>2698</v>
      </c>
      <c r="D245" s="2" t="s">
        <v>2478</v>
      </c>
      <c r="E245" s="2" t="s">
        <v>2488</v>
      </c>
      <c r="F245" s="2" t="s">
        <v>2690</v>
      </c>
    </row>
    <row r="246" ht="15.75" customHeight="1">
      <c r="B246" s="19">
        <v>2.018122E7</v>
      </c>
      <c r="C246" s="2" t="s">
        <v>2649</v>
      </c>
      <c r="D246" s="2" t="s">
        <v>2489</v>
      </c>
      <c r="E246" s="2" t="s">
        <v>2629</v>
      </c>
      <c r="F246" s="2" t="s">
        <v>2690</v>
      </c>
    </row>
    <row r="247" ht="15.75" customHeight="1">
      <c r="B247" s="19">
        <v>2.0181221E7</v>
      </c>
      <c r="C247" s="2" t="s">
        <v>2699</v>
      </c>
      <c r="D247" s="2" t="s">
        <v>2595</v>
      </c>
      <c r="E247" s="2" t="s">
        <v>2465</v>
      </c>
      <c r="F247" s="2" t="s">
        <v>2690</v>
      </c>
    </row>
    <row r="248" ht="15.75" customHeight="1">
      <c r="B248" s="19">
        <v>2.0181224E7</v>
      </c>
      <c r="C248" s="2" t="s">
        <v>2700</v>
      </c>
      <c r="D248" s="2" t="s">
        <v>2701</v>
      </c>
      <c r="E248" s="2" t="s">
        <v>2531</v>
      </c>
      <c r="F248" s="2" t="s">
        <v>2690</v>
      </c>
    </row>
    <row r="249" ht="15.75" customHeight="1">
      <c r="B249" s="19">
        <v>2.0181226E7</v>
      </c>
      <c r="C249" s="2" t="s">
        <v>2702</v>
      </c>
      <c r="D249" s="2" t="s">
        <v>2545</v>
      </c>
      <c r="E249" s="2" t="s">
        <v>2457</v>
      </c>
      <c r="F249" s="2" t="s">
        <v>2690</v>
      </c>
    </row>
    <row r="250" ht="15.75" customHeight="1">
      <c r="B250" s="19">
        <v>2.0181227E7</v>
      </c>
      <c r="C250" s="2" t="s">
        <v>2491</v>
      </c>
      <c r="D250" s="2" t="s">
        <v>2647</v>
      </c>
      <c r="E250" s="2" t="s">
        <v>2568</v>
      </c>
      <c r="F250" s="2" t="s">
        <v>2690</v>
      </c>
    </row>
    <row r="251" ht="15.75" customHeight="1">
      <c r="B251" s="19">
        <v>2.0181228E7</v>
      </c>
      <c r="C251" s="2" t="s">
        <v>2460</v>
      </c>
      <c r="D251" s="2" t="s">
        <v>2465</v>
      </c>
      <c r="E251" s="2" t="s">
        <v>2505</v>
      </c>
      <c r="F251" s="2" t="s">
        <v>2690</v>
      </c>
    </row>
    <row r="252" ht="15.75" customHeight="1">
      <c r="B252" s="19">
        <v>2.0181231E7</v>
      </c>
      <c r="C252" s="2" t="s">
        <v>2599</v>
      </c>
      <c r="D252" s="2" t="s">
        <v>2461</v>
      </c>
      <c r="E252" s="2" t="s">
        <v>2502</v>
      </c>
      <c r="F252" s="2" t="s">
        <v>2690</v>
      </c>
    </row>
    <row r="253" ht="15.75" customHeight="1">
      <c r="B253" s="19">
        <v>2.0190102E7</v>
      </c>
      <c r="C253" s="2" t="s">
        <v>2513</v>
      </c>
      <c r="D253" s="2" t="s">
        <v>2435</v>
      </c>
      <c r="E253" s="2" t="s">
        <v>2475</v>
      </c>
      <c r="F253" s="2" t="s">
        <v>2703</v>
      </c>
    </row>
    <row r="254" ht="15.75" customHeight="1">
      <c r="B254" s="19">
        <v>2.0190103E7</v>
      </c>
      <c r="C254" s="2" t="s">
        <v>2704</v>
      </c>
      <c r="D254" s="2" t="s">
        <v>2510</v>
      </c>
      <c r="E254" s="2" t="s">
        <v>2705</v>
      </c>
      <c r="F254" s="2" t="s">
        <v>2703</v>
      </c>
    </row>
    <row r="255" ht="15.75" customHeight="1">
      <c r="B255" s="19">
        <v>2.0190104E7</v>
      </c>
      <c r="C255" s="2" t="s">
        <v>2706</v>
      </c>
      <c r="D255" s="2" t="s">
        <v>2544</v>
      </c>
      <c r="E255" s="2" t="s">
        <v>2604</v>
      </c>
      <c r="F255" s="2" t="s">
        <v>2703</v>
      </c>
    </row>
    <row r="256" ht="15.75" customHeight="1">
      <c r="B256" s="19">
        <v>2.0190107E7</v>
      </c>
      <c r="C256" s="2" t="s">
        <v>2464</v>
      </c>
      <c r="D256" s="2" t="s">
        <v>2701</v>
      </c>
      <c r="E256" s="2" t="s">
        <v>2707</v>
      </c>
      <c r="F256" s="2" t="s">
        <v>2703</v>
      </c>
    </row>
    <row r="257" ht="15.75" customHeight="1">
      <c r="B257" s="19">
        <v>2.0190108E7</v>
      </c>
      <c r="C257" s="2" t="s">
        <v>2522</v>
      </c>
      <c r="D257" s="2" t="s">
        <v>2496</v>
      </c>
      <c r="E257" s="2" t="s">
        <v>2509</v>
      </c>
      <c r="F257" s="2" t="s">
        <v>2703</v>
      </c>
    </row>
    <row r="258" ht="15.75" customHeight="1">
      <c r="B258" s="19">
        <v>2.0190109E7</v>
      </c>
      <c r="C258" s="2" t="s">
        <v>2645</v>
      </c>
      <c r="D258" s="2" t="s">
        <v>2562</v>
      </c>
      <c r="E258" s="2" t="s">
        <v>2586</v>
      </c>
      <c r="F258" s="2" t="s">
        <v>2703</v>
      </c>
    </row>
    <row r="259" ht="15.75" customHeight="1">
      <c r="B259" s="19">
        <v>2.019011E7</v>
      </c>
      <c r="C259" s="2" t="s">
        <v>2438</v>
      </c>
      <c r="D259" s="2" t="s">
        <v>2484</v>
      </c>
      <c r="E259" s="2" t="s">
        <v>2502</v>
      </c>
      <c r="F259" s="2" t="s">
        <v>2703</v>
      </c>
    </row>
    <row r="260" ht="15.75" customHeight="1">
      <c r="B260" s="19">
        <v>2.0190111E7</v>
      </c>
      <c r="C260" s="2" t="s">
        <v>2644</v>
      </c>
      <c r="D260" s="2" t="s">
        <v>2528</v>
      </c>
      <c r="E260" s="2" t="s">
        <v>2468</v>
      </c>
      <c r="F260" s="2" t="s">
        <v>2703</v>
      </c>
    </row>
    <row r="261" ht="15.75" customHeight="1">
      <c r="B261" s="19">
        <v>2.0190114E7</v>
      </c>
      <c r="C261" s="2" t="s">
        <v>2638</v>
      </c>
      <c r="D261" s="2" t="s">
        <v>2685</v>
      </c>
      <c r="E261" s="2" t="s">
        <v>2464</v>
      </c>
      <c r="F261" s="2" t="s">
        <v>2703</v>
      </c>
    </row>
    <row r="262" ht="15.75" customHeight="1">
      <c r="B262" s="19">
        <v>2.0190115E7</v>
      </c>
      <c r="C262" s="2" t="s">
        <v>2526</v>
      </c>
      <c r="D262" s="2" t="s">
        <v>2621</v>
      </c>
      <c r="E262" s="2" t="s">
        <v>2661</v>
      </c>
      <c r="F262" s="2" t="s">
        <v>2703</v>
      </c>
    </row>
    <row r="263" ht="15.75" customHeight="1">
      <c r="B263" s="19">
        <v>2.0190116E7</v>
      </c>
      <c r="C263" s="2" t="s">
        <v>2533</v>
      </c>
      <c r="D263" s="2" t="s">
        <v>2488</v>
      </c>
      <c r="E263" s="2" t="s">
        <v>2569</v>
      </c>
      <c r="F263" s="2" t="s">
        <v>2703</v>
      </c>
    </row>
    <row r="264" ht="15.75" customHeight="1">
      <c r="B264" s="19">
        <v>2.0190117E7</v>
      </c>
      <c r="C264" s="2" t="s">
        <v>2546</v>
      </c>
      <c r="D264" s="2" t="s">
        <v>2483</v>
      </c>
      <c r="E264" s="2" t="s">
        <v>2503</v>
      </c>
      <c r="F264" s="2" t="s">
        <v>2703</v>
      </c>
    </row>
    <row r="265" ht="15.75" customHeight="1">
      <c r="B265" s="19">
        <v>2.0190118E7</v>
      </c>
      <c r="C265" s="2" t="s">
        <v>2673</v>
      </c>
      <c r="D265" s="2" t="s">
        <v>2470</v>
      </c>
      <c r="E265" s="2" t="s">
        <v>2528</v>
      </c>
      <c r="F265" s="2" t="s">
        <v>2703</v>
      </c>
    </row>
    <row r="266" ht="15.75" customHeight="1">
      <c r="B266" s="19">
        <v>2.0190122E7</v>
      </c>
      <c r="C266" s="2" t="s">
        <v>2708</v>
      </c>
      <c r="D266" s="2" t="s">
        <v>2605</v>
      </c>
      <c r="E266" s="2" t="s">
        <v>2540</v>
      </c>
      <c r="F266" s="2" t="s">
        <v>2703</v>
      </c>
    </row>
    <row r="267" ht="15.75" customHeight="1">
      <c r="B267" s="19">
        <v>2.0190123E7</v>
      </c>
      <c r="C267" s="2" t="s">
        <v>2446</v>
      </c>
      <c r="D267" s="2" t="s">
        <v>2436</v>
      </c>
      <c r="E267" s="2" t="s">
        <v>2471</v>
      </c>
      <c r="F267" s="2" t="s">
        <v>2703</v>
      </c>
    </row>
    <row r="268" ht="15.75" customHeight="1">
      <c r="B268" s="19">
        <v>2.0190124E7</v>
      </c>
      <c r="C268" s="2" t="s">
        <v>2513</v>
      </c>
      <c r="D268" s="2" t="s">
        <v>2473</v>
      </c>
      <c r="E268" s="2" t="s">
        <v>2644</v>
      </c>
      <c r="F268" s="2" t="s">
        <v>2703</v>
      </c>
    </row>
    <row r="269" ht="15.75" customHeight="1">
      <c r="B269" s="19">
        <v>2.0190125E7</v>
      </c>
      <c r="C269" s="2" t="s">
        <v>2599</v>
      </c>
      <c r="D269" s="2" t="s">
        <v>2562</v>
      </c>
      <c r="E269" s="2" t="s">
        <v>2442</v>
      </c>
      <c r="F269" s="2" t="s">
        <v>2703</v>
      </c>
    </row>
    <row r="270" ht="15.75" customHeight="1">
      <c r="B270" s="19">
        <v>2.0190128E7</v>
      </c>
      <c r="C270" s="2" t="s">
        <v>2590</v>
      </c>
      <c r="D270" s="2" t="s">
        <v>2467</v>
      </c>
      <c r="E270" s="2" t="s">
        <v>2623</v>
      </c>
      <c r="F270" s="2" t="s">
        <v>2703</v>
      </c>
    </row>
    <row r="271" ht="15.75" customHeight="1">
      <c r="B271" s="19">
        <v>2.0190129E7</v>
      </c>
      <c r="C271" s="2" t="s">
        <v>2518</v>
      </c>
      <c r="D271" s="2" t="s">
        <v>2644</v>
      </c>
      <c r="E271" s="2" t="s">
        <v>2611</v>
      </c>
      <c r="F271" s="2" t="s">
        <v>2703</v>
      </c>
    </row>
    <row r="272" ht="15.75" customHeight="1">
      <c r="B272" s="19">
        <v>2.019013E7</v>
      </c>
      <c r="C272" s="2" t="s">
        <v>2709</v>
      </c>
      <c r="D272" s="2" t="s">
        <v>2444</v>
      </c>
      <c r="E272" s="2" t="s">
        <v>2710</v>
      </c>
      <c r="F272" s="2" t="s">
        <v>2703</v>
      </c>
    </row>
    <row r="273" ht="15.75" customHeight="1">
      <c r="B273" s="19">
        <v>2.0190131E7</v>
      </c>
      <c r="C273" s="2" t="s">
        <v>2569</v>
      </c>
      <c r="D273" s="2" t="s">
        <v>2528</v>
      </c>
      <c r="E273" s="2" t="s">
        <v>2711</v>
      </c>
      <c r="F273" s="2" t="s">
        <v>2703</v>
      </c>
    </row>
    <row r="274" ht="15.75" customHeight="1">
      <c r="B274" s="19">
        <v>2.0190201E7</v>
      </c>
      <c r="C274" s="2" t="s">
        <v>2469</v>
      </c>
      <c r="D274" s="2" t="s">
        <v>2508</v>
      </c>
      <c r="E274" s="2" t="s">
        <v>2712</v>
      </c>
      <c r="F274" s="2" t="s">
        <v>2703</v>
      </c>
    </row>
    <row r="275" ht="15.75" customHeight="1">
      <c r="B275" s="19">
        <v>2.0190204E7</v>
      </c>
      <c r="C275" s="2" t="s">
        <v>2600</v>
      </c>
      <c r="D275" s="2" t="s">
        <v>2506</v>
      </c>
      <c r="E275" s="2" t="s">
        <v>2577</v>
      </c>
      <c r="F275" s="2" t="s">
        <v>2703</v>
      </c>
    </row>
    <row r="276" ht="15.75" customHeight="1">
      <c r="B276" s="19">
        <v>2.0190205E7</v>
      </c>
      <c r="C276" s="2" t="s">
        <v>2712</v>
      </c>
      <c r="D276" s="2" t="s">
        <v>2536</v>
      </c>
      <c r="E276" s="2" t="s">
        <v>2638</v>
      </c>
      <c r="F276" s="2" t="s">
        <v>2703</v>
      </c>
    </row>
    <row r="277" ht="15.75" customHeight="1">
      <c r="B277" s="19">
        <v>2.0190206E7</v>
      </c>
      <c r="C277" s="2" t="s">
        <v>2433</v>
      </c>
      <c r="D277" s="2" t="s">
        <v>2479</v>
      </c>
      <c r="E277" s="2" t="s">
        <v>2449</v>
      </c>
      <c r="F277" s="2" t="s">
        <v>2703</v>
      </c>
    </row>
    <row r="278" ht="15.75" customHeight="1">
      <c r="B278" s="19">
        <v>2.0190207E7</v>
      </c>
      <c r="C278" s="2" t="s">
        <v>2652</v>
      </c>
      <c r="D278" s="2" t="s">
        <v>2508</v>
      </c>
      <c r="E278" s="2" t="s">
        <v>2567</v>
      </c>
      <c r="F278" s="2" t="s">
        <v>2703</v>
      </c>
    </row>
    <row r="279" ht="15.75" customHeight="1">
      <c r="B279" s="19">
        <v>2.0190208E7</v>
      </c>
      <c r="C279" s="2" t="s">
        <v>2640</v>
      </c>
      <c r="D279" s="2" t="s">
        <v>2445</v>
      </c>
      <c r="E279" s="2" t="s">
        <v>2627</v>
      </c>
      <c r="F279" s="2" t="s">
        <v>2703</v>
      </c>
    </row>
    <row r="280" ht="15.75" customHeight="1">
      <c r="B280" s="19">
        <v>2.0190211E7</v>
      </c>
      <c r="C280" s="2" t="s">
        <v>2469</v>
      </c>
      <c r="D280" s="2" t="s">
        <v>2441</v>
      </c>
      <c r="E280" s="2" t="s">
        <v>2513</v>
      </c>
      <c r="F280" s="2" t="s">
        <v>2703</v>
      </c>
    </row>
    <row r="281" ht="15.75" customHeight="1">
      <c r="B281" s="19">
        <v>2.0190212E7</v>
      </c>
      <c r="C281" s="2" t="s">
        <v>2501</v>
      </c>
      <c r="D281" s="2" t="s">
        <v>2576</v>
      </c>
      <c r="E281" s="2" t="s">
        <v>2467</v>
      </c>
      <c r="F281" s="2" t="s">
        <v>2703</v>
      </c>
    </row>
    <row r="282" ht="15.75" customHeight="1">
      <c r="B282" s="19">
        <v>2.0190213E7</v>
      </c>
      <c r="C282" s="2" t="s">
        <v>2533</v>
      </c>
      <c r="D282" s="2" t="s">
        <v>2449</v>
      </c>
      <c r="E282" s="2" t="s">
        <v>2449</v>
      </c>
      <c r="F282" s="2" t="s">
        <v>2703</v>
      </c>
    </row>
    <row r="283" ht="15.75" customHeight="1">
      <c r="B283" s="19">
        <v>2.0190214E7</v>
      </c>
      <c r="C283" s="2" t="s">
        <v>2481</v>
      </c>
      <c r="D283" s="2" t="s">
        <v>2500</v>
      </c>
      <c r="E283" s="2" t="s">
        <v>2492</v>
      </c>
      <c r="F283" s="2" t="s">
        <v>2703</v>
      </c>
    </row>
    <row r="284" ht="15.75" customHeight="1">
      <c r="B284" s="19">
        <v>2.0190215E7</v>
      </c>
      <c r="C284" s="2" t="s">
        <v>2689</v>
      </c>
      <c r="D284" s="2" t="s">
        <v>2541</v>
      </c>
      <c r="E284" s="2" t="s">
        <v>2535</v>
      </c>
      <c r="F284" s="2" t="s">
        <v>2703</v>
      </c>
    </row>
    <row r="285" ht="15.75" customHeight="1">
      <c r="B285" s="19">
        <v>2.0190219E7</v>
      </c>
      <c r="C285" s="2" t="s">
        <v>2443</v>
      </c>
      <c r="D285" s="2" t="s">
        <v>2603</v>
      </c>
      <c r="E285" s="2" t="s">
        <v>2565</v>
      </c>
      <c r="F285" s="2" t="s">
        <v>2703</v>
      </c>
    </row>
    <row r="286" ht="15.75" customHeight="1">
      <c r="B286" s="19">
        <v>2.019022E7</v>
      </c>
      <c r="C286" s="2" t="s">
        <v>2443</v>
      </c>
      <c r="D286" s="2" t="s">
        <v>2497</v>
      </c>
      <c r="E286" s="2" t="s">
        <v>2631</v>
      </c>
      <c r="F286" s="2" t="s">
        <v>2703</v>
      </c>
    </row>
    <row r="287" ht="15.75" customHeight="1">
      <c r="B287" s="19">
        <v>2.0190221E7</v>
      </c>
      <c r="C287" s="2" t="s">
        <v>2571</v>
      </c>
      <c r="D287" s="2" t="s">
        <v>2448</v>
      </c>
      <c r="E287" s="2" t="s">
        <v>2433</v>
      </c>
      <c r="F287" s="2" t="s">
        <v>2703</v>
      </c>
    </row>
    <row r="288" ht="15.75" customHeight="1">
      <c r="B288" s="19">
        <v>2.0190222E7</v>
      </c>
      <c r="C288" s="2" t="s">
        <v>2555</v>
      </c>
      <c r="D288" s="2" t="s">
        <v>2631</v>
      </c>
      <c r="E288" s="2" t="s">
        <v>2713</v>
      </c>
      <c r="F288" s="2" t="s">
        <v>2703</v>
      </c>
    </row>
    <row r="289" ht="15.75" customHeight="1">
      <c r="B289" s="19">
        <v>2.0190225E7</v>
      </c>
      <c r="C289" s="2" t="s">
        <v>2446</v>
      </c>
      <c r="D289" s="2" t="s">
        <v>2439</v>
      </c>
      <c r="E289" s="2" t="s">
        <v>2437</v>
      </c>
      <c r="F289" s="2" t="s">
        <v>2703</v>
      </c>
    </row>
    <row r="290" ht="15.75" customHeight="1">
      <c r="B290" s="19">
        <v>2.0190226E7</v>
      </c>
      <c r="C290" s="2" t="s">
        <v>2467</v>
      </c>
      <c r="D290" s="2" t="s">
        <v>2653</v>
      </c>
      <c r="E290" s="2" t="s">
        <v>2587</v>
      </c>
      <c r="F290" s="2" t="s">
        <v>2703</v>
      </c>
    </row>
    <row r="291" ht="15.75" customHeight="1">
      <c r="B291" s="19">
        <v>2.0190227E7</v>
      </c>
      <c r="C291" s="2" t="s">
        <v>2640</v>
      </c>
      <c r="D291" s="2" t="s">
        <v>2583</v>
      </c>
      <c r="E291" s="2" t="s">
        <v>2568</v>
      </c>
      <c r="F291" s="2" t="s">
        <v>2703</v>
      </c>
    </row>
    <row r="292" ht="15.75" customHeight="1">
      <c r="B292" s="19">
        <v>2.0190228E7</v>
      </c>
      <c r="C292" s="2" t="s">
        <v>2454</v>
      </c>
      <c r="D292" s="2" t="s">
        <v>2576</v>
      </c>
      <c r="E292" s="2" t="s">
        <v>2503</v>
      </c>
      <c r="F292" s="2" t="s">
        <v>2703</v>
      </c>
    </row>
    <row r="293" ht="15.75" customHeight="1">
      <c r="B293" s="19">
        <v>2.0190301E7</v>
      </c>
      <c r="C293" s="2" t="s">
        <v>2600</v>
      </c>
      <c r="D293" s="2" t="s">
        <v>2603</v>
      </c>
      <c r="E293" s="2" t="s">
        <v>2605</v>
      </c>
      <c r="F293" s="2" t="s">
        <v>2714</v>
      </c>
    </row>
    <row r="294" ht="15.75" customHeight="1">
      <c r="B294" s="19">
        <v>2.0190304E7</v>
      </c>
      <c r="C294" s="2" t="s">
        <v>2494</v>
      </c>
      <c r="D294" s="2" t="s">
        <v>2605</v>
      </c>
      <c r="E294" s="2" t="s">
        <v>2530</v>
      </c>
      <c r="F294" s="2" t="s">
        <v>2714</v>
      </c>
    </row>
    <row r="295" ht="15.75" customHeight="1">
      <c r="B295" s="19">
        <v>2.0190305E7</v>
      </c>
      <c r="C295" s="2" t="s">
        <v>2616</v>
      </c>
      <c r="D295" s="2" t="s">
        <v>2454</v>
      </c>
      <c r="E295" s="2" t="s">
        <v>2551</v>
      </c>
      <c r="F295" s="2" t="s">
        <v>2714</v>
      </c>
    </row>
    <row r="296" ht="15.75" customHeight="1">
      <c r="B296" s="19">
        <v>2.0190306E7</v>
      </c>
      <c r="C296" s="2" t="s">
        <v>2472</v>
      </c>
      <c r="D296" s="2" t="s">
        <v>2715</v>
      </c>
      <c r="E296" s="2" t="s">
        <v>2445</v>
      </c>
      <c r="F296" s="2" t="s">
        <v>2714</v>
      </c>
    </row>
    <row r="297" ht="15.75" customHeight="1">
      <c r="B297" s="19">
        <v>2.0190307E7</v>
      </c>
      <c r="C297" s="2" t="s">
        <v>2635</v>
      </c>
      <c r="D297" s="2" t="s">
        <v>2448</v>
      </c>
      <c r="E297" s="2" t="s">
        <v>2587</v>
      </c>
      <c r="F297" s="2" t="s">
        <v>2714</v>
      </c>
    </row>
    <row r="298" ht="15.75" customHeight="1">
      <c r="B298" s="19">
        <v>2.0190308E7</v>
      </c>
      <c r="C298" s="2" t="s">
        <v>2433</v>
      </c>
      <c r="D298" s="2" t="s">
        <v>2488</v>
      </c>
      <c r="E298" s="2" t="s">
        <v>2467</v>
      </c>
      <c r="F298" s="2" t="s">
        <v>2714</v>
      </c>
    </row>
    <row r="299" ht="15.75" customHeight="1">
      <c r="B299" s="19">
        <v>2.0190311E7</v>
      </c>
      <c r="C299" s="2" t="s">
        <v>2716</v>
      </c>
      <c r="D299" s="2" t="s">
        <v>2510</v>
      </c>
      <c r="E299" s="2" t="s">
        <v>2538</v>
      </c>
      <c r="F299" s="2" t="s">
        <v>2714</v>
      </c>
    </row>
    <row r="300" ht="15.75" customHeight="1">
      <c r="B300" s="19">
        <v>2.0190312E7</v>
      </c>
      <c r="C300" s="2" t="s">
        <v>2541</v>
      </c>
      <c r="D300" s="2" t="s">
        <v>2678</v>
      </c>
      <c r="E300" s="2" t="s">
        <v>2534</v>
      </c>
      <c r="F300" s="2" t="s">
        <v>2714</v>
      </c>
    </row>
    <row r="301" ht="15.75" customHeight="1">
      <c r="B301" s="19">
        <v>2.0190313E7</v>
      </c>
      <c r="C301" s="2" t="s">
        <v>2664</v>
      </c>
      <c r="D301" s="2" t="s">
        <v>2454</v>
      </c>
      <c r="E301" s="2" t="s">
        <v>2449</v>
      </c>
      <c r="F301" s="2" t="s">
        <v>2714</v>
      </c>
    </row>
    <row r="302" ht="15.75" customHeight="1">
      <c r="B302" s="19">
        <v>2.0190314E7</v>
      </c>
      <c r="C302" s="2" t="s">
        <v>2461</v>
      </c>
      <c r="D302" s="2" t="s">
        <v>2605</v>
      </c>
      <c r="E302" s="2" t="s">
        <v>2565</v>
      </c>
      <c r="F302" s="2" t="s">
        <v>2714</v>
      </c>
    </row>
    <row r="303" ht="15.75" customHeight="1">
      <c r="B303" s="19">
        <v>2.0190315E7</v>
      </c>
      <c r="C303" s="2" t="s">
        <v>2610</v>
      </c>
      <c r="D303" s="2" t="s">
        <v>2439</v>
      </c>
      <c r="E303" s="2" t="s">
        <v>2463</v>
      </c>
      <c r="F303" s="2" t="s">
        <v>2714</v>
      </c>
    </row>
    <row r="304" ht="15.75" customHeight="1">
      <c r="B304" s="19">
        <v>2.0190318E7</v>
      </c>
      <c r="C304" s="2" t="s">
        <v>2562</v>
      </c>
      <c r="D304" s="2" t="s">
        <v>2455</v>
      </c>
      <c r="E304" s="2" t="s">
        <v>2473</v>
      </c>
      <c r="F304" s="2" t="s">
        <v>2714</v>
      </c>
    </row>
    <row r="305" ht="15.75" customHeight="1">
      <c r="B305" s="19">
        <v>2.0190319E7</v>
      </c>
      <c r="C305" s="2" t="s">
        <v>2534</v>
      </c>
      <c r="D305" s="2" t="s">
        <v>2436</v>
      </c>
      <c r="E305" s="2" t="s">
        <v>2652</v>
      </c>
      <c r="F305" s="2" t="s">
        <v>2714</v>
      </c>
    </row>
    <row r="306" ht="15.75" customHeight="1">
      <c r="B306" s="19">
        <v>2.019032E7</v>
      </c>
      <c r="C306" s="2" t="s">
        <v>2436</v>
      </c>
      <c r="D306" s="2" t="s">
        <v>2576</v>
      </c>
      <c r="E306" s="2" t="s">
        <v>2693</v>
      </c>
      <c r="F306" s="2" t="s">
        <v>2714</v>
      </c>
    </row>
    <row r="307" ht="15.75" customHeight="1">
      <c r="B307" s="19">
        <v>2.0190321E7</v>
      </c>
      <c r="C307" s="2" t="s">
        <v>2475</v>
      </c>
      <c r="D307" s="2" t="s">
        <v>2565</v>
      </c>
      <c r="E307" s="2" t="s">
        <v>2717</v>
      </c>
      <c r="F307" s="2" t="s">
        <v>2714</v>
      </c>
    </row>
    <row r="308" ht="15.75" customHeight="1">
      <c r="B308" s="19">
        <v>2.0190322E7</v>
      </c>
      <c r="C308" s="2" t="s">
        <v>2699</v>
      </c>
      <c r="D308" s="2" t="s">
        <v>2718</v>
      </c>
      <c r="E308" s="2" t="s">
        <v>2448</v>
      </c>
      <c r="F308" s="2" t="s">
        <v>2714</v>
      </c>
    </row>
    <row r="309" ht="15.75" customHeight="1">
      <c r="B309" s="19">
        <v>2.0190325E7</v>
      </c>
      <c r="C309" s="2" t="s">
        <v>2582</v>
      </c>
      <c r="D309" s="2" t="s">
        <v>2441</v>
      </c>
      <c r="E309" s="2" t="s">
        <v>2463</v>
      </c>
      <c r="F309" s="2" t="s">
        <v>2714</v>
      </c>
    </row>
    <row r="310" ht="15.75" customHeight="1">
      <c r="B310" s="19">
        <v>2.0190326E7</v>
      </c>
      <c r="C310" s="2" t="s">
        <v>2719</v>
      </c>
      <c r="D310" s="2" t="s">
        <v>2611</v>
      </c>
      <c r="E310" s="2" t="s">
        <v>2562</v>
      </c>
      <c r="F310" s="2" t="s">
        <v>2714</v>
      </c>
    </row>
    <row r="311" ht="15.75" customHeight="1">
      <c r="B311" s="19">
        <v>2.0190327E7</v>
      </c>
      <c r="C311" s="2" t="s">
        <v>2462</v>
      </c>
      <c r="D311" s="2" t="s">
        <v>2586</v>
      </c>
      <c r="E311" s="2" t="s">
        <v>2597</v>
      </c>
      <c r="F311" s="2" t="s">
        <v>2714</v>
      </c>
    </row>
    <row r="312" ht="15.75" customHeight="1">
      <c r="B312" s="19">
        <v>2.0190328E7</v>
      </c>
      <c r="C312" s="2" t="s">
        <v>2567</v>
      </c>
      <c r="D312" s="2" t="s">
        <v>2650</v>
      </c>
      <c r="E312" s="2" t="s">
        <v>2576</v>
      </c>
      <c r="F312" s="2" t="s">
        <v>2714</v>
      </c>
    </row>
    <row r="313" ht="15.75" customHeight="1">
      <c r="B313" s="19">
        <v>2.0190329E7</v>
      </c>
      <c r="C313" s="2" t="s">
        <v>2441</v>
      </c>
      <c r="D313" s="2" t="s">
        <v>2433</v>
      </c>
      <c r="E313" s="2" t="s">
        <v>2659</v>
      </c>
      <c r="F313" s="2" t="s">
        <v>2714</v>
      </c>
    </row>
    <row r="314" ht="15.75" customHeight="1">
      <c r="B314" s="19">
        <v>2.0190401E7</v>
      </c>
      <c r="C314" s="2" t="s">
        <v>2720</v>
      </c>
      <c r="D314" s="2" t="s">
        <v>2614</v>
      </c>
      <c r="E314" s="2" t="s">
        <v>2721</v>
      </c>
      <c r="F314" s="2" t="s">
        <v>2703</v>
      </c>
    </row>
    <row r="315" ht="15.75" customHeight="1">
      <c r="B315" s="19">
        <v>2.0190402E7</v>
      </c>
      <c r="C315" s="2" t="s">
        <v>2582</v>
      </c>
      <c r="D315" s="2" t="s">
        <v>2471</v>
      </c>
      <c r="E315" s="2" t="s">
        <v>2529</v>
      </c>
      <c r="F315" s="2" t="s">
        <v>2703</v>
      </c>
    </row>
    <row r="316" ht="15.75" customHeight="1">
      <c r="B316" s="19">
        <v>2.0190403E7</v>
      </c>
      <c r="C316" s="2" t="s">
        <v>2617</v>
      </c>
      <c r="D316" s="2" t="s">
        <v>2468</v>
      </c>
      <c r="E316" s="2" t="s">
        <v>2605</v>
      </c>
      <c r="F316" s="2" t="s">
        <v>2703</v>
      </c>
    </row>
    <row r="317" ht="15.75" customHeight="1">
      <c r="B317" s="19">
        <v>2.0190404E7</v>
      </c>
      <c r="C317" s="2" t="s">
        <v>2443</v>
      </c>
      <c r="D317" s="2" t="s">
        <v>2497</v>
      </c>
      <c r="E317" s="2" t="s">
        <v>2615</v>
      </c>
      <c r="F317" s="2" t="s">
        <v>2703</v>
      </c>
    </row>
    <row r="318" ht="15.75" customHeight="1">
      <c r="B318" s="19">
        <v>2.0190405E7</v>
      </c>
      <c r="C318" s="2" t="s">
        <v>2500</v>
      </c>
      <c r="D318" s="2" t="s">
        <v>2496</v>
      </c>
      <c r="E318" s="2" t="s">
        <v>2536</v>
      </c>
      <c r="F318" s="2" t="s">
        <v>2703</v>
      </c>
    </row>
    <row r="319" ht="15.75" customHeight="1">
      <c r="B319" s="19">
        <v>2.0190408E7</v>
      </c>
      <c r="C319" s="2" t="s">
        <v>2485</v>
      </c>
      <c r="D319" s="2" t="s">
        <v>2489</v>
      </c>
      <c r="E319" s="2" t="s">
        <v>2586</v>
      </c>
      <c r="F319" s="2" t="s">
        <v>2703</v>
      </c>
    </row>
    <row r="320" ht="15.75" customHeight="1">
      <c r="B320" s="19">
        <v>2.0190409E7</v>
      </c>
      <c r="C320" s="2" t="s">
        <v>2722</v>
      </c>
      <c r="D320" s="2" t="s">
        <v>2723</v>
      </c>
      <c r="E320" s="2" t="s">
        <v>2508</v>
      </c>
      <c r="F320" s="2" t="s">
        <v>2703</v>
      </c>
    </row>
    <row r="321" ht="15.75" customHeight="1">
      <c r="B321" s="19">
        <v>2.019041E7</v>
      </c>
      <c r="C321" s="2" t="s">
        <v>2610</v>
      </c>
      <c r="D321" s="2" t="s">
        <v>2724</v>
      </c>
      <c r="E321" s="2" t="s">
        <v>2461</v>
      </c>
      <c r="F321" s="2" t="s">
        <v>2703</v>
      </c>
    </row>
    <row r="322" ht="15.75" customHeight="1">
      <c r="B322" s="19">
        <v>2.0190411E7</v>
      </c>
      <c r="C322" s="2" t="s">
        <v>2621</v>
      </c>
      <c r="D322" s="2" t="s">
        <v>2454</v>
      </c>
      <c r="E322" s="2" t="s">
        <v>2544</v>
      </c>
      <c r="F322" s="2" t="s">
        <v>2703</v>
      </c>
    </row>
    <row r="323" ht="15.75" customHeight="1">
      <c r="B323" s="19">
        <v>2.0190412E7</v>
      </c>
      <c r="C323" s="2" t="s">
        <v>2555</v>
      </c>
      <c r="D323" s="2" t="s">
        <v>2462</v>
      </c>
      <c r="E323" s="2" t="s">
        <v>2555</v>
      </c>
      <c r="F323" s="2" t="s">
        <v>2703</v>
      </c>
    </row>
    <row r="324" ht="15.75" customHeight="1">
      <c r="B324" s="19">
        <v>2.0190415E7</v>
      </c>
      <c r="C324" s="2" t="s">
        <v>2534</v>
      </c>
      <c r="D324" s="2" t="s">
        <v>2433</v>
      </c>
      <c r="E324" s="2" t="s">
        <v>2538</v>
      </c>
      <c r="F324" s="2" t="s">
        <v>2703</v>
      </c>
    </row>
    <row r="325" ht="15.75" customHeight="1">
      <c r="B325" s="19">
        <v>2.0190416E7</v>
      </c>
      <c r="C325" s="2" t="s">
        <v>2575</v>
      </c>
      <c r="D325" s="2" t="s">
        <v>2528</v>
      </c>
      <c r="E325" s="2" t="s">
        <v>2524</v>
      </c>
      <c r="F325" s="2" t="s">
        <v>2703</v>
      </c>
    </row>
    <row r="326" ht="15.75" customHeight="1">
      <c r="B326" s="19">
        <v>2.0190417E7</v>
      </c>
      <c r="C326" s="2" t="s">
        <v>2557</v>
      </c>
      <c r="D326" s="2" t="s">
        <v>2604</v>
      </c>
      <c r="E326" s="2" t="s">
        <v>2633</v>
      </c>
      <c r="F326" s="2" t="s">
        <v>2703</v>
      </c>
    </row>
    <row r="327" ht="15.75" customHeight="1">
      <c r="B327" s="19">
        <v>2.0190418E7</v>
      </c>
      <c r="C327" s="2" t="s">
        <v>2483</v>
      </c>
      <c r="D327" s="2" t="s">
        <v>2463</v>
      </c>
      <c r="E327" s="2" t="s">
        <v>2477</v>
      </c>
      <c r="F327" s="2" t="s">
        <v>2703</v>
      </c>
    </row>
    <row r="328" ht="15.75" customHeight="1">
      <c r="B328" s="19">
        <v>2.0190422E7</v>
      </c>
      <c r="C328" s="2" t="s">
        <v>2483</v>
      </c>
      <c r="D328" s="2" t="s">
        <v>2502</v>
      </c>
      <c r="E328" s="2" t="s">
        <v>2723</v>
      </c>
      <c r="F328" s="2" t="s">
        <v>2703</v>
      </c>
    </row>
    <row r="329" ht="15.75" customHeight="1">
      <c r="B329" s="19">
        <v>2.0190423E7</v>
      </c>
      <c r="C329" s="2" t="s">
        <v>2724</v>
      </c>
      <c r="D329" s="2" t="s">
        <v>2600</v>
      </c>
      <c r="E329" s="2" t="s">
        <v>2531</v>
      </c>
      <c r="F329" s="2" t="s">
        <v>2703</v>
      </c>
    </row>
    <row r="330" ht="15.75" customHeight="1">
      <c r="B330" s="19">
        <v>2.0190424E7</v>
      </c>
      <c r="C330" s="2" t="s">
        <v>2551</v>
      </c>
      <c r="D330" s="2" t="s">
        <v>2617</v>
      </c>
      <c r="E330" s="2" t="s">
        <v>2448</v>
      </c>
      <c r="F330" s="2" t="s">
        <v>2703</v>
      </c>
    </row>
    <row r="331" ht="15.75" customHeight="1">
      <c r="B331" s="19">
        <v>2.0190425E7</v>
      </c>
      <c r="C331" s="2" t="s">
        <v>2508</v>
      </c>
      <c r="D331" s="2" t="s">
        <v>2707</v>
      </c>
      <c r="E331" s="2" t="s">
        <v>2518</v>
      </c>
      <c r="F331" s="2" t="s">
        <v>2703</v>
      </c>
    </row>
    <row r="332" ht="15.75" customHeight="1">
      <c r="B332" s="19">
        <v>2.0190426E7</v>
      </c>
      <c r="C332" s="2" t="s">
        <v>2496</v>
      </c>
      <c r="D332" s="2" t="s">
        <v>2712</v>
      </c>
      <c r="E332" s="2" t="s">
        <v>2449</v>
      </c>
      <c r="F332" s="2" t="s">
        <v>2703</v>
      </c>
    </row>
    <row r="333" ht="15.75" customHeight="1">
      <c r="B333" s="19">
        <v>2.0190429E7</v>
      </c>
      <c r="C333" s="2" t="s">
        <v>2542</v>
      </c>
      <c r="D333" s="2" t="s">
        <v>2485</v>
      </c>
      <c r="E333" s="2" t="s">
        <v>2555</v>
      </c>
      <c r="F333" s="2" t="s">
        <v>2703</v>
      </c>
    </row>
    <row r="334" ht="15.75" customHeight="1">
      <c r="B334" s="19">
        <v>2.019043E7</v>
      </c>
      <c r="C334" s="2" t="s">
        <v>2447</v>
      </c>
      <c r="D334" s="2" t="s">
        <v>2604</v>
      </c>
      <c r="E334" s="2" t="s">
        <v>2533</v>
      </c>
      <c r="F334" s="2" t="s">
        <v>2703</v>
      </c>
    </row>
    <row r="335" ht="15.75" customHeight="1">
      <c r="B335" s="19">
        <v>2.0190501E7</v>
      </c>
      <c r="C335" s="2" t="s">
        <v>2725</v>
      </c>
      <c r="D335" s="2" t="s">
        <v>2461</v>
      </c>
      <c r="E335" s="2" t="s">
        <v>2479</v>
      </c>
      <c r="F335" s="2" t="s">
        <v>2714</v>
      </c>
    </row>
    <row r="336" ht="15.75" customHeight="1">
      <c r="B336" s="19">
        <v>2.0190502E7</v>
      </c>
      <c r="C336" s="2" t="s">
        <v>2467</v>
      </c>
      <c r="D336" s="2" t="s">
        <v>2547</v>
      </c>
      <c r="E336" s="2" t="s">
        <v>2630</v>
      </c>
      <c r="F336" s="2" t="s">
        <v>2714</v>
      </c>
    </row>
    <row r="337" ht="15.75" customHeight="1">
      <c r="B337" s="19">
        <v>2.0190503E7</v>
      </c>
      <c r="C337" s="2" t="s">
        <v>2689</v>
      </c>
      <c r="D337" s="2" t="s">
        <v>2464</v>
      </c>
      <c r="E337" s="2" t="s">
        <v>2630</v>
      </c>
      <c r="F337" s="2" t="s">
        <v>2714</v>
      </c>
    </row>
    <row r="338" ht="15.75" customHeight="1">
      <c r="B338" s="19">
        <v>2.0190506E7</v>
      </c>
      <c r="C338" s="2" t="s">
        <v>2436</v>
      </c>
      <c r="D338" s="2" t="s">
        <v>2726</v>
      </c>
      <c r="E338" s="2" t="s">
        <v>2520</v>
      </c>
      <c r="F338" s="2" t="s">
        <v>2714</v>
      </c>
    </row>
    <row r="339" ht="15.75" customHeight="1">
      <c r="B339" s="19">
        <v>2.0190507E7</v>
      </c>
      <c r="C339" s="2" t="s">
        <v>2727</v>
      </c>
      <c r="D339" s="2" t="s">
        <v>2678</v>
      </c>
      <c r="E339" s="2" t="s">
        <v>2597</v>
      </c>
      <c r="F339" s="2" t="s">
        <v>2714</v>
      </c>
    </row>
    <row r="340" ht="15.75" customHeight="1">
      <c r="B340" s="19">
        <v>2.0190508E7</v>
      </c>
      <c r="C340" s="2" t="s">
        <v>2433</v>
      </c>
      <c r="D340" s="2" t="s">
        <v>2444</v>
      </c>
      <c r="E340" s="2" t="s">
        <v>2557</v>
      </c>
      <c r="F340" s="2" t="s">
        <v>2714</v>
      </c>
    </row>
    <row r="341" ht="15.75" customHeight="1">
      <c r="B341" s="19">
        <v>2.0190509E7</v>
      </c>
      <c r="C341" s="2" t="s">
        <v>2678</v>
      </c>
      <c r="D341" s="2" t="s">
        <v>2485</v>
      </c>
      <c r="E341" s="2" t="s">
        <v>2528</v>
      </c>
      <c r="F341" s="2" t="s">
        <v>2714</v>
      </c>
    </row>
    <row r="342" ht="15.75" customHeight="1">
      <c r="B342" s="19">
        <v>2.019051E7</v>
      </c>
      <c r="C342" s="2" t="s">
        <v>2432</v>
      </c>
      <c r="D342" s="2" t="s">
        <v>2571</v>
      </c>
      <c r="E342" s="2" t="s">
        <v>2485</v>
      </c>
      <c r="F342" s="2" t="s">
        <v>2714</v>
      </c>
    </row>
    <row r="343" ht="15.75" customHeight="1">
      <c r="B343" s="19">
        <v>2.0190513E7</v>
      </c>
      <c r="C343" s="2" t="s">
        <v>2728</v>
      </c>
      <c r="D343" s="2" t="s">
        <v>2620</v>
      </c>
      <c r="E343" s="2" t="s">
        <v>2533</v>
      </c>
      <c r="F343" s="2" t="s">
        <v>2714</v>
      </c>
    </row>
    <row r="344" ht="15.75" customHeight="1">
      <c r="B344" s="19">
        <v>2.0190514E7</v>
      </c>
      <c r="C344" s="2" t="s">
        <v>2615</v>
      </c>
      <c r="D344" s="2" t="s">
        <v>2567</v>
      </c>
      <c r="E344" s="2" t="s">
        <v>2479</v>
      </c>
      <c r="F344" s="2" t="s">
        <v>2714</v>
      </c>
    </row>
    <row r="345" ht="15.75" customHeight="1">
      <c r="B345" s="19">
        <v>2.0190515E7</v>
      </c>
      <c r="C345" s="2" t="s">
        <v>2581</v>
      </c>
      <c r="D345" s="2" t="s">
        <v>2445</v>
      </c>
      <c r="E345" s="2" t="s">
        <v>2729</v>
      </c>
      <c r="F345" s="2" t="s">
        <v>2714</v>
      </c>
    </row>
    <row r="346" ht="15.75" customHeight="1">
      <c r="B346" s="19">
        <v>2.0190516E7</v>
      </c>
      <c r="C346" s="2" t="s">
        <v>2641</v>
      </c>
      <c r="D346" s="2" t="s">
        <v>2605</v>
      </c>
      <c r="E346" s="2" t="s">
        <v>2557</v>
      </c>
      <c r="F346" s="2" t="s">
        <v>2714</v>
      </c>
    </row>
    <row r="347" ht="15.75" customHeight="1">
      <c r="B347" s="19">
        <v>2.0190517E7</v>
      </c>
      <c r="C347" s="2" t="s">
        <v>2620</v>
      </c>
      <c r="D347" s="2" t="s">
        <v>2590</v>
      </c>
      <c r="E347" s="2" t="s">
        <v>2603</v>
      </c>
      <c r="F347" s="2" t="s">
        <v>2714</v>
      </c>
    </row>
    <row r="348" ht="15.75" customHeight="1">
      <c r="B348" s="19">
        <v>2.019052E7</v>
      </c>
      <c r="C348" s="2" t="s">
        <v>2722</v>
      </c>
      <c r="D348" s="2" t="s">
        <v>2551</v>
      </c>
      <c r="E348" s="2" t="s">
        <v>2600</v>
      </c>
      <c r="F348" s="2" t="s">
        <v>2714</v>
      </c>
    </row>
    <row r="349" ht="15.75" customHeight="1">
      <c r="B349" s="19">
        <v>2.0190521E7</v>
      </c>
      <c r="C349" s="2" t="s">
        <v>2599</v>
      </c>
      <c r="D349" s="2" t="s">
        <v>2712</v>
      </c>
      <c r="E349" s="2" t="s">
        <v>2442</v>
      </c>
      <c r="F349" s="2" t="s">
        <v>2714</v>
      </c>
    </row>
    <row r="350" ht="15.75" customHeight="1">
      <c r="B350" s="19">
        <v>2.0190522E7</v>
      </c>
      <c r="C350" s="2" t="s">
        <v>2605</v>
      </c>
      <c r="D350" s="2" t="s">
        <v>2494</v>
      </c>
      <c r="E350" s="2" t="s">
        <v>2638</v>
      </c>
      <c r="F350" s="2" t="s">
        <v>2714</v>
      </c>
    </row>
    <row r="351" ht="15.75" customHeight="1">
      <c r="B351" s="19">
        <v>2.0190523E7</v>
      </c>
      <c r="C351" s="2" t="s">
        <v>2730</v>
      </c>
      <c r="D351" s="2" t="s">
        <v>2627</v>
      </c>
      <c r="E351" s="2" t="s">
        <v>2678</v>
      </c>
      <c r="F351" s="2" t="s">
        <v>2714</v>
      </c>
    </row>
    <row r="352" ht="15.75" customHeight="1">
      <c r="B352" s="19">
        <v>2.0190524E7</v>
      </c>
      <c r="C352" s="2" t="s">
        <v>2513</v>
      </c>
      <c r="D352" s="2" t="s">
        <v>2597</v>
      </c>
      <c r="E352" s="2" t="s">
        <v>2453</v>
      </c>
      <c r="F352" s="2" t="s">
        <v>2714</v>
      </c>
    </row>
    <row r="353" ht="15.75" customHeight="1">
      <c r="B353" s="19">
        <v>2.0190528E7</v>
      </c>
      <c r="C353" s="2" t="s">
        <v>2626</v>
      </c>
      <c r="D353" s="2" t="s">
        <v>2603</v>
      </c>
      <c r="E353" s="2" t="s">
        <v>2509</v>
      </c>
      <c r="F353" s="2" t="s">
        <v>2714</v>
      </c>
    </row>
    <row r="354" ht="15.75" customHeight="1">
      <c r="B354" s="19">
        <v>2.0190529E7</v>
      </c>
      <c r="C354" s="2" t="s">
        <v>2646</v>
      </c>
      <c r="D354" s="2" t="s">
        <v>2489</v>
      </c>
      <c r="E354" s="2" t="s">
        <v>2544</v>
      </c>
      <c r="F354" s="2" t="s">
        <v>2714</v>
      </c>
    </row>
    <row r="355" ht="15.75" customHeight="1">
      <c r="B355" s="19">
        <v>2.019053E7</v>
      </c>
      <c r="C355" s="2" t="s">
        <v>2469</v>
      </c>
      <c r="D355" s="2" t="s">
        <v>2678</v>
      </c>
      <c r="E355" s="2" t="s">
        <v>2601</v>
      </c>
      <c r="F355" s="2" t="s">
        <v>2714</v>
      </c>
    </row>
    <row r="356" ht="15.75" customHeight="1">
      <c r="B356" s="19">
        <v>2.0190531E7</v>
      </c>
      <c r="C356" s="2" t="s">
        <v>2730</v>
      </c>
      <c r="D356" s="2" t="s">
        <v>2433</v>
      </c>
      <c r="E356" s="2" t="s">
        <v>2461</v>
      </c>
      <c r="F356" s="2" t="s">
        <v>2714</v>
      </c>
    </row>
    <row r="357" ht="15.75" customHeight="1">
      <c r="B357" s="19">
        <v>2.0190603E7</v>
      </c>
      <c r="C357" s="2" t="s">
        <v>2605</v>
      </c>
      <c r="D357" s="2" t="s">
        <v>2432</v>
      </c>
      <c r="E357" s="2" t="s">
        <v>2672</v>
      </c>
      <c r="F357" s="2" t="s">
        <v>2714</v>
      </c>
    </row>
    <row r="358" ht="15.75" customHeight="1">
      <c r="B358" s="19">
        <v>2.0190604E7</v>
      </c>
      <c r="C358" s="2" t="s">
        <v>2731</v>
      </c>
      <c r="D358" s="2" t="s">
        <v>2438</v>
      </c>
      <c r="E358" s="2" t="s">
        <v>2460</v>
      </c>
      <c r="F358" s="2" t="s">
        <v>2714</v>
      </c>
    </row>
    <row r="359" ht="15.75" customHeight="1">
      <c r="B359" s="19">
        <v>2.0190605E7</v>
      </c>
      <c r="C359" s="2" t="s">
        <v>2524</v>
      </c>
      <c r="D359" s="2" t="s">
        <v>2651</v>
      </c>
      <c r="E359" s="2" t="s">
        <v>2692</v>
      </c>
      <c r="F359" s="2" t="s">
        <v>2714</v>
      </c>
    </row>
    <row r="360" ht="15.75" customHeight="1">
      <c r="B360" s="19">
        <v>2.0190606E7</v>
      </c>
      <c r="C360" s="2" t="s">
        <v>2631</v>
      </c>
      <c r="D360" s="2" t="s">
        <v>2606</v>
      </c>
      <c r="E360" s="2" t="s">
        <v>2458</v>
      </c>
      <c r="F360" s="2" t="s">
        <v>2714</v>
      </c>
    </row>
    <row r="361" ht="15.75" customHeight="1">
      <c r="B361" s="19">
        <v>2.0190607E7</v>
      </c>
      <c r="C361" s="2" t="s">
        <v>2732</v>
      </c>
      <c r="D361" s="2" t="s">
        <v>2445</v>
      </c>
      <c r="E361" s="2" t="s">
        <v>2733</v>
      </c>
      <c r="F361" s="2" t="s">
        <v>2714</v>
      </c>
    </row>
    <row r="362" ht="15.75" customHeight="1">
      <c r="B362" s="19">
        <v>2.019061E7</v>
      </c>
      <c r="C362" s="2" t="s">
        <v>2496</v>
      </c>
      <c r="D362" s="2" t="s">
        <v>2447</v>
      </c>
      <c r="E362" s="2" t="s">
        <v>2485</v>
      </c>
      <c r="F362" s="2" t="s">
        <v>2714</v>
      </c>
    </row>
    <row r="363" ht="15.75" customHeight="1">
      <c r="B363" s="19">
        <v>2.0190611E7</v>
      </c>
      <c r="C363" s="2" t="s">
        <v>2568</v>
      </c>
      <c r="D363" s="2" t="s">
        <v>2463</v>
      </c>
      <c r="E363" s="2" t="s">
        <v>2631</v>
      </c>
      <c r="F363" s="2" t="s">
        <v>2714</v>
      </c>
    </row>
    <row r="364" ht="15.75" customHeight="1">
      <c r="B364" s="19">
        <v>2.0190612E7</v>
      </c>
      <c r="C364" s="2" t="s">
        <v>2593</v>
      </c>
      <c r="D364" s="2" t="s">
        <v>2544</v>
      </c>
      <c r="E364" s="2" t="s">
        <v>2734</v>
      </c>
      <c r="F364" s="2" t="s">
        <v>2714</v>
      </c>
    </row>
    <row r="365" ht="15.75" customHeight="1">
      <c r="B365" s="19">
        <v>2.0190613E7</v>
      </c>
      <c r="C365" s="2" t="s">
        <v>2500</v>
      </c>
      <c r="D365" s="2" t="s">
        <v>2596</v>
      </c>
      <c r="E365" s="2" t="s">
        <v>2447</v>
      </c>
      <c r="F365" s="2" t="s">
        <v>2714</v>
      </c>
    </row>
    <row r="366" ht="15.75" customHeight="1">
      <c r="B366" s="19">
        <v>2.0190614E7</v>
      </c>
      <c r="C366" s="2" t="s">
        <v>2630</v>
      </c>
      <c r="D366" s="2" t="s">
        <v>2735</v>
      </c>
      <c r="E366" s="2" t="s">
        <v>2540</v>
      </c>
      <c r="F366" s="2" t="s">
        <v>2714</v>
      </c>
    </row>
    <row r="367" ht="15.75" customHeight="1">
      <c r="B367" s="19">
        <v>2.0190617E7</v>
      </c>
      <c r="C367" s="2" t="s">
        <v>2446</v>
      </c>
      <c r="D367" s="2" t="s">
        <v>2623</v>
      </c>
      <c r="E367" s="2" t="s">
        <v>2736</v>
      </c>
      <c r="F367" s="2" t="s">
        <v>2714</v>
      </c>
    </row>
    <row r="368" ht="15.75" customHeight="1">
      <c r="B368" s="19">
        <v>2.0190618E7</v>
      </c>
      <c r="C368" s="2" t="s">
        <v>2732</v>
      </c>
      <c r="D368" s="2" t="s">
        <v>2455</v>
      </c>
      <c r="E368" s="2" t="s">
        <v>2561</v>
      </c>
      <c r="F368" s="2" t="s">
        <v>2714</v>
      </c>
    </row>
    <row r="369" ht="15.75" customHeight="1">
      <c r="B369" s="19">
        <v>2.0190619E7</v>
      </c>
      <c r="C369" s="2" t="s">
        <v>2540</v>
      </c>
      <c r="D369" s="2" t="s">
        <v>2483</v>
      </c>
      <c r="E369" s="2" t="s">
        <v>2638</v>
      </c>
      <c r="F369" s="2" t="s">
        <v>2714</v>
      </c>
    </row>
    <row r="370" ht="15.75" customHeight="1">
      <c r="B370" s="19">
        <v>2.019062E7</v>
      </c>
      <c r="C370" s="2" t="s">
        <v>2594</v>
      </c>
      <c r="D370" s="2" t="s">
        <v>2470</v>
      </c>
      <c r="E370" s="2" t="s">
        <v>2551</v>
      </c>
      <c r="F370" s="2" t="s">
        <v>2714</v>
      </c>
    </row>
    <row r="371" ht="15.75" customHeight="1">
      <c r="B371" s="19">
        <v>2.0190621E7</v>
      </c>
      <c r="C371" s="2" t="s">
        <v>2481</v>
      </c>
      <c r="D371" s="2" t="s">
        <v>2577</v>
      </c>
      <c r="E371" s="2" t="s">
        <v>2460</v>
      </c>
      <c r="F371" s="2" t="s">
        <v>2714</v>
      </c>
    </row>
    <row r="372" ht="15.75" customHeight="1">
      <c r="B372" s="19">
        <v>2.0190624E7</v>
      </c>
      <c r="C372" s="2" t="s">
        <v>2466</v>
      </c>
      <c r="D372" s="2" t="s">
        <v>2648</v>
      </c>
      <c r="E372" s="2" t="s">
        <v>2485</v>
      </c>
      <c r="F372" s="2" t="s">
        <v>2714</v>
      </c>
    </row>
    <row r="373" ht="15.75" customHeight="1">
      <c r="B373" s="19">
        <v>2.0190625E7</v>
      </c>
      <c r="C373" s="2" t="s">
        <v>2651</v>
      </c>
      <c r="D373" s="2" t="s">
        <v>2650</v>
      </c>
      <c r="E373" s="2" t="s">
        <v>2598</v>
      </c>
      <c r="F373" s="2" t="s">
        <v>2714</v>
      </c>
    </row>
    <row r="374" ht="15.75" customHeight="1">
      <c r="B374" s="19">
        <v>2.0190626E7</v>
      </c>
      <c r="C374" s="2" t="s">
        <v>2545</v>
      </c>
      <c r="D374" s="2" t="s">
        <v>2582</v>
      </c>
      <c r="E374" s="2" t="s">
        <v>2541</v>
      </c>
      <c r="F374" s="2" t="s">
        <v>2714</v>
      </c>
    </row>
    <row r="375" ht="15.75" customHeight="1">
      <c r="B375" s="19">
        <v>2.0190627E7</v>
      </c>
      <c r="C375" s="2" t="s">
        <v>2726</v>
      </c>
      <c r="D375" s="2" t="s">
        <v>2737</v>
      </c>
      <c r="E375" s="2" t="s">
        <v>2534</v>
      </c>
      <c r="F375" s="2" t="s">
        <v>2714</v>
      </c>
    </row>
    <row r="376" ht="15.75" customHeight="1">
      <c r="B376" s="19">
        <v>2.0190628E7</v>
      </c>
      <c r="C376" s="2" t="s">
        <v>2664</v>
      </c>
      <c r="D376" s="2" t="s">
        <v>2634</v>
      </c>
      <c r="E376" s="2" t="s">
        <v>2602</v>
      </c>
      <c r="F376" s="2" t="s">
        <v>2714</v>
      </c>
    </row>
    <row r="377" ht="15.75" customHeight="1">
      <c r="B377" s="19">
        <v>2.0190701E7</v>
      </c>
      <c r="C377" s="2" t="s">
        <v>2546</v>
      </c>
      <c r="D377" s="2" t="s">
        <v>2474</v>
      </c>
      <c r="E377" s="2" t="s">
        <v>2471</v>
      </c>
      <c r="F377" s="2" t="s">
        <v>2714</v>
      </c>
    </row>
    <row r="378" ht="15.75" customHeight="1">
      <c r="B378" s="19">
        <v>2.0190702E7</v>
      </c>
      <c r="C378" s="2" t="s">
        <v>2469</v>
      </c>
      <c r="D378" s="2" t="s">
        <v>2735</v>
      </c>
      <c r="E378" s="2" t="s">
        <v>2579</v>
      </c>
      <c r="F378" s="2" t="s">
        <v>2714</v>
      </c>
    </row>
    <row r="379" ht="15.75" customHeight="1">
      <c r="B379" s="19">
        <v>2.0190703E7</v>
      </c>
      <c r="C379" s="2" t="s">
        <v>2491</v>
      </c>
      <c r="D379" s="2" t="s">
        <v>2447</v>
      </c>
      <c r="E379" s="2" t="s">
        <v>2587</v>
      </c>
      <c r="F379" s="2" t="s">
        <v>2714</v>
      </c>
    </row>
    <row r="380" ht="15.75" customHeight="1">
      <c r="B380" s="19">
        <v>2.0190705E7</v>
      </c>
      <c r="C380" s="2" t="s">
        <v>2461</v>
      </c>
      <c r="D380" s="2" t="s">
        <v>2455</v>
      </c>
      <c r="E380" s="2" t="s">
        <v>2641</v>
      </c>
      <c r="F380" s="2" t="s">
        <v>2714</v>
      </c>
    </row>
    <row r="381" ht="15.75" customHeight="1">
      <c r="B381" s="19">
        <v>2.0190708E7</v>
      </c>
      <c r="C381" s="2" t="s">
        <v>2492</v>
      </c>
      <c r="D381" s="2" t="s">
        <v>2612</v>
      </c>
      <c r="E381" s="2" t="s">
        <v>2445</v>
      </c>
      <c r="F381" s="2" t="s">
        <v>2714</v>
      </c>
    </row>
    <row r="382" ht="15.75" customHeight="1">
      <c r="B382" s="19">
        <v>2.0190709E7</v>
      </c>
      <c r="C382" s="2" t="s">
        <v>2542</v>
      </c>
      <c r="D382" s="2" t="s">
        <v>2444</v>
      </c>
      <c r="E382" s="2" t="s">
        <v>2511</v>
      </c>
      <c r="F382" s="2" t="s">
        <v>2714</v>
      </c>
    </row>
    <row r="383" ht="15.75" customHeight="1">
      <c r="B383" s="19">
        <v>2.019071E7</v>
      </c>
      <c r="C383" s="2" t="s">
        <v>2567</v>
      </c>
      <c r="D383" s="2" t="s">
        <v>2444</v>
      </c>
      <c r="E383" s="2" t="s">
        <v>2470</v>
      </c>
      <c r="F383" s="2" t="s">
        <v>2714</v>
      </c>
    </row>
    <row r="384" ht="15.75" customHeight="1">
      <c r="B384" s="19">
        <v>2.0190711E7</v>
      </c>
      <c r="C384" s="2" t="s">
        <v>2443</v>
      </c>
      <c r="D384" s="2" t="s">
        <v>2735</v>
      </c>
      <c r="E384" s="2" t="s">
        <v>2488</v>
      </c>
      <c r="F384" s="2" t="s">
        <v>2714</v>
      </c>
    </row>
    <row r="385" ht="15.75" customHeight="1">
      <c r="B385" s="19">
        <v>2.0190712E7</v>
      </c>
      <c r="C385" s="2" t="s">
        <v>2496</v>
      </c>
      <c r="D385" s="2" t="s">
        <v>2542</v>
      </c>
      <c r="E385" s="2" t="s">
        <v>2544</v>
      </c>
      <c r="F385" s="2" t="s">
        <v>2714</v>
      </c>
    </row>
    <row r="386" ht="15.75" customHeight="1">
      <c r="B386" s="19">
        <v>2.0190715E7</v>
      </c>
      <c r="C386" s="2" t="s">
        <v>2447</v>
      </c>
      <c r="D386" s="2" t="s">
        <v>2442</v>
      </c>
      <c r="E386" s="2" t="s">
        <v>2637</v>
      </c>
      <c r="F386" s="2" t="s">
        <v>2714</v>
      </c>
    </row>
    <row r="387" ht="15.75" customHeight="1">
      <c r="B387" s="19">
        <v>2.0190716E7</v>
      </c>
      <c r="C387" s="2" t="s">
        <v>2557</v>
      </c>
      <c r="D387" s="2" t="s">
        <v>2432</v>
      </c>
      <c r="E387" s="2" t="s">
        <v>2586</v>
      </c>
      <c r="F387" s="2" t="s">
        <v>2714</v>
      </c>
    </row>
    <row r="388" ht="15.75" customHeight="1">
      <c r="B388" s="19">
        <v>2.0190717E7</v>
      </c>
      <c r="C388" s="2" t="s">
        <v>2653</v>
      </c>
      <c r="D388" s="2" t="s">
        <v>2444</v>
      </c>
      <c r="E388" s="2" t="s">
        <v>2722</v>
      </c>
      <c r="F388" s="2" t="s">
        <v>2714</v>
      </c>
    </row>
    <row r="389" ht="15.75" customHeight="1">
      <c r="B389" s="19">
        <v>2.0190718E7</v>
      </c>
      <c r="C389" s="2" t="s">
        <v>2432</v>
      </c>
      <c r="D389" s="2" t="s">
        <v>2489</v>
      </c>
      <c r="E389" s="2" t="s">
        <v>2576</v>
      </c>
      <c r="F389" s="2" t="s">
        <v>2714</v>
      </c>
    </row>
    <row r="390" ht="15.75" customHeight="1">
      <c r="B390" s="19">
        <v>2.0190719E7</v>
      </c>
      <c r="C390" s="2" t="s">
        <v>2723</v>
      </c>
      <c r="D390" s="2" t="s">
        <v>2446</v>
      </c>
      <c r="E390" s="2" t="s">
        <v>2613</v>
      </c>
      <c r="F390" s="2" t="s">
        <v>2714</v>
      </c>
    </row>
    <row r="391" ht="15.75" customHeight="1">
      <c r="B391" s="19">
        <v>2.0190722E7</v>
      </c>
      <c r="C391" s="2" t="s">
        <v>2541</v>
      </c>
      <c r="D391" s="2" t="s">
        <v>2612</v>
      </c>
      <c r="E391" s="2" t="s">
        <v>2456</v>
      </c>
      <c r="F391" s="2" t="s">
        <v>2714</v>
      </c>
    </row>
    <row r="392" ht="15.75" customHeight="1">
      <c r="B392" s="19">
        <v>2.0190723E7</v>
      </c>
      <c r="C392" s="2" t="s">
        <v>2555</v>
      </c>
      <c r="D392" s="2" t="s">
        <v>2551</v>
      </c>
      <c r="E392" s="2" t="s">
        <v>2499</v>
      </c>
      <c r="F392" s="2" t="s">
        <v>2714</v>
      </c>
    </row>
    <row r="393" ht="15.75" customHeight="1">
      <c r="B393" s="19">
        <v>2.0190724E7</v>
      </c>
      <c r="C393" s="2" t="s">
        <v>2441</v>
      </c>
      <c r="D393" s="2" t="s">
        <v>2546</v>
      </c>
      <c r="E393" s="2" t="s">
        <v>2613</v>
      </c>
      <c r="F393" s="2" t="s">
        <v>2714</v>
      </c>
    </row>
    <row r="394" ht="15.75" customHeight="1">
      <c r="B394" s="19">
        <v>2.0190725E7</v>
      </c>
      <c r="C394" s="2" t="s">
        <v>2509</v>
      </c>
      <c r="D394" s="2" t="s">
        <v>2647</v>
      </c>
      <c r="E394" s="2" t="s">
        <v>2568</v>
      </c>
      <c r="F394" s="2" t="s">
        <v>2714</v>
      </c>
    </row>
    <row r="395" ht="15.75" customHeight="1">
      <c r="B395" s="19">
        <v>2.0190726E7</v>
      </c>
      <c r="C395" s="2" t="s">
        <v>2572</v>
      </c>
      <c r="D395" s="2" t="s">
        <v>2564</v>
      </c>
      <c r="E395" s="2" t="s">
        <v>2518</v>
      </c>
      <c r="F395" s="2" t="s">
        <v>2714</v>
      </c>
    </row>
    <row r="396" ht="15.75" customHeight="1">
      <c r="B396" s="19">
        <v>2.0190729E7</v>
      </c>
      <c r="C396" s="2" t="s">
        <v>2557</v>
      </c>
      <c r="D396" s="2" t="s">
        <v>2466</v>
      </c>
      <c r="E396" s="2" t="s">
        <v>2502</v>
      </c>
      <c r="F396" s="2" t="s">
        <v>2714</v>
      </c>
    </row>
    <row r="397" ht="15.75" customHeight="1">
      <c r="B397" s="19">
        <v>2.019073E7</v>
      </c>
      <c r="C397" s="2" t="s">
        <v>2616</v>
      </c>
      <c r="D397" s="2" t="s">
        <v>2738</v>
      </c>
      <c r="E397" s="2" t="s">
        <v>2594</v>
      </c>
      <c r="F397" s="2" t="s">
        <v>2714</v>
      </c>
    </row>
    <row r="398" ht="15.75" customHeight="1">
      <c r="B398" s="19">
        <v>2.0190731E7</v>
      </c>
      <c r="C398" s="2" t="s">
        <v>2686</v>
      </c>
      <c r="D398" s="2" t="s">
        <v>2528</v>
      </c>
      <c r="E398" s="2" t="s">
        <v>2602</v>
      </c>
      <c r="F398" s="2" t="s">
        <v>2714</v>
      </c>
    </row>
    <row r="399" ht="15.75" customHeight="1">
      <c r="B399" s="19">
        <v>2.0190801E7</v>
      </c>
      <c r="C399" s="2" t="s">
        <v>2606</v>
      </c>
      <c r="D399" s="2" t="s">
        <v>2520</v>
      </c>
      <c r="E399" s="2" t="s">
        <v>2739</v>
      </c>
      <c r="F399" s="2" t="s">
        <v>2559</v>
      </c>
    </row>
    <row r="400" ht="15.75" customHeight="1">
      <c r="B400" s="19">
        <v>2.0190802E7</v>
      </c>
      <c r="C400" s="2" t="s">
        <v>2740</v>
      </c>
      <c r="D400" s="2" t="s">
        <v>2557</v>
      </c>
      <c r="E400" s="2" t="s">
        <v>2580</v>
      </c>
      <c r="F400" s="2" t="s">
        <v>2559</v>
      </c>
    </row>
    <row r="401" ht="15.75" customHeight="1">
      <c r="B401" s="19">
        <v>2.0190805E7</v>
      </c>
      <c r="C401" s="2" t="s">
        <v>2741</v>
      </c>
      <c r="D401" s="2" t="s">
        <v>2644</v>
      </c>
      <c r="E401" s="2" t="s">
        <v>2621</v>
      </c>
      <c r="F401" s="2" t="s">
        <v>2559</v>
      </c>
    </row>
    <row r="402" ht="15.75" customHeight="1">
      <c r="B402" s="19">
        <v>2.0190806E7</v>
      </c>
      <c r="C402" s="2" t="s">
        <v>2673</v>
      </c>
      <c r="D402" s="2" t="s">
        <v>2520</v>
      </c>
      <c r="E402" s="2" t="s">
        <v>2685</v>
      </c>
      <c r="F402" s="2" t="s">
        <v>2559</v>
      </c>
    </row>
    <row r="403" ht="15.75" customHeight="1">
      <c r="B403" s="19">
        <v>2.0190807E7</v>
      </c>
      <c r="C403" s="2" t="s">
        <v>2449</v>
      </c>
      <c r="D403" s="2" t="s">
        <v>2485</v>
      </c>
      <c r="E403" s="2" t="s">
        <v>2648</v>
      </c>
      <c r="F403" s="2" t="s">
        <v>2559</v>
      </c>
    </row>
    <row r="404" ht="15.75" customHeight="1">
      <c r="B404" s="19">
        <v>2.0190808E7</v>
      </c>
      <c r="C404" s="2" t="s">
        <v>2742</v>
      </c>
      <c r="D404" s="2" t="s">
        <v>2488</v>
      </c>
      <c r="E404" s="2" t="s">
        <v>2551</v>
      </c>
      <c r="F404" s="2" t="s">
        <v>2559</v>
      </c>
    </row>
    <row r="405" ht="15.75" customHeight="1">
      <c r="B405" s="19">
        <v>2.0190809E7</v>
      </c>
      <c r="C405" s="2" t="s">
        <v>2626</v>
      </c>
      <c r="D405" s="2" t="s">
        <v>2520</v>
      </c>
      <c r="E405" s="2" t="s">
        <v>2433</v>
      </c>
      <c r="F405" s="2" t="s">
        <v>2559</v>
      </c>
    </row>
    <row r="406" ht="15.75" customHeight="1">
      <c r="B406" s="19">
        <v>2.0190812E7</v>
      </c>
      <c r="C406" s="2" t="s">
        <v>2743</v>
      </c>
      <c r="D406" s="2" t="s">
        <v>2533</v>
      </c>
      <c r="E406" s="2" t="s">
        <v>2630</v>
      </c>
      <c r="F406" s="2" t="s">
        <v>2559</v>
      </c>
    </row>
    <row r="407" ht="15.75" customHeight="1">
      <c r="B407" s="19">
        <v>2.0190813E7</v>
      </c>
      <c r="C407" s="2" t="s">
        <v>2744</v>
      </c>
      <c r="D407" s="2" t="s">
        <v>2616</v>
      </c>
      <c r="E407" s="2" t="s">
        <v>2538</v>
      </c>
      <c r="F407" s="2" t="s">
        <v>2559</v>
      </c>
    </row>
    <row r="408" ht="15.75" customHeight="1">
      <c r="B408" s="19">
        <v>2.0190814E7</v>
      </c>
      <c r="C408" s="2" t="s">
        <v>2745</v>
      </c>
      <c r="D408" s="2" t="s">
        <v>2468</v>
      </c>
      <c r="E408" s="2" t="s">
        <v>2477</v>
      </c>
      <c r="F408" s="2" t="s">
        <v>2559</v>
      </c>
    </row>
    <row r="409" ht="15.75" customHeight="1">
      <c r="B409" s="19">
        <v>2.0190815E7</v>
      </c>
      <c r="C409" s="2" t="s">
        <v>2455</v>
      </c>
      <c r="D409" s="2" t="s">
        <v>2476</v>
      </c>
      <c r="E409" s="2" t="s">
        <v>2538</v>
      </c>
      <c r="F409" s="2" t="s">
        <v>2559</v>
      </c>
    </row>
    <row r="410" ht="15.75" customHeight="1">
      <c r="B410" s="19">
        <v>2.0190816E7</v>
      </c>
      <c r="C410" s="2" t="s">
        <v>2676</v>
      </c>
      <c r="D410" s="2" t="s">
        <v>2500</v>
      </c>
      <c r="E410" s="2" t="s">
        <v>2602</v>
      </c>
      <c r="F410" s="2" t="s">
        <v>2559</v>
      </c>
    </row>
    <row r="411" ht="15.75" customHeight="1">
      <c r="B411" s="19">
        <v>2.0190819E7</v>
      </c>
      <c r="C411" s="2" t="s">
        <v>2746</v>
      </c>
      <c r="D411" s="2" t="s">
        <v>2458</v>
      </c>
      <c r="E411" s="2" t="s">
        <v>2468</v>
      </c>
      <c r="F411" s="2" t="s">
        <v>2559</v>
      </c>
    </row>
    <row r="412" ht="15.75" customHeight="1">
      <c r="B412" s="19">
        <v>2.019082E7</v>
      </c>
      <c r="C412" s="2" t="s">
        <v>2707</v>
      </c>
      <c r="D412" s="2" t="s">
        <v>2565</v>
      </c>
      <c r="E412" s="2" t="s">
        <v>2462</v>
      </c>
      <c r="F412" s="2" t="s">
        <v>2559</v>
      </c>
    </row>
    <row r="413" ht="15.75" customHeight="1">
      <c r="B413" s="19">
        <v>2.0190821E7</v>
      </c>
      <c r="C413" s="2" t="s">
        <v>2431</v>
      </c>
      <c r="D413" s="2" t="s">
        <v>2445</v>
      </c>
      <c r="E413" s="2" t="s">
        <v>2614</v>
      </c>
      <c r="F413" s="2" t="s">
        <v>2559</v>
      </c>
    </row>
    <row r="414" ht="15.75" customHeight="1">
      <c r="B414" s="19">
        <v>2.0190822E7</v>
      </c>
      <c r="C414" s="2" t="s">
        <v>2461</v>
      </c>
      <c r="D414" s="2" t="s">
        <v>2538</v>
      </c>
      <c r="E414" s="2" t="s">
        <v>2506</v>
      </c>
      <c r="F414" s="2" t="s">
        <v>2559</v>
      </c>
    </row>
    <row r="415" ht="15.75" customHeight="1">
      <c r="B415" s="19">
        <v>2.0190823E7</v>
      </c>
      <c r="C415" s="2" t="s">
        <v>2747</v>
      </c>
      <c r="D415" s="2" t="s">
        <v>2595</v>
      </c>
      <c r="E415" s="2" t="s">
        <v>2437</v>
      </c>
      <c r="F415" s="2" t="s">
        <v>2559</v>
      </c>
    </row>
    <row r="416" ht="15.75" customHeight="1">
      <c r="B416" s="19">
        <v>2.0190826E7</v>
      </c>
      <c r="C416" s="2" t="s">
        <v>2578</v>
      </c>
      <c r="D416" s="2" t="s">
        <v>2479</v>
      </c>
      <c r="E416" s="2" t="s">
        <v>2616</v>
      </c>
      <c r="F416" s="2" t="s">
        <v>2559</v>
      </c>
    </row>
    <row r="417" ht="15.75" customHeight="1">
      <c r="B417" s="19">
        <v>2.0190827E7</v>
      </c>
      <c r="C417" s="2" t="s">
        <v>2502</v>
      </c>
      <c r="D417" s="2" t="s">
        <v>2661</v>
      </c>
      <c r="E417" s="2" t="s">
        <v>2537</v>
      </c>
      <c r="F417" s="2" t="s">
        <v>2559</v>
      </c>
    </row>
    <row r="418" ht="15.75" customHeight="1">
      <c r="B418" s="19">
        <v>2.0190828E7</v>
      </c>
      <c r="C418" s="2" t="s">
        <v>2664</v>
      </c>
      <c r="D418" s="2" t="s">
        <v>2535</v>
      </c>
      <c r="E418" s="2" t="s">
        <v>2642</v>
      </c>
      <c r="F418" s="2" t="s">
        <v>2559</v>
      </c>
    </row>
    <row r="419" ht="15.75" customHeight="1">
      <c r="B419" s="19">
        <v>2.0190829E7</v>
      </c>
      <c r="C419" s="2" t="s">
        <v>2674</v>
      </c>
      <c r="D419" s="2" t="s">
        <v>2453</v>
      </c>
      <c r="E419" s="2" t="s">
        <v>2650</v>
      </c>
      <c r="F419" s="2" t="s">
        <v>2559</v>
      </c>
    </row>
    <row r="420" ht="15.75" customHeight="1">
      <c r="B420" s="19">
        <v>2.019083E7</v>
      </c>
      <c r="C420" s="2" t="s">
        <v>2484</v>
      </c>
      <c r="D420" s="2" t="s">
        <v>2495</v>
      </c>
      <c r="E420" s="2" t="s">
        <v>2513</v>
      </c>
      <c r="F420" s="2" t="s">
        <v>2559</v>
      </c>
    </row>
    <row r="421" ht="15.75" customHeight="1">
      <c r="B421" s="19">
        <v>2.0190903E7</v>
      </c>
      <c r="C421" s="2" t="s">
        <v>2679</v>
      </c>
      <c r="D421" s="2" t="s">
        <v>2748</v>
      </c>
      <c r="E421" s="2" t="s">
        <v>2586</v>
      </c>
      <c r="F421" s="2" t="s">
        <v>2714</v>
      </c>
    </row>
    <row r="422" ht="15.75" customHeight="1">
      <c r="B422" s="19">
        <v>2.0190904E7</v>
      </c>
      <c r="C422" s="2" t="s">
        <v>2578</v>
      </c>
      <c r="D422" s="2" t="s">
        <v>2433</v>
      </c>
      <c r="E422" s="2" t="s">
        <v>2712</v>
      </c>
      <c r="F422" s="2" t="s">
        <v>2714</v>
      </c>
    </row>
    <row r="423" ht="15.75" customHeight="1">
      <c r="B423" s="19">
        <v>2.0190905E7</v>
      </c>
      <c r="C423" s="2" t="s">
        <v>2737</v>
      </c>
      <c r="D423" s="2" t="s">
        <v>2567</v>
      </c>
      <c r="E423" s="2" t="s">
        <v>2598</v>
      </c>
      <c r="F423" s="2" t="s">
        <v>2714</v>
      </c>
    </row>
    <row r="424" ht="15.75" customHeight="1">
      <c r="B424" s="19">
        <v>2.0190906E7</v>
      </c>
      <c r="C424" s="2" t="s">
        <v>2479</v>
      </c>
      <c r="D424" s="2" t="s">
        <v>2436</v>
      </c>
      <c r="E424" s="2" t="s">
        <v>2488</v>
      </c>
      <c r="F424" s="2" t="s">
        <v>2714</v>
      </c>
    </row>
    <row r="425" ht="15.75" customHeight="1">
      <c r="B425" s="19">
        <v>2.0190909E7</v>
      </c>
      <c r="C425" s="2" t="s">
        <v>2449</v>
      </c>
      <c r="D425" s="2" t="s">
        <v>2546</v>
      </c>
      <c r="E425" s="2" t="s">
        <v>2749</v>
      </c>
      <c r="F425" s="2" t="s">
        <v>2714</v>
      </c>
    </row>
    <row r="426" ht="15.75" customHeight="1">
      <c r="B426" s="19">
        <v>2.019091E7</v>
      </c>
      <c r="C426" s="2" t="s">
        <v>2611</v>
      </c>
      <c r="D426" s="2" t="s">
        <v>2526</v>
      </c>
      <c r="E426" s="2" t="s">
        <v>2689</v>
      </c>
      <c r="F426" s="2" t="s">
        <v>2714</v>
      </c>
    </row>
    <row r="427" ht="15.75" customHeight="1">
      <c r="B427" s="19">
        <v>2.0190911E7</v>
      </c>
      <c r="C427" s="2" t="s">
        <v>2625</v>
      </c>
      <c r="D427" s="2" t="s">
        <v>2607</v>
      </c>
      <c r="E427" s="2" t="s">
        <v>2447</v>
      </c>
      <c r="F427" s="2" t="s">
        <v>2714</v>
      </c>
    </row>
    <row r="428" ht="15.75" customHeight="1">
      <c r="B428" s="19">
        <v>2.0190912E7</v>
      </c>
      <c r="C428" s="2" t="s">
        <v>2468</v>
      </c>
      <c r="D428" s="2" t="s">
        <v>2614</v>
      </c>
      <c r="E428" s="2" t="s">
        <v>2471</v>
      </c>
      <c r="F428" s="2" t="s">
        <v>2714</v>
      </c>
    </row>
    <row r="429" ht="15.75" customHeight="1">
      <c r="B429" s="19">
        <v>2.0190913E7</v>
      </c>
      <c r="C429" s="2" t="s">
        <v>2644</v>
      </c>
      <c r="D429" s="2" t="s">
        <v>2458</v>
      </c>
      <c r="E429" s="2" t="s">
        <v>2643</v>
      </c>
      <c r="F429" s="2" t="s">
        <v>2714</v>
      </c>
    </row>
    <row r="430" ht="15.75" customHeight="1">
      <c r="B430" s="19">
        <v>2.0190916E7</v>
      </c>
      <c r="C430" s="2" t="s">
        <v>2551</v>
      </c>
      <c r="D430" s="2" t="s">
        <v>2599</v>
      </c>
      <c r="E430" s="2" t="s">
        <v>2496</v>
      </c>
      <c r="F430" s="2" t="s">
        <v>2714</v>
      </c>
    </row>
    <row r="431" ht="15.75" customHeight="1">
      <c r="B431" s="19">
        <v>2.0190917E7</v>
      </c>
      <c r="C431" s="2" t="s">
        <v>2611</v>
      </c>
      <c r="D431" s="2" t="s">
        <v>2685</v>
      </c>
      <c r="E431" s="2" t="s">
        <v>2521</v>
      </c>
      <c r="F431" s="2" t="s">
        <v>2714</v>
      </c>
    </row>
    <row r="432" ht="15.75" customHeight="1">
      <c r="B432" s="19">
        <v>2.0190918E7</v>
      </c>
      <c r="C432" s="2" t="s">
        <v>2582</v>
      </c>
      <c r="D432" s="2" t="s">
        <v>2601</v>
      </c>
      <c r="E432" s="2" t="s">
        <v>2580</v>
      </c>
      <c r="F432" s="2" t="s">
        <v>2714</v>
      </c>
    </row>
    <row r="433" ht="15.75" customHeight="1">
      <c r="B433" s="19">
        <v>2.0190919E7</v>
      </c>
      <c r="C433" s="2" t="s">
        <v>2582</v>
      </c>
      <c r="D433" s="2" t="s">
        <v>2511</v>
      </c>
      <c r="E433" s="2" t="s">
        <v>2502</v>
      </c>
      <c r="F433" s="2" t="s">
        <v>2714</v>
      </c>
    </row>
    <row r="434" ht="15.75" customHeight="1">
      <c r="B434" s="19">
        <v>2.019092E7</v>
      </c>
      <c r="C434" s="2" t="s">
        <v>2531</v>
      </c>
      <c r="D434" s="2" t="s">
        <v>2603</v>
      </c>
      <c r="E434" s="2" t="s">
        <v>2446</v>
      </c>
      <c r="F434" s="2" t="s">
        <v>2714</v>
      </c>
    </row>
    <row r="435" ht="15.75" customHeight="1">
      <c r="B435" s="19">
        <v>2.0190923E7</v>
      </c>
      <c r="C435" s="2" t="s">
        <v>2479</v>
      </c>
      <c r="D435" s="2" t="s">
        <v>2616</v>
      </c>
      <c r="E435" s="2" t="s">
        <v>2549</v>
      </c>
      <c r="F435" s="2" t="s">
        <v>2714</v>
      </c>
    </row>
    <row r="436" ht="15.75" customHeight="1">
      <c r="B436" s="19">
        <v>2.0190924E7</v>
      </c>
      <c r="C436" s="2" t="s">
        <v>2675</v>
      </c>
      <c r="D436" s="2" t="s">
        <v>2620</v>
      </c>
      <c r="E436" s="2" t="s">
        <v>2621</v>
      </c>
      <c r="F436" s="2" t="s">
        <v>2714</v>
      </c>
    </row>
    <row r="437" ht="15.75" customHeight="1">
      <c r="B437" s="19">
        <v>2.0190925E7</v>
      </c>
      <c r="C437" s="2" t="s">
        <v>2527</v>
      </c>
      <c r="D437" s="2" t="s">
        <v>2510</v>
      </c>
      <c r="E437" s="2" t="s">
        <v>2496</v>
      </c>
      <c r="F437" s="2" t="s">
        <v>2714</v>
      </c>
    </row>
    <row r="438" ht="15.75" customHeight="1">
      <c r="B438" s="19">
        <v>2.0190926E7</v>
      </c>
      <c r="C438" s="2" t="s">
        <v>2514</v>
      </c>
      <c r="D438" s="2" t="s">
        <v>2729</v>
      </c>
      <c r="E438" s="2" t="s">
        <v>2483</v>
      </c>
      <c r="F438" s="2" t="s">
        <v>2714</v>
      </c>
    </row>
    <row r="439" ht="15.75" customHeight="1">
      <c r="B439" s="19">
        <v>2.0190927E7</v>
      </c>
      <c r="C439" s="2" t="s">
        <v>2478</v>
      </c>
      <c r="D439" s="2" t="s">
        <v>2466</v>
      </c>
      <c r="E439" s="2" t="s">
        <v>2625</v>
      </c>
      <c r="F439" s="2" t="s">
        <v>2714</v>
      </c>
    </row>
    <row r="440" ht="15.75" customHeight="1">
      <c r="B440" s="19">
        <v>2.019093E7</v>
      </c>
      <c r="C440" s="2" t="s">
        <v>2597</v>
      </c>
      <c r="D440" s="2" t="s">
        <v>2616</v>
      </c>
      <c r="E440" s="2" t="s">
        <v>2531</v>
      </c>
      <c r="F440" s="2" t="s">
        <v>2714</v>
      </c>
    </row>
    <row r="441" ht="15.75" customHeight="1">
      <c r="B441" s="19">
        <v>2.0191001E7</v>
      </c>
      <c r="C441" s="2" t="s">
        <v>2750</v>
      </c>
      <c r="D441" s="2" t="s">
        <v>2502</v>
      </c>
      <c r="E441" s="2" t="s">
        <v>2685</v>
      </c>
      <c r="F441" s="2" t="s">
        <v>2559</v>
      </c>
    </row>
    <row r="442" ht="15.75" customHeight="1">
      <c r="B442" s="19">
        <v>2.0191002E7</v>
      </c>
      <c r="C442" s="2" t="s">
        <v>2751</v>
      </c>
      <c r="D442" s="2" t="s">
        <v>2599</v>
      </c>
      <c r="E442" s="2" t="s">
        <v>2470</v>
      </c>
      <c r="F442" s="2" t="s">
        <v>2559</v>
      </c>
    </row>
    <row r="443" ht="15.75" customHeight="1">
      <c r="B443" s="19">
        <v>2.0191003E7</v>
      </c>
      <c r="C443" s="2" t="s">
        <v>2752</v>
      </c>
      <c r="D443" s="2" t="s">
        <v>2433</v>
      </c>
      <c r="E443" s="2" t="s">
        <v>2753</v>
      </c>
      <c r="F443" s="2" t="s">
        <v>2559</v>
      </c>
    </row>
    <row r="444" ht="15.75" customHeight="1">
      <c r="B444" s="19">
        <v>2.0191004E7</v>
      </c>
      <c r="C444" s="2" t="s">
        <v>2754</v>
      </c>
      <c r="D444" s="2" t="s">
        <v>2577</v>
      </c>
      <c r="E444" s="2" t="s">
        <v>2448</v>
      </c>
      <c r="F444" s="2" t="s">
        <v>2559</v>
      </c>
    </row>
    <row r="445" ht="15.75" customHeight="1">
      <c r="B445" s="19">
        <v>2.0191007E7</v>
      </c>
      <c r="C445" s="2" t="s">
        <v>2514</v>
      </c>
      <c r="D445" s="2" t="s">
        <v>2455</v>
      </c>
      <c r="E445" s="2" t="s">
        <v>2479</v>
      </c>
      <c r="F445" s="2" t="s">
        <v>2559</v>
      </c>
    </row>
    <row r="446" ht="15.75" customHeight="1">
      <c r="B446" s="19">
        <v>2.0191008E7</v>
      </c>
      <c r="C446" s="2" t="s">
        <v>2755</v>
      </c>
      <c r="D446" s="2" t="s">
        <v>2471</v>
      </c>
      <c r="E446" s="2" t="s">
        <v>2568</v>
      </c>
      <c r="F446" s="2" t="s">
        <v>2559</v>
      </c>
    </row>
    <row r="447" ht="15.75" customHeight="1">
      <c r="B447" s="19">
        <v>2.0191009E7</v>
      </c>
      <c r="C447" s="2" t="s">
        <v>2569</v>
      </c>
      <c r="D447" s="2" t="s">
        <v>2595</v>
      </c>
      <c r="E447" s="2" t="s">
        <v>2534</v>
      </c>
      <c r="F447" s="2" t="s">
        <v>2559</v>
      </c>
    </row>
    <row r="448" ht="15.75" customHeight="1">
      <c r="B448" s="19">
        <v>2.019101E7</v>
      </c>
      <c r="C448" s="2" t="s">
        <v>2435</v>
      </c>
      <c r="D448" s="2" t="s">
        <v>2605</v>
      </c>
      <c r="E448" s="2" t="s">
        <v>2505</v>
      </c>
      <c r="F448" s="2" t="s">
        <v>2559</v>
      </c>
    </row>
    <row r="449" ht="15.75" customHeight="1">
      <c r="B449" s="19">
        <v>2.0191011E7</v>
      </c>
      <c r="C449" s="2" t="s">
        <v>2756</v>
      </c>
      <c r="D449" s="2" t="s">
        <v>2535</v>
      </c>
      <c r="E449" s="2" t="s">
        <v>2443</v>
      </c>
      <c r="F449" s="2" t="s">
        <v>2559</v>
      </c>
    </row>
    <row r="450" ht="15.75" customHeight="1">
      <c r="B450" s="19">
        <v>2.0191014E7</v>
      </c>
      <c r="C450" s="2" t="s">
        <v>2437</v>
      </c>
      <c r="D450" s="2" t="s">
        <v>2466</v>
      </c>
      <c r="E450" s="2" t="s">
        <v>2447</v>
      </c>
      <c r="F450" s="2" t="s">
        <v>2559</v>
      </c>
    </row>
    <row r="451" ht="15.75" customHeight="1">
      <c r="B451" s="19">
        <v>2.0191015E7</v>
      </c>
      <c r="C451" s="2" t="s">
        <v>2757</v>
      </c>
      <c r="D451" s="2" t="s">
        <v>2541</v>
      </c>
      <c r="E451" s="2" t="s">
        <v>2463</v>
      </c>
      <c r="F451" s="2" t="s">
        <v>2559</v>
      </c>
    </row>
    <row r="452" ht="15.75" customHeight="1">
      <c r="B452" s="19">
        <v>2.0191016E7</v>
      </c>
      <c r="C452" s="2" t="s">
        <v>2503</v>
      </c>
      <c r="D452" s="2" t="s">
        <v>2567</v>
      </c>
      <c r="E452" s="2" t="s">
        <v>2513</v>
      </c>
      <c r="F452" s="2" t="s">
        <v>2559</v>
      </c>
    </row>
    <row r="453" ht="15.75" customHeight="1">
      <c r="B453" s="19">
        <v>2.0191017E7</v>
      </c>
      <c r="C453" s="2" t="s">
        <v>2530</v>
      </c>
      <c r="D453" s="2" t="s">
        <v>2752</v>
      </c>
      <c r="E453" s="2" t="s">
        <v>2678</v>
      </c>
      <c r="F453" s="2" t="s">
        <v>2559</v>
      </c>
    </row>
    <row r="454" ht="15.75" customHeight="1">
      <c r="B454" s="19">
        <v>2.0191018E7</v>
      </c>
      <c r="C454" s="2" t="s">
        <v>2456</v>
      </c>
      <c r="D454" s="2" t="s">
        <v>2470</v>
      </c>
      <c r="E454" s="2" t="s">
        <v>2613</v>
      </c>
      <c r="F454" s="2" t="s">
        <v>2559</v>
      </c>
    </row>
    <row r="455" ht="15.75" customHeight="1">
      <c r="B455" s="19">
        <v>2.0191021E7</v>
      </c>
      <c r="C455" s="2" t="s">
        <v>2598</v>
      </c>
      <c r="D455" s="2" t="s">
        <v>2455</v>
      </c>
      <c r="E455" s="2" t="s">
        <v>2432</v>
      </c>
      <c r="F455" s="2" t="s">
        <v>2559</v>
      </c>
    </row>
    <row r="456" ht="15.75" customHeight="1">
      <c r="B456" s="19">
        <v>2.0191022E7</v>
      </c>
      <c r="C456" s="2" t="s">
        <v>2466</v>
      </c>
      <c r="D456" s="2" t="s">
        <v>2468</v>
      </c>
      <c r="E456" s="2" t="s">
        <v>2431</v>
      </c>
      <c r="F456" s="2" t="s">
        <v>2559</v>
      </c>
    </row>
    <row r="457" ht="15.75" customHeight="1">
      <c r="B457" s="19">
        <v>2.0191023E7</v>
      </c>
      <c r="C457" s="2" t="s">
        <v>2541</v>
      </c>
      <c r="D457" s="2" t="s">
        <v>2534</v>
      </c>
      <c r="E457" s="2" t="s">
        <v>2505</v>
      </c>
      <c r="F457" s="2" t="s">
        <v>2559</v>
      </c>
    </row>
    <row r="458" ht="15.75" customHeight="1">
      <c r="B458" s="19">
        <v>2.0191024E7</v>
      </c>
      <c r="C458" s="2" t="s">
        <v>2541</v>
      </c>
      <c r="D458" s="2" t="s">
        <v>2439</v>
      </c>
      <c r="E458" s="2" t="s">
        <v>2753</v>
      </c>
      <c r="F458" s="2" t="s">
        <v>2559</v>
      </c>
    </row>
    <row r="459" ht="15.75" customHeight="1">
      <c r="B459" s="19">
        <v>2.0191025E7</v>
      </c>
      <c r="C459" s="2" t="s">
        <v>2549</v>
      </c>
      <c r="D459" s="2" t="s">
        <v>2617</v>
      </c>
      <c r="E459" s="2" t="s">
        <v>2485</v>
      </c>
      <c r="F459" s="2" t="s">
        <v>2559</v>
      </c>
    </row>
    <row r="460" ht="15.75" customHeight="1">
      <c r="B460" s="19">
        <v>2.0191028E7</v>
      </c>
      <c r="C460" s="2" t="s">
        <v>2642</v>
      </c>
      <c r="D460" s="2" t="s">
        <v>2617</v>
      </c>
      <c r="E460" s="2" t="s">
        <v>2503</v>
      </c>
      <c r="F460" s="2" t="s">
        <v>2559</v>
      </c>
    </row>
    <row r="461" ht="15.75" customHeight="1">
      <c r="B461" s="19">
        <v>2.0191029E7</v>
      </c>
      <c r="C461" s="2" t="s">
        <v>2471</v>
      </c>
      <c r="D461" s="2" t="s">
        <v>2565</v>
      </c>
      <c r="E461" s="2" t="s">
        <v>2549</v>
      </c>
      <c r="F461" s="2" t="s">
        <v>2559</v>
      </c>
    </row>
    <row r="462" ht="15.75" customHeight="1">
      <c r="B462" s="19">
        <v>2.019103E7</v>
      </c>
      <c r="C462" s="2" t="s">
        <v>2617</v>
      </c>
      <c r="D462" s="2" t="s">
        <v>2571</v>
      </c>
      <c r="E462" s="2" t="s">
        <v>2688</v>
      </c>
      <c r="F462" s="2" t="s">
        <v>2559</v>
      </c>
    </row>
    <row r="463" ht="15.75" customHeight="1">
      <c r="B463" s="19">
        <v>2.0191031E7</v>
      </c>
      <c r="C463" s="2" t="s">
        <v>2495</v>
      </c>
      <c r="D463" s="2" t="s">
        <v>2439</v>
      </c>
      <c r="E463" s="2" t="s">
        <v>2529</v>
      </c>
      <c r="F463" s="2" t="s">
        <v>2559</v>
      </c>
    </row>
    <row r="464" ht="15.75" customHeight="1">
      <c r="B464" s="19">
        <v>2.0191101E7</v>
      </c>
      <c r="C464" s="2" t="s">
        <v>2578</v>
      </c>
      <c r="D464" s="2" t="s">
        <v>2610</v>
      </c>
      <c r="E464" s="2" t="s">
        <v>2633</v>
      </c>
      <c r="F464" s="2" t="s">
        <v>2434</v>
      </c>
    </row>
    <row r="465" ht="15.75" customHeight="1">
      <c r="B465" s="19">
        <v>2.0191104E7</v>
      </c>
      <c r="C465" s="2" t="s">
        <v>2567</v>
      </c>
      <c r="D465" s="2" t="s">
        <v>2458</v>
      </c>
      <c r="E465" s="2" t="s">
        <v>2674</v>
      </c>
      <c r="F465" s="2" t="s">
        <v>2434</v>
      </c>
    </row>
    <row r="466" ht="15.75" customHeight="1">
      <c r="B466" s="19">
        <v>2.0191105E7</v>
      </c>
      <c r="C466" s="2" t="s">
        <v>2460</v>
      </c>
      <c r="D466" s="2" t="s">
        <v>2440</v>
      </c>
      <c r="E466" s="2" t="s">
        <v>2547</v>
      </c>
      <c r="F466" s="2" t="s">
        <v>2434</v>
      </c>
    </row>
    <row r="467" ht="15.75" customHeight="1">
      <c r="B467" s="19">
        <v>2.0191106E7</v>
      </c>
      <c r="C467" s="2" t="s">
        <v>2582</v>
      </c>
      <c r="D467" s="2" t="s">
        <v>2758</v>
      </c>
      <c r="E467" s="2" t="s">
        <v>2513</v>
      </c>
      <c r="F467" s="2" t="s">
        <v>2434</v>
      </c>
    </row>
    <row r="468" ht="15.75" customHeight="1">
      <c r="B468" s="19">
        <v>2.0191107E7</v>
      </c>
      <c r="C468" s="2" t="s">
        <v>2654</v>
      </c>
      <c r="D468" s="2" t="s">
        <v>2508</v>
      </c>
      <c r="E468" s="2" t="s">
        <v>2549</v>
      </c>
      <c r="F468" s="2" t="s">
        <v>2434</v>
      </c>
    </row>
    <row r="469" ht="15.75" customHeight="1">
      <c r="B469" s="19">
        <v>2.0191108E7</v>
      </c>
      <c r="C469" s="2" t="s">
        <v>2453</v>
      </c>
      <c r="D469" s="2" t="s">
        <v>2580</v>
      </c>
      <c r="E469" s="2" t="s">
        <v>2470</v>
      </c>
      <c r="F469" s="2" t="s">
        <v>2434</v>
      </c>
    </row>
    <row r="470" ht="15.75" customHeight="1">
      <c r="B470" s="19">
        <v>2.0191111E7</v>
      </c>
      <c r="C470" s="2" t="s">
        <v>2518</v>
      </c>
      <c r="D470" s="2" t="s">
        <v>2621</v>
      </c>
      <c r="E470" s="2" t="s">
        <v>2518</v>
      </c>
      <c r="F470" s="2" t="s">
        <v>2434</v>
      </c>
    </row>
    <row r="471" ht="15.75" customHeight="1">
      <c r="B471" s="19">
        <v>2.0191112E7</v>
      </c>
      <c r="C471" s="2" t="s">
        <v>2455</v>
      </c>
      <c r="D471" s="2" t="s">
        <v>2568</v>
      </c>
      <c r="E471" s="2" t="s">
        <v>2444</v>
      </c>
      <c r="F471" s="2" t="s">
        <v>2434</v>
      </c>
    </row>
    <row r="472" ht="15.75" customHeight="1">
      <c r="B472" s="19">
        <v>2.0191113E7</v>
      </c>
      <c r="C472" s="2" t="s">
        <v>2458</v>
      </c>
      <c r="D472" s="2" t="s">
        <v>2433</v>
      </c>
      <c r="E472" s="2" t="s">
        <v>2635</v>
      </c>
      <c r="F472" s="2" t="s">
        <v>2434</v>
      </c>
    </row>
    <row r="473" ht="15.75" customHeight="1">
      <c r="B473" s="19">
        <v>2.0191114E7</v>
      </c>
      <c r="C473" s="2" t="s">
        <v>2449</v>
      </c>
      <c r="D473" s="2" t="s">
        <v>2609</v>
      </c>
      <c r="E473" s="2" t="s">
        <v>2463</v>
      </c>
      <c r="F473" s="2" t="s">
        <v>2434</v>
      </c>
    </row>
    <row r="474" ht="15.75" customHeight="1">
      <c r="B474" s="19">
        <v>2.0191115E7</v>
      </c>
      <c r="C474" s="2" t="s">
        <v>2643</v>
      </c>
      <c r="D474" s="2" t="s">
        <v>2439</v>
      </c>
      <c r="E474" s="2" t="s">
        <v>2466</v>
      </c>
      <c r="F474" s="2" t="s">
        <v>2434</v>
      </c>
    </row>
    <row r="475" ht="15.75" customHeight="1">
      <c r="B475" s="19">
        <v>2.0191118E7</v>
      </c>
      <c r="C475" s="2" t="s">
        <v>2576</v>
      </c>
      <c r="D475" s="2" t="s">
        <v>2442</v>
      </c>
      <c r="E475" s="2" t="s">
        <v>2477</v>
      </c>
      <c r="F475" s="2" t="s">
        <v>2434</v>
      </c>
    </row>
    <row r="476" ht="15.75" customHeight="1">
      <c r="B476" s="19">
        <v>2.0191119E7</v>
      </c>
      <c r="C476" s="2" t="s">
        <v>2576</v>
      </c>
      <c r="D476" s="2" t="s">
        <v>2581</v>
      </c>
      <c r="E476" s="2" t="s">
        <v>2710</v>
      </c>
      <c r="F476" s="2" t="s">
        <v>2434</v>
      </c>
    </row>
    <row r="477" ht="15.75" customHeight="1">
      <c r="B477" s="19">
        <v>2.019112E7</v>
      </c>
      <c r="C477" s="2" t="s">
        <v>2587</v>
      </c>
      <c r="D477" s="2" t="s">
        <v>2621</v>
      </c>
      <c r="E477" s="2" t="s">
        <v>2612</v>
      </c>
      <c r="F477" s="2" t="s">
        <v>2434</v>
      </c>
    </row>
    <row r="478" ht="15.75" customHeight="1">
      <c r="B478" s="19">
        <v>2.0191121E7</v>
      </c>
      <c r="C478" s="2" t="s">
        <v>2508</v>
      </c>
      <c r="D478" s="2" t="s">
        <v>2442</v>
      </c>
      <c r="E478" s="2" t="s">
        <v>2586</v>
      </c>
      <c r="F478" s="2" t="s">
        <v>2434</v>
      </c>
    </row>
    <row r="479" ht="15.75" customHeight="1">
      <c r="B479" s="19">
        <v>2.0191122E7</v>
      </c>
      <c r="C479" s="2" t="s">
        <v>2440</v>
      </c>
      <c r="D479" s="2" t="s">
        <v>2580</v>
      </c>
      <c r="E479" s="2" t="s">
        <v>2468</v>
      </c>
      <c r="F479" s="2" t="s">
        <v>2434</v>
      </c>
    </row>
    <row r="480" ht="15.75" customHeight="1">
      <c r="B480" s="19">
        <v>2.0191125E7</v>
      </c>
      <c r="C480" s="2" t="s">
        <v>2569</v>
      </c>
      <c r="D480" s="2" t="s">
        <v>2695</v>
      </c>
      <c r="E480" s="2" t="s">
        <v>2495</v>
      </c>
      <c r="F480" s="2" t="s">
        <v>2434</v>
      </c>
    </row>
    <row r="481" ht="15.75" customHeight="1">
      <c r="B481" s="19">
        <v>2.0191126E7</v>
      </c>
      <c r="C481" s="2" t="s">
        <v>2443</v>
      </c>
      <c r="D481" s="2" t="s">
        <v>2580</v>
      </c>
      <c r="E481" s="2" t="s">
        <v>2648</v>
      </c>
      <c r="F481" s="2" t="s">
        <v>2434</v>
      </c>
    </row>
    <row r="482" ht="15.75" customHeight="1">
      <c r="B482" s="19">
        <v>2.0191127E7</v>
      </c>
      <c r="C482" s="2" t="s">
        <v>2473</v>
      </c>
      <c r="D482" s="2" t="s">
        <v>2513</v>
      </c>
      <c r="E482" s="2" t="s">
        <v>2460</v>
      </c>
      <c r="F482" s="2" t="s">
        <v>2434</v>
      </c>
    </row>
    <row r="483" ht="15.75" customHeight="1">
      <c r="B483" s="19">
        <v>2.0191129E7</v>
      </c>
      <c r="C483" s="2" t="s">
        <v>2520</v>
      </c>
      <c r="D483" s="2" t="s">
        <v>2447</v>
      </c>
      <c r="E483" s="2" t="s">
        <v>2454</v>
      </c>
      <c r="F483" s="2" t="s">
        <v>2434</v>
      </c>
    </row>
    <row r="484" ht="15.75" customHeight="1">
      <c r="B484" s="19">
        <v>2.0191202E7</v>
      </c>
      <c r="C484" s="2" t="s">
        <v>2740</v>
      </c>
      <c r="D484" s="2" t="s">
        <v>2463</v>
      </c>
      <c r="E484" s="2" t="s">
        <v>2610</v>
      </c>
      <c r="F484" s="2" t="s">
        <v>2559</v>
      </c>
    </row>
    <row r="485" ht="15.75" customHeight="1">
      <c r="B485" s="19">
        <v>2.0191203E7</v>
      </c>
      <c r="C485" s="2" t="s">
        <v>2647</v>
      </c>
      <c r="D485" s="2" t="s">
        <v>2726</v>
      </c>
      <c r="E485" s="2" t="s">
        <v>2725</v>
      </c>
      <c r="F485" s="2" t="s">
        <v>2559</v>
      </c>
    </row>
    <row r="486" ht="15.75" customHeight="1">
      <c r="B486" s="19">
        <v>2.0191204E7</v>
      </c>
      <c r="C486" s="2" t="s">
        <v>2726</v>
      </c>
      <c r="D486" s="2" t="s">
        <v>2575</v>
      </c>
      <c r="E486" s="2" t="s">
        <v>2440</v>
      </c>
      <c r="F486" s="2" t="s">
        <v>2559</v>
      </c>
    </row>
    <row r="487" ht="15.75" customHeight="1">
      <c r="B487" s="19">
        <v>2.0191205E7</v>
      </c>
      <c r="C487" s="2" t="s">
        <v>2575</v>
      </c>
      <c r="D487" s="2" t="s">
        <v>2481</v>
      </c>
      <c r="E487" s="2" t="s">
        <v>2562</v>
      </c>
      <c r="F487" s="2" t="s">
        <v>2559</v>
      </c>
    </row>
    <row r="488" ht="15.75" customHeight="1">
      <c r="B488" s="19">
        <v>2.0191206E7</v>
      </c>
      <c r="C488" s="2" t="s">
        <v>2641</v>
      </c>
      <c r="D488" s="2" t="s">
        <v>2440</v>
      </c>
      <c r="E488" s="2" t="s">
        <v>2530</v>
      </c>
      <c r="F488" s="2" t="s">
        <v>2559</v>
      </c>
    </row>
    <row r="489" ht="15.75" customHeight="1">
      <c r="B489" s="19">
        <v>2.0191209E7</v>
      </c>
      <c r="C489" s="2" t="s">
        <v>2587</v>
      </c>
      <c r="D489" s="2" t="s">
        <v>2530</v>
      </c>
      <c r="E489" s="2" t="s">
        <v>2483</v>
      </c>
      <c r="F489" s="2" t="s">
        <v>2559</v>
      </c>
    </row>
    <row r="490" ht="15.75" customHeight="1">
      <c r="B490" s="19">
        <v>2.019121E7</v>
      </c>
      <c r="C490" s="2" t="s">
        <v>2536</v>
      </c>
      <c r="D490" s="2" t="s">
        <v>2453</v>
      </c>
      <c r="E490" s="2" t="s">
        <v>2534</v>
      </c>
      <c r="F490" s="2" t="s">
        <v>2559</v>
      </c>
    </row>
    <row r="491" ht="15.75" customHeight="1">
      <c r="B491" s="19">
        <v>2.0191211E7</v>
      </c>
      <c r="C491" s="2" t="s">
        <v>2533</v>
      </c>
      <c r="D491" s="2" t="s">
        <v>2448</v>
      </c>
      <c r="E491" s="2" t="s">
        <v>2575</v>
      </c>
      <c r="F491" s="2" t="s">
        <v>2559</v>
      </c>
    </row>
    <row r="492" ht="15.75" customHeight="1">
      <c r="B492" s="19">
        <v>2.0191212E7</v>
      </c>
      <c r="C492" s="2" t="s">
        <v>2599</v>
      </c>
      <c r="D492" s="2" t="s">
        <v>2508</v>
      </c>
      <c r="E492" s="2" t="s">
        <v>2746</v>
      </c>
      <c r="F492" s="2" t="s">
        <v>2559</v>
      </c>
    </row>
    <row r="493" ht="15.75" customHeight="1">
      <c r="B493" s="19">
        <v>2.0191213E7</v>
      </c>
      <c r="C493" s="2" t="s">
        <v>2460</v>
      </c>
      <c r="D493" s="2" t="s">
        <v>2630</v>
      </c>
      <c r="E493" s="2" t="s">
        <v>2474</v>
      </c>
      <c r="F493" s="2" t="s">
        <v>2559</v>
      </c>
    </row>
    <row r="494" ht="15.75" customHeight="1">
      <c r="B494" s="19">
        <v>2.0191216E7</v>
      </c>
      <c r="C494" s="2" t="s">
        <v>2643</v>
      </c>
      <c r="D494" s="2" t="s">
        <v>2576</v>
      </c>
      <c r="E494" s="2" t="s">
        <v>2447</v>
      </c>
      <c r="F494" s="2" t="s">
        <v>2559</v>
      </c>
    </row>
    <row r="495" ht="15.75" customHeight="1">
      <c r="B495" s="19">
        <v>2.0191217E7</v>
      </c>
      <c r="C495" s="2" t="s">
        <v>2586</v>
      </c>
      <c r="D495" s="2" t="s">
        <v>2544</v>
      </c>
      <c r="E495" s="2" t="s">
        <v>2596</v>
      </c>
      <c r="F495" s="2" t="s">
        <v>2559</v>
      </c>
    </row>
    <row r="496" ht="15.75" customHeight="1">
      <c r="B496" s="19">
        <v>2.0191218E7</v>
      </c>
      <c r="C496" s="2" t="s">
        <v>2582</v>
      </c>
      <c r="D496" s="2" t="s">
        <v>2583</v>
      </c>
      <c r="E496" s="2" t="s">
        <v>2640</v>
      </c>
      <c r="F496" s="2" t="s">
        <v>2559</v>
      </c>
    </row>
    <row r="497" ht="15.75" customHeight="1">
      <c r="B497" s="19">
        <v>2.0191219E7</v>
      </c>
      <c r="C497" s="2" t="s">
        <v>2712</v>
      </c>
      <c r="D497" s="2" t="s">
        <v>2479</v>
      </c>
      <c r="E497" s="2" t="s">
        <v>2520</v>
      </c>
      <c r="F497" s="2" t="s">
        <v>2559</v>
      </c>
    </row>
    <row r="498" ht="15.75" customHeight="1">
      <c r="B498" s="19">
        <v>2.019122E7</v>
      </c>
      <c r="C498" s="2" t="s">
        <v>2610</v>
      </c>
      <c r="D498" s="2" t="s">
        <v>2614</v>
      </c>
      <c r="E498" s="2" t="s">
        <v>2614</v>
      </c>
      <c r="F498" s="2" t="s">
        <v>2559</v>
      </c>
    </row>
    <row r="499" ht="15.75" customHeight="1">
      <c r="B499" s="19">
        <v>2.0191223E7</v>
      </c>
      <c r="C499" s="2" t="s">
        <v>2586</v>
      </c>
      <c r="D499" s="2" t="s">
        <v>2443</v>
      </c>
      <c r="E499" s="2" t="s">
        <v>2442</v>
      </c>
      <c r="F499" s="2" t="s">
        <v>2559</v>
      </c>
    </row>
    <row r="500" ht="15.75" customHeight="1">
      <c r="B500" s="19">
        <v>2.0191224E7</v>
      </c>
      <c r="C500" s="2" t="s">
        <v>2458</v>
      </c>
      <c r="D500" s="2" t="s">
        <v>2564</v>
      </c>
      <c r="E500" s="2" t="s">
        <v>2621</v>
      </c>
      <c r="F500" s="2" t="s">
        <v>2559</v>
      </c>
    </row>
    <row r="501" ht="15.75" customHeight="1">
      <c r="B501" s="19">
        <v>2.0191226E7</v>
      </c>
      <c r="C501" s="2" t="s">
        <v>2610</v>
      </c>
      <c r="D501" s="2" t="s">
        <v>2474</v>
      </c>
      <c r="E501" s="2" t="s">
        <v>2621</v>
      </c>
      <c r="F501" s="2" t="s">
        <v>2559</v>
      </c>
    </row>
    <row r="502" ht="15.75" customHeight="1">
      <c r="B502" s="19">
        <v>2.0191227E7</v>
      </c>
      <c r="C502" s="2" t="s">
        <v>2461</v>
      </c>
      <c r="D502" s="2" t="s">
        <v>2538</v>
      </c>
      <c r="E502" s="2" t="s">
        <v>2448</v>
      </c>
      <c r="F502" s="2" t="s">
        <v>2559</v>
      </c>
    </row>
    <row r="503" ht="15.75" customHeight="1">
      <c r="B503" s="19">
        <v>2.019123E7</v>
      </c>
      <c r="C503" s="2" t="s">
        <v>2539</v>
      </c>
      <c r="D503" s="2" t="s">
        <v>2443</v>
      </c>
      <c r="E503" s="2" t="s">
        <v>2645</v>
      </c>
      <c r="F503" s="2" t="s">
        <v>2559</v>
      </c>
    </row>
    <row r="504" ht="15.75" customHeight="1">
      <c r="B504" s="19">
        <v>2.0191231E7</v>
      </c>
      <c r="C504" s="2" t="s">
        <v>2533</v>
      </c>
      <c r="D504" s="2" t="s">
        <v>2644</v>
      </c>
      <c r="E504" s="2" t="s">
        <v>2528</v>
      </c>
      <c r="F504" s="2" t="s">
        <v>2559</v>
      </c>
    </row>
    <row r="505" ht="15.75" customHeight="1">
      <c r="B505" s="19">
        <v>2.0200102E7</v>
      </c>
      <c r="C505" s="2" t="s">
        <v>2613</v>
      </c>
      <c r="D505" s="2" t="s">
        <v>2661</v>
      </c>
      <c r="E505" s="2" t="s">
        <v>2466</v>
      </c>
      <c r="F505" s="2" t="s">
        <v>2434</v>
      </c>
    </row>
    <row r="506" ht="15.75" customHeight="1">
      <c r="B506" s="19">
        <v>2.0200103E7</v>
      </c>
      <c r="C506" s="2" t="s">
        <v>2537</v>
      </c>
      <c r="D506" s="2" t="s">
        <v>2654</v>
      </c>
      <c r="E506" s="2" t="s">
        <v>2621</v>
      </c>
      <c r="F506" s="2" t="s">
        <v>2434</v>
      </c>
    </row>
    <row r="507" ht="15.75" customHeight="1">
      <c r="B507" s="19">
        <v>2.0200106E7</v>
      </c>
      <c r="C507" s="2" t="s">
        <v>2510</v>
      </c>
      <c r="D507" s="2" t="s">
        <v>2448</v>
      </c>
      <c r="E507" s="2" t="s">
        <v>2595</v>
      </c>
      <c r="F507" s="2" t="s">
        <v>2434</v>
      </c>
    </row>
    <row r="508" ht="15.75" customHeight="1">
      <c r="B508" s="19">
        <v>2.0200107E7</v>
      </c>
      <c r="C508" s="2" t="s">
        <v>2518</v>
      </c>
      <c r="D508" s="2" t="s">
        <v>2644</v>
      </c>
      <c r="E508" s="2" t="s">
        <v>2463</v>
      </c>
      <c r="F508" s="2" t="s">
        <v>2434</v>
      </c>
    </row>
    <row r="509" ht="15.75" customHeight="1">
      <c r="B509" s="19">
        <v>2.0200108E7</v>
      </c>
      <c r="C509" s="2" t="s">
        <v>2535</v>
      </c>
      <c r="D509" s="2" t="s">
        <v>2545</v>
      </c>
      <c r="E509" s="2" t="s">
        <v>2653</v>
      </c>
      <c r="F509" s="2" t="s">
        <v>2434</v>
      </c>
    </row>
    <row r="510" ht="15.75" customHeight="1">
      <c r="B510" s="19">
        <v>2.0200109E7</v>
      </c>
      <c r="C510" s="2" t="s">
        <v>2555</v>
      </c>
      <c r="D510" s="2" t="s">
        <v>2653</v>
      </c>
      <c r="E510" s="2" t="s">
        <v>2531</v>
      </c>
      <c r="F510" s="2" t="s">
        <v>2434</v>
      </c>
    </row>
    <row r="511" ht="15.75" customHeight="1">
      <c r="B511" s="19">
        <v>2.020011E7</v>
      </c>
      <c r="C511" s="2" t="s">
        <v>2466</v>
      </c>
      <c r="D511" s="2" t="s">
        <v>2518</v>
      </c>
      <c r="E511" s="2" t="s">
        <v>2587</v>
      </c>
      <c r="F511" s="2" t="s">
        <v>2434</v>
      </c>
    </row>
    <row r="512" ht="15.75" customHeight="1">
      <c r="B512" s="19">
        <v>2.0200113E7</v>
      </c>
      <c r="C512" s="2" t="s">
        <v>2619</v>
      </c>
      <c r="D512" s="2" t="s">
        <v>2609</v>
      </c>
      <c r="E512" s="2" t="s">
        <v>2536</v>
      </c>
      <c r="F512" s="2" t="s">
        <v>2434</v>
      </c>
    </row>
    <row r="513" ht="15.75" customHeight="1">
      <c r="B513" s="19">
        <v>2.0200114E7</v>
      </c>
      <c r="C513" s="2" t="s">
        <v>2545</v>
      </c>
      <c r="D513" s="2" t="s">
        <v>2564</v>
      </c>
      <c r="E513" s="2" t="s">
        <v>2437</v>
      </c>
      <c r="F513" s="2" t="s">
        <v>2434</v>
      </c>
    </row>
    <row r="514" ht="15.75" customHeight="1">
      <c r="B514" s="19">
        <v>2.0200115E7</v>
      </c>
      <c r="C514" s="2" t="s">
        <v>2455</v>
      </c>
      <c r="D514" s="2" t="s">
        <v>2535</v>
      </c>
      <c r="E514" s="2" t="s">
        <v>2579</v>
      </c>
      <c r="F514" s="2" t="s">
        <v>2434</v>
      </c>
    </row>
    <row r="515" ht="15.75" customHeight="1">
      <c r="B515" s="19">
        <v>2.0200116E7</v>
      </c>
      <c r="C515" s="2" t="s">
        <v>2625</v>
      </c>
      <c r="D515" s="2" t="s">
        <v>2500</v>
      </c>
      <c r="E515" s="2" t="s">
        <v>2609</v>
      </c>
      <c r="F515" s="2" t="s">
        <v>2434</v>
      </c>
    </row>
    <row r="516" ht="15.75" customHeight="1">
      <c r="B516" s="19">
        <v>2.0200117E7</v>
      </c>
      <c r="C516" s="2" t="s">
        <v>2533</v>
      </c>
      <c r="D516" s="2" t="s">
        <v>2653</v>
      </c>
      <c r="E516" s="2" t="s">
        <v>2471</v>
      </c>
      <c r="F516" s="2" t="s">
        <v>2434</v>
      </c>
    </row>
    <row r="517" ht="15.75" customHeight="1">
      <c r="B517" s="19">
        <v>2.0200121E7</v>
      </c>
      <c r="C517" s="2" t="s">
        <v>2557</v>
      </c>
      <c r="D517" s="2" t="s">
        <v>2477</v>
      </c>
      <c r="E517" s="2" t="s">
        <v>2478</v>
      </c>
      <c r="F517" s="2" t="s">
        <v>2434</v>
      </c>
    </row>
    <row r="518" ht="15.75" customHeight="1">
      <c r="B518" s="19">
        <v>2.0200122E7</v>
      </c>
      <c r="C518" s="2" t="s">
        <v>2485</v>
      </c>
      <c r="D518" s="2" t="s">
        <v>2439</v>
      </c>
      <c r="E518" s="2" t="s">
        <v>2458</v>
      </c>
      <c r="F518" s="2" t="s">
        <v>2434</v>
      </c>
    </row>
    <row r="519" ht="15.75" customHeight="1">
      <c r="B519" s="19">
        <v>2.0200123E7</v>
      </c>
      <c r="C519" s="2" t="s">
        <v>2485</v>
      </c>
      <c r="D519" s="2" t="s">
        <v>2582</v>
      </c>
      <c r="E519" s="2" t="s">
        <v>2508</v>
      </c>
      <c r="F519" s="2" t="s">
        <v>2434</v>
      </c>
    </row>
    <row r="520" ht="15.75" customHeight="1">
      <c r="B520" s="19">
        <v>2.0200124E7</v>
      </c>
      <c r="C520" s="2" t="s">
        <v>2692</v>
      </c>
      <c r="D520" s="2" t="s">
        <v>2529</v>
      </c>
      <c r="E520" s="2" t="s">
        <v>2678</v>
      </c>
      <c r="F520" s="2" t="s">
        <v>2434</v>
      </c>
    </row>
    <row r="521" ht="15.75" customHeight="1">
      <c r="B521" s="19">
        <v>2.0200127E7</v>
      </c>
      <c r="C521" s="2" t="s">
        <v>2759</v>
      </c>
      <c r="D521" s="2" t="s">
        <v>2530</v>
      </c>
      <c r="E521" s="2" t="s">
        <v>2514</v>
      </c>
      <c r="F521" s="2" t="s">
        <v>2434</v>
      </c>
    </row>
    <row r="522" ht="15.75" customHeight="1">
      <c r="B522" s="19">
        <v>2.0200128E7</v>
      </c>
      <c r="C522" s="2" t="s">
        <v>2585</v>
      </c>
      <c r="D522" s="2" t="s">
        <v>2568</v>
      </c>
      <c r="E522" s="2" t="s">
        <v>2520</v>
      </c>
      <c r="F522" s="2" t="s">
        <v>2434</v>
      </c>
    </row>
    <row r="523" ht="15.75" customHeight="1">
      <c r="B523" s="19">
        <v>2.0200129E7</v>
      </c>
      <c r="C523" s="2" t="s">
        <v>2461</v>
      </c>
      <c r="D523" s="2" t="s">
        <v>2503</v>
      </c>
      <c r="E523" s="2" t="s">
        <v>2651</v>
      </c>
      <c r="F523" s="2" t="s">
        <v>2434</v>
      </c>
    </row>
    <row r="524" ht="15.75" customHeight="1">
      <c r="B524" s="19">
        <v>2.020013E7</v>
      </c>
      <c r="C524" s="2" t="s">
        <v>2650</v>
      </c>
      <c r="D524" s="2" t="s">
        <v>2553</v>
      </c>
      <c r="E524" s="2" t="s">
        <v>2527</v>
      </c>
      <c r="F524" s="2" t="s">
        <v>2434</v>
      </c>
    </row>
    <row r="525" ht="15.75" customHeight="1">
      <c r="B525" s="19">
        <v>2.0200131E7</v>
      </c>
      <c r="C525" s="2" t="s">
        <v>2662</v>
      </c>
      <c r="D525" s="2" t="s">
        <v>2520</v>
      </c>
      <c r="E525" s="2" t="s">
        <v>2442</v>
      </c>
      <c r="F525" s="2" t="s">
        <v>2434</v>
      </c>
    </row>
    <row r="526" ht="15.75" customHeight="1">
      <c r="B526" s="19">
        <v>2.0200203E7</v>
      </c>
      <c r="C526" s="2" t="s">
        <v>2570</v>
      </c>
      <c r="D526" s="2" t="s">
        <v>2642</v>
      </c>
      <c r="E526" s="2" t="s">
        <v>2553</v>
      </c>
      <c r="F526" s="2" t="s">
        <v>2434</v>
      </c>
    </row>
    <row r="527" ht="15.75" customHeight="1">
      <c r="B527" s="19">
        <v>2.0200204E7</v>
      </c>
      <c r="C527" s="2" t="s">
        <v>2636</v>
      </c>
      <c r="D527" s="2" t="s">
        <v>2447</v>
      </c>
      <c r="E527" s="2" t="s">
        <v>2553</v>
      </c>
      <c r="F527" s="2" t="s">
        <v>2434</v>
      </c>
    </row>
    <row r="528" ht="15.75" customHeight="1">
      <c r="B528" s="19">
        <v>2.0200205E7</v>
      </c>
      <c r="C528" s="2" t="s">
        <v>2724</v>
      </c>
      <c r="D528" s="2" t="s">
        <v>2540</v>
      </c>
      <c r="E528" s="2" t="s">
        <v>2744</v>
      </c>
      <c r="F528" s="2" t="s">
        <v>2434</v>
      </c>
    </row>
    <row r="529" ht="15.75" customHeight="1">
      <c r="B529" s="19">
        <v>2.0200206E7</v>
      </c>
      <c r="C529" s="2" t="s">
        <v>2617</v>
      </c>
      <c r="D529" s="2" t="s">
        <v>2612</v>
      </c>
      <c r="E529" s="2" t="s">
        <v>2472</v>
      </c>
      <c r="F529" s="2" t="s">
        <v>2434</v>
      </c>
    </row>
    <row r="530" ht="15.75" customHeight="1">
      <c r="B530" s="19">
        <v>2.0200207E7</v>
      </c>
      <c r="C530" s="2" t="s">
        <v>2595</v>
      </c>
      <c r="D530" s="2" t="s">
        <v>2735</v>
      </c>
      <c r="E530" s="2" t="s">
        <v>2460</v>
      </c>
      <c r="F530" s="2" t="s">
        <v>2434</v>
      </c>
    </row>
    <row r="531" ht="15.75" customHeight="1">
      <c r="B531" s="19">
        <v>2.020021E7</v>
      </c>
      <c r="C531" s="2" t="s">
        <v>2619</v>
      </c>
      <c r="D531" s="2" t="s">
        <v>2621</v>
      </c>
      <c r="E531" s="2" t="s">
        <v>2661</v>
      </c>
      <c r="F531" s="2" t="s">
        <v>2434</v>
      </c>
    </row>
    <row r="532" ht="15.75" customHeight="1">
      <c r="B532" s="19">
        <v>2.0200211E7</v>
      </c>
      <c r="C532" s="2" t="s">
        <v>2533</v>
      </c>
      <c r="D532" s="2" t="s">
        <v>2445</v>
      </c>
      <c r="E532" s="2" t="s">
        <v>2760</v>
      </c>
      <c r="F532" s="2" t="s">
        <v>2434</v>
      </c>
    </row>
    <row r="533" ht="15.75" customHeight="1">
      <c r="B533" s="19">
        <v>2.0200212E7</v>
      </c>
      <c r="C533" s="2" t="s">
        <v>2441</v>
      </c>
      <c r="D533" s="2" t="s">
        <v>2446</v>
      </c>
      <c r="E533" s="2" t="s">
        <v>2442</v>
      </c>
      <c r="F533" s="2" t="s">
        <v>2434</v>
      </c>
    </row>
    <row r="534" ht="15.75" customHeight="1">
      <c r="B534" s="19">
        <v>2.0200213E7</v>
      </c>
      <c r="C534" s="2" t="s">
        <v>2534</v>
      </c>
      <c r="D534" s="2" t="s">
        <v>2443</v>
      </c>
      <c r="E534" s="2" t="s">
        <v>2621</v>
      </c>
      <c r="F534" s="2" t="s">
        <v>2434</v>
      </c>
    </row>
    <row r="535" ht="15.75" customHeight="1">
      <c r="B535" s="19">
        <v>2.0200214E7</v>
      </c>
      <c r="C535" s="2" t="s">
        <v>2446</v>
      </c>
      <c r="D535" s="2" t="s">
        <v>2495</v>
      </c>
      <c r="E535" s="2" t="s">
        <v>2647</v>
      </c>
      <c r="F535" s="2" t="s">
        <v>2434</v>
      </c>
    </row>
    <row r="536" ht="15.75" customHeight="1">
      <c r="B536" s="19">
        <v>2.0200218E7</v>
      </c>
      <c r="C536" s="2" t="s">
        <v>2518</v>
      </c>
      <c r="D536" s="2" t="s">
        <v>2446</v>
      </c>
      <c r="E536" s="2" t="s">
        <v>2722</v>
      </c>
      <c r="F536" s="2" t="s">
        <v>2434</v>
      </c>
    </row>
    <row r="537" ht="15.75" customHeight="1">
      <c r="B537" s="19">
        <v>2.0200219E7</v>
      </c>
      <c r="C537" s="2" t="s">
        <v>2726</v>
      </c>
      <c r="D537" s="2" t="s">
        <v>2542</v>
      </c>
      <c r="E537" s="2" t="s">
        <v>2484</v>
      </c>
      <c r="F537" s="2" t="s">
        <v>2434</v>
      </c>
    </row>
    <row r="538" ht="15.75" customHeight="1">
      <c r="B538" s="19">
        <v>2.020022E7</v>
      </c>
      <c r="C538" s="2" t="s">
        <v>2442</v>
      </c>
      <c r="D538" s="2" t="s">
        <v>2506</v>
      </c>
      <c r="E538" s="2" t="s">
        <v>2596</v>
      </c>
      <c r="F538" s="2" t="s">
        <v>2434</v>
      </c>
    </row>
    <row r="539" ht="15.75" customHeight="1">
      <c r="B539" s="19">
        <v>2.0200221E7</v>
      </c>
      <c r="C539" s="2" t="s">
        <v>2736</v>
      </c>
      <c r="D539" s="2" t="s">
        <v>2461</v>
      </c>
      <c r="E539" s="2" t="s">
        <v>2576</v>
      </c>
      <c r="F539" s="2" t="s">
        <v>2434</v>
      </c>
    </row>
    <row r="540" ht="15.75" customHeight="1">
      <c r="B540" s="19">
        <v>2.0200224E7</v>
      </c>
      <c r="C540" s="2" t="s">
        <v>2761</v>
      </c>
      <c r="D540" s="2" t="s">
        <v>2542</v>
      </c>
      <c r="E540" s="2" t="s">
        <v>2576</v>
      </c>
      <c r="F540" s="2" t="s">
        <v>2434</v>
      </c>
    </row>
    <row r="541" ht="15.75" customHeight="1">
      <c r="B541" s="19">
        <v>2.0200225E7</v>
      </c>
      <c r="C541" s="2" t="s">
        <v>2762</v>
      </c>
      <c r="D541" s="2" t="s">
        <v>2461</v>
      </c>
      <c r="E541" s="2" t="s">
        <v>2553</v>
      </c>
      <c r="F541" s="2" t="s">
        <v>2434</v>
      </c>
    </row>
    <row r="542" ht="15.75" customHeight="1">
      <c r="B542" s="19">
        <v>2.0200226E7</v>
      </c>
      <c r="C542" s="2" t="s">
        <v>2494</v>
      </c>
      <c r="D542" s="2" t="s">
        <v>2495</v>
      </c>
      <c r="E542" s="2" t="s">
        <v>2733</v>
      </c>
      <c r="F542" s="2" t="s">
        <v>2434</v>
      </c>
    </row>
    <row r="543" ht="15.75" customHeight="1">
      <c r="B543" s="19">
        <v>2.0200227E7</v>
      </c>
      <c r="C543" s="2" t="s">
        <v>2763</v>
      </c>
      <c r="D543" s="2" t="s">
        <v>2491</v>
      </c>
      <c r="E543" s="2" t="s">
        <v>2445</v>
      </c>
      <c r="F543" s="2" t="s">
        <v>2434</v>
      </c>
    </row>
    <row r="544" ht="15.75" customHeight="1">
      <c r="B544" s="19">
        <v>2.0200228E7</v>
      </c>
      <c r="C544" s="2" t="s">
        <v>2626</v>
      </c>
      <c r="D544" s="2" t="s">
        <v>2603</v>
      </c>
      <c r="E544" s="2" t="s">
        <v>2590</v>
      </c>
      <c r="F544" s="2" t="s">
        <v>2434</v>
      </c>
    </row>
    <row r="545" ht="15.75" customHeight="1">
      <c r="B545" s="19">
        <v>2.0200302E7</v>
      </c>
      <c r="C545" s="2" t="s">
        <v>2764</v>
      </c>
      <c r="D545" s="2" t="s">
        <v>2727</v>
      </c>
      <c r="E545" s="2" t="s">
        <v>2529</v>
      </c>
      <c r="F545" s="2" t="s">
        <v>2434</v>
      </c>
    </row>
    <row r="546" ht="15.75" customHeight="1">
      <c r="B546" s="19">
        <v>2.0200303E7</v>
      </c>
      <c r="C546" s="2" t="s">
        <v>2765</v>
      </c>
      <c r="D546" s="2" t="s">
        <v>2752</v>
      </c>
      <c r="E546" s="2" t="s">
        <v>2509</v>
      </c>
      <c r="F546" s="2" t="s">
        <v>2434</v>
      </c>
    </row>
    <row r="547" ht="15.75" customHeight="1">
      <c r="B547" s="19">
        <v>2.0200304E7</v>
      </c>
      <c r="C547" s="2" t="s">
        <v>2766</v>
      </c>
      <c r="D547" s="2" t="s">
        <v>2711</v>
      </c>
      <c r="E547" s="2" t="s">
        <v>2767</v>
      </c>
      <c r="F547" s="2" t="s">
        <v>2434</v>
      </c>
    </row>
    <row r="548" ht="15.75" customHeight="1">
      <c r="B548" s="19">
        <v>2.0200305E7</v>
      </c>
      <c r="C548" s="2" t="s">
        <v>2768</v>
      </c>
      <c r="D548" s="2" t="s">
        <v>2541</v>
      </c>
      <c r="E548" s="2" t="s">
        <v>2769</v>
      </c>
      <c r="F548" s="2" t="s">
        <v>2434</v>
      </c>
    </row>
    <row r="549" ht="15.75" customHeight="1">
      <c r="B549" s="19">
        <v>2.0200306E7</v>
      </c>
      <c r="C549" s="2" t="s">
        <v>2770</v>
      </c>
      <c r="D549" s="2" t="s">
        <v>2580</v>
      </c>
      <c r="E549" s="2" t="s">
        <v>2771</v>
      </c>
      <c r="F549" s="2" t="s">
        <v>2434</v>
      </c>
    </row>
    <row r="550" ht="15.75" customHeight="1">
      <c r="B550" s="19">
        <v>2.0200309E7</v>
      </c>
      <c r="C550" s="2" t="s">
        <v>2772</v>
      </c>
      <c r="D550" s="2" t="s">
        <v>2495</v>
      </c>
      <c r="E550" s="2" t="s">
        <v>2773</v>
      </c>
      <c r="F550" s="2" t="s">
        <v>2434</v>
      </c>
    </row>
    <row r="551" ht="15.75" customHeight="1">
      <c r="B551" s="19">
        <v>2.020031E7</v>
      </c>
      <c r="C551" s="2" t="s">
        <v>2774</v>
      </c>
      <c r="D551" s="2" t="s">
        <v>2775</v>
      </c>
      <c r="E551" s="2" t="s">
        <v>2499</v>
      </c>
      <c r="F551" s="2" t="s">
        <v>2434</v>
      </c>
    </row>
    <row r="552" ht="15.75" customHeight="1">
      <c r="B552" s="19">
        <v>2.0200311E7</v>
      </c>
      <c r="C552" s="2" t="s">
        <v>2776</v>
      </c>
      <c r="D552" s="2" t="s">
        <v>2635</v>
      </c>
      <c r="E552" s="2" t="s">
        <v>2590</v>
      </c>
      <c r="F552" s="2" t="s">
        <v>2434</v>
      </c>
    </row>
    <row r="553" ht="15.75" customHeight="1">
      <c r="B553" s="19">
        <v>2.0200312E7</v>
      </c>
      <c r="C553" s="2" t="s">
        <v>2777</v>
      </c>
      <c r="D553" s="2" t="s">
        <v>2529</v>
      </c>
      <c r="E553" s="2" t="s">
        <v>2767</v>
      </c>
      <c r="F553" s="2" t="s">
        <v>2434</v>
      </c>
    </row>
    <row r="554" ht="15.75" customHeight="1">
      <c r="B554" s="19">
        <v>2.0200313E7</v>
      </c>
      <c r="C554" s="2" t="s">
        <v>2778</v>
      </c>
      <c r="D554" s="2" t="s">
        <v>2779</v>
      </c>
      <c r="E554" s="2" t="s">
        <v>2780</v>
      </c>
      <c r="F554" s="2" t="s">
        <v>2434</v>
      </c>
    </row>
    <row r="555" ht="15.75" customHeight="1">
      <c r="B555" s="19">
        <v>2.0200316E7</v>
      </c>
      <c r="C555" s="2" t="s">
        <v>2781</v>
      </c>
      <c r="D555" s="2" t="s">
        <v>2439</v>
      </c>
      <c r="E555" s="2" t="s">
        <v>2601</v>
      </c>
      <c r="F555" s="2" t="s">
        <v>2434</v>
      </c>
    </row>
    <row r="556" ht="15.75" customHeight="1">
      <c r="B556" s="19">
        <v>2.0200317E7</v>
      </c>
      <c r="C556" s="2" t="s">
        <v>2782</v>
      </c>
      <c r="D556" s="2" t="s">
        <v>2613</v>
      </c>
      <c r="E556" s="2" t="s">
        <v>2478</v>
      </c>
      <c r="F556" s="2" t="s">
        <v>2434</v>
      </c>
    </row>
    <row r="557" ht="15.75" customHeight="1">
      <c r="B557" s="19">
        <v>2.0200318E7</v>
      </c>
      <c r="C557" s="2" t="s">
        <v>2783</v>
      </c>
      <c r="D557" s="2" t="s">
        <v>2784</v>
      </c>
      <c r="E557" s="2" t="s">
        <v>2785</v>
      </c>
      <c r="F557" s="2" t="s">
        <v>2434</v>
      </c>
    </row>
    <row r="558" ht="15.75" customHeight="1">
      <c r="B558" s="19">
        <v>2.0200319E7</v>
      </c>
      <c r="C558" s="2" t="s">
        <v>2608</v>
      </c>
      <c r="D558" s="2" t="s">
        <v>2786</v>
      </c>
      <c r="E558" s="2" t="s">
        <v>2633</v>
      </c>
      <c r="F558" s="2" t="s">
        <v>2434</v>
      </c>
    </row>
    <row r="559" ht="15.75" customHeight="1">
      <c r="B559" s="19">
        <v>2.020032E7</v>
      </c>
      <c r="C559" s="2" t="s">
        <v>2787</v>
      </c>
      <c r="D559" s="2" t="s">
        <v>2650</v>
      </c>
      <c r="E559" s="2" t="s">
        <v>2661</v>
      </c>
      <c r="F559" s="2" t="s">
        <v>2434</v>
      </c>
    </row>
    <row r="560" ht="15.75" customHeight="1">
      <c r="B560" s="19">
        <v>2.0200323E7</v>
      </c>
      <c r="C560" s="2" t="s">
        <v>2700</v>
      </c>
      <c r="D560" s="2" t="s">
        <v>2663</v>
      </c>
      <c r="E560" s="2" t="s">
        <v>2788</v>
      </c>
      <c r="F560" s="2" t="s">
        <v>2434</v>
      </c>
    </row>
    <row r="561" ht="15.75" customHeight="1">
      <c r="B561" s="19">
        <v>2.0200324E7</v>
      </c>
      <c r="C561" s="2" t="s">
        <v>2789</v>
      </c>
      <c r="D561" s="2" t="s">
        <v>2790</v>
      </c>
      <c r="E561" s="2" t="s">
        <v>2791</v>
      </c>
      <c r="F561" s="2" t="s">
        <v>2434</v>
      </c>
    </row>
    <row r="562" ht="15.75" customHeight="1">
      <c r="B562" s="19">
        <v>2.0200325E7</v>
      </c>
      <c r="C562" s="2" t="s">
        <v>2681</v>
      </c>
      <c r="D562" s="2" t="s">
        <v>2482</v>
      </c>
      <c r="E562" s="2" t="s">
        <v>2792</v>
      </c>
      <c r="F562" s="2" t="s">
        <v>2434</v>
      </c>
    </row>
    <row r="563" ht="15.75" customHeight="1">
      <c r="B563" s="19">
        <v>2.0200326E7</v>
      </c>
      <c r="C563" s="2" t="s">
        <v>2793</v>
      </c>
      <c r="D563" s="2" t="s">
        <v>2620</v>
      </c>
      <c r="E563" s="2" t="s">
        <v>2794</v>
      </c>
      <c r="F563" s="2" t="s">
        <v>2434</v>
      </c>
    </row>
    <row r="564" ht="15.75" customHeight="1">
      <c r="B564" s="19">
        <v>2.0200327E7</v>
      </c>
      <c r="C564" s="2" t="s">
        <v>2795</v>
      </c>
      <c r="D564" s="2" t="s">
        <v>2725</v>
      </c>
      <c r="E564" s="2" t="s">
        <v>2601</v>
      </c>
      <c r="F564" s="2" t="s">
        <v>2434</v>
      </c>
    </row>
    <row r="565" ht="15.75" customHeight="1">
      <c r="B565" s="19">
        <v>2.020033E7</v>
      </c>
      <c r="C565" s="2" t="s">
        <v>2796</v>
      </c>
      <c r="D565" s="2" t="s">
        <v>2489</v>
      </c>
      <c r="E565" s="2" t="s">
        <v>2550</v>
      </c>
      <c r="F565" s="2" t="s">
        <v>2434</v>
      </c>
    </row>
    <row r="566" ht="15.75" customHeight="1">
      <c r="B566" s="19">
        <v>2.0200331E7</v>
      </c>
      <c r="C566" s="2" t="s">
        <v>2797</v>
      </c>
      <c r="D566" s="2" t="s">
        <v>2798</v>
      </c>
      <c r="E566" s="2" t="s">
        <v>2436</v>
      </c>
      <c r="F566" s="2" t="s">
        <v>2434</v>
      </c>
    </row>
    <row r="567" ht="15.75" customHeight="1">
      <c r="B567" s="19">
        <v>2.0200401E7</v>
      </c>
      <c r="C567" s="2" t="s">
        <v>2799</v>
      </c>
      <c r="D567" s="2" t="s">
        <v>2622</v>
      </c>
      <c r="E567" s="2" t="s">
        <v>2769</v>
      </c>
      <c r="F567" s="2" t="s">
        <v>2800</v>
      </c>
    </row>
    <row r="568" ht="15.75" customHeight="1">
      <c r="B568" s="19">
        <v>2.0200402E7</v>
      </c>
      <c r="C568" s="2" t="s">
        <v>2801</v>
      </c>
      <c r="D568" s="2" t="s">
        <v>2651</v>
      </c>
      <c r="E568" s="2" t="s">
        <v>2678</v>
      </c>
      <c r="F568" s="2" t="s">
        <v>2800</v>
      </c>
    </row>
    <row r="569" ht="15.75" customHeight="1">
      <c r="B569" s="19">
        <v>2.0200403E7</v>
      </c>
      <c r="C569" s="2" t="s">
        <v>2802</v>
      </c>
      <c r="D569" s="2" t="s">
        <v>2519</v>
      </c>
      <c r="E569" s="2" t="s">
        <v>2574</v>
      </c>
      <c r="F569" s="2" t="s">
        <v>2800</v>
      </c>
    </row>
    <row r="570" ht="15.75" customHeight="1">
      <c r="B570" s="19">
        <v>2.0200406E7</v>
      </c>
      <c r="C570" s="2" t="s">
        <v>2803</v>
      </c>
      <c r="D570" s="2" t="s">
        <v>2465</v>
      </c>
      <c r="E570" s="2" t="s">
        <v>2540</v>
      </c>
      <c r="F570" s="2" t="s">
        <v>2800</v>
      </c>
    </row>
    <row r="571" ht="15.75" customHeight="1">
      <c r="B571" s="19">
        <v>2.0200407E7</v>
      </c>
      <c r="C571" s="2" t="s">
        <v>2609</v>
      </c>
      <c r="D571" s="2" t="s">
        <v>2539</v>
      </c>
      <c r="E571" s="2" t="s">
        <v>2804</v>
      </c>
      <c r="F571" s="2" t="s">
        <v>2800</v>
      </c>
    </row>
    <row r="572" ht="15.75" customHeight="1">
      <c r="B572" s="19">
        <v>2.0200408E7</v>
      </c>
      <c r="C572" s="2" t="s">
        <v>2805</v>
      </c>
      <c r="D572" s="2" t="s">
        <v>2453</v>
      </c>
      <c r="E572" s="2" t="s">
        <v>2591</v>
      </c>
      <c r="F572" s="2" t="s">
        <v>2800</v>
      </c>
    </row>
    <row r="573" ht="15.75" customHeight="1">
      <c r="B573" s="19">
        <v>2.0200409E7</v>
      </c>
      <c r="C573" s="2" t="s">
        <v>2806</v>
      </c>
      <c r="D573" s="2" t="s">
        <v>2792</v>
      </c>
      <c r="E573" s="2" t="s">
        <v>2796</v>
      </c>
      <c r="F573" s="2" t="s">
        <v>2800</v>
      </c>
    </row>
    <row r="574" ht="15.75" customHeight="1">
      <c r="B574" s="19">
        <v>2.0200413E7</v>
      </c>
      <c r="C574" s="2" t="s">
        <v>2659</v>
      </c>
      <c r="D574" s="2" t="s">
        <v>2472</v>
      </c>
      <c r="E574" s="2" t="s">
        <v>2807</v>
      </c>
      <c r="F574" s="2" t="s">
        <v>2800</v>
      </c>
    </row>
    <row r="575" ht="15.75" customHeight="1">
      <c r="B575" s="19">
        <v>2.0200414E7</v>
      </c>
      <c r="C575" s="2" t="s">
        <v>2808</v>
      </c>
      <c r="D575" s="2" t="s">
        <v>2437</v>
      </c>
      <c r="E575" s="2" t="s">
        <v>2809</v>
      </c>
      <c r="F575" s="2" t="s">
        <v>2800</v>
      </c>
    </row>
    <row r="576" ht="15.75" customHeight="1">
      <c r="B576" s="19">
        <v>2.0200415E7</v>
      </c>
      <c r="C576" s="2" t="s">
        <v>2810</v>
      </c>
      <c r="D576" s="2" t="s">
        <v>2717</v>
      </c>
      <c r="E576" s="2" t="s">
        <v>2700</v>
      </c>
      <c r="F576" s="2" t="s">
        <v>2800</v>
      </c>
    </row>
    <row r="577" ht="15.75" customHeight="1">
      <c r="B577" s="19">
        <v>2.0200416E7</v>
      </c>
      <c r="C577" s="2" t="s">
        <v>2642</v>
      </c>
      <c r="D577" s="2" t="s">
        <v>2481</v>
      </c>
      <c r="E577" s="2" t="s">
        <v>2811</v>
      </c>
      <c r="F577" s="2" t="s">
        <v>2800</v>
      </c>
    </row>
    <row r="578" ht="15.75" customHeight="1">
      <c r="B578" s="19">
        <v>2.0200417E7</v>
      </c>
      <c r="C578" s="2" t="s">
        <v>2812</v>
      </c>
      <c r="D578" s="2" t="s">
        <v>2643</v>
      </c>
      <c r="E578" s="2" t="s">
        <v>2813</v>
      </c>
      <c r="F578" s="2" t="s">
        <v>2800</v>
      </c>
    </row>
    <row r="579" ht="15.75" customHeight="1">
      <c r="B579" s="19">
        <v>2.020042E7</v>
      </c>
      <c r="C579" s="2" t="s">
        <v>2759</v>
      </c>
      <c r="D579" s="2" t="s">
        <v>2465</v>
      </c>
      <c r="E579" s="2" t="s">
        <v>2639</v>
      </c>
      <c r="F579" s="2" t="s">
        <v>2800</v>
      </c>
    </row>
    <row r="580" ht="15.75" customHeight="1">
      <c r="B580" s="19">
        <v>2.0200421E7</v>
      </c>
      <c r="C580" s="2" t="s">
        <v>2814</v>
      </c>
      <c r="D580" s="2" t="s">
        <v>2615</v>
      </c>
      <c r="E580" s="2" t="s">
        <v>2455</v>
      </c>
      <c r="F580" s="2" t="s">
        <v>2800</v>
      </c>
    </row>
    <row r="581" ht="15.75" customHeight="1">
      <c r="B581" s="19">
        <v>2.0200422E7</v>
      </c>
      <c r="C581" s="2" t="s">
        <v>2815</v>
      </c>
      <c r="D581" s="2" t="s">
        <v>2627</v>
      </c>
      <c r="E581" s="2" t="s">
        <v>2802</v>
      </c>
      <c r="F581" s="2" t="s">
        <v>2800</v>
      </c>
    </row>
    <row r="582" ht="15.75" customHeight="1">
      <c r="B582" s="19">
        <v>2.0200423E7</v>
      </c>
      <c r="C582" s="2" t="s">
        <v>2575</v>
      </c>
      <c r="D582" s="2" t="s">
        <v>2657</v>
      </c>
      <c r="E582" s="2" t="s">
        <v>2486</v>
      </c>
      <c r="F582" s="2" t="s">
        <v>2800</v>
      </c>
    </row>
    <row r="583" ht="15.75" customHeight="1">
      <c r="B583" s="19">
        <v>2.0200424E7</v>
      </c>
      <c r="C583" s="2" t="s">
        <v>2816</v>
      </c>
      <c r="D583" s="2" t="s">
        <v>2505</v>
      </c>
      <c r="E583" s="2" t="s">
        <v>2471</v>
      </c>
      <c r="F583" s="2" t="s">
        <v>2800</v>
      </c>
    </row>
    <row r="584" ht="15.75" customHeight="1">
      <c r="B584" s="19">
        <v>2.0200427E7</v>
      </c>
      <c r="C584" s="2" t="s">
        <v>2817</v>
      </c>
      <c r="D584" s="2" t="s">
        <v>2818</v>
      </c>
      <c r="E584" s="2" t="s">
        <v>2819</v>
      </c>
      <c r="F584" s="2" t="s">
        <v>2800</v>
      </c>
    </row>
    <row r="585" ht="15.75" customHeight="1">
      <c r="B585" s="19">
        <v>2.0200428E7</v>
      </c>
      <c r="C585" s="2" t="s">
        <v>2612</v>
      </c>
      <c r="D585" s="2" t="s">
        <v>2721</v>
      </c>
      <c r="E585" s="2" t="s">
        <v>2820</v>
      </c>
      <c r="F585" s="2" t="s">
        <v>2800</v>
      </c>
    </row>
    <row r="586" ht="15.75" customHeight="1">
      <c r="B586" s="19">
        <v>2.0200429E7</v>
      </c>
      <c r="C586" s="2" t="s">
        <v>2821</v>
      </c>
      <c r="D586" s="2" t="s">
        <v>2822</v>
      </c>
      <c r="E586" s="2" t="s">
        <v>2823</v>
      </c>
      <c r="F586" s="2" t="s">
        <v>2800</v>
      </c>
    </row>
    <row r="587" ht="15.75" customHeight="1">
      <c r="B587" s="19">
        <v>2.020043E7</v>
      </c>
      <c r="C587" s="2" t="s">
        <v>2574</v>
      </c>
      <c r="D587" s="2" t="s">
        <v>2665</v>
      </c>
      <c r="E587" s="2" t="s">
        <v>2824</v>
      </c>
      <c r="F587" s="2" t="s">
        <v>2800</v>
      </c>
    </row>
    <row r="588" ht="15.75" customHeight="1">
      <c r="B588" s="19">
        <v>2.0200501E7</v>
      </c>
      <c r="C588" s="2" t="s">
        <v>2825</v>
      </c>
      <c r="D588" s="2" t="s">
        <v>2723</v>
      </c>
      <c r="E588" s="2" t="s">
        <v>2692</v>
      </c>
      <c r="F588" s="2" t="s">
        <v>2800</v>
      </c>
    </row>
    <row r="589" ht="15.75" customHeight="1">
      <c r="B589" s="19">
        <v>2.0200504E7</v>
      </c>
      <c r="C589" s="2" t="s">
        <v>2486</v>
      </c>
      <c r="D589" s="2" t="s">
        <v>2497</v>
      </c>
      <c r="E589" s="2" t="s">
        <v>2715</v>
      </c>
      <c r="F589" s="2" t="s">
        <v>2800</v>
      </c>
    </row>
    <row r="590" ht="15.75" customHeight="1">
      <c r="B590" s="19">
        <v>2.0200505E7</v>
      </c>
      <c r="C590" s="2" t="s">
        <v>2459</v>
      </c>
      <c r="D590" s="2" t="s">
        <v>2484</v>
      </c>
      <c r="E590" s="2" t="s">
        <v>2826</v>
      </c>
      <c r="F590" s="2" t="s">
        <v>2800</v>
      </c>
    </row>
    <row r="591" ht="15.75" customHeight="1">
      <c r="B591" s="19">
        <v>2.0200506E7</v>
      </c>
      <c r="C591" s="2" t="s">
        <v>2494</v>
      </c>
      <c r="D591" s="2" t="s">
        <v>2486</v>
      </c>
      <c r="E591" s="2" t="s">
        <v>2779</v>
      </c>
      <c r="F591" s="2" t="s">
        <v>2800</v>
      </c>
    </row>
    <row r="592" ht="15.75" customHeight="1">
      <c r="B592" s="19">
        <v>2.0200507E7</v>
      </c>
      <c r="C592" s="2" t="s">
        <v>2607</v>
      </c>
      <c r="D592" s="2" t="s">
        <v>2545</v>
      </c>
      <c r="E592" s="2" t="s">
        <v>2567</v>
      </c>
      <c r="F592" s="2" t="s">
        <v>2800</v>
      </c>
    </row>
    <row r="593" ht="15.75" customHeight="1">
      <c r="B593" s="19">
        <v>2.0200508E7</v>
      </c>
      <c r="C593" s="2" t="s">
        <v>2827</v>
      </c>
      <c r="D593" s="2" t="s">
        <v>2754</v>
      </c>
      <c r="E593" s="2" t="s">
        <v>2828</v>
      </c>
      <c r="F593" s="2" t="s">
        <v>2800</v>
      </c>
    </row>
    <row r="594" ht="15.75" customHeight="1">
      <c r="B594" s="19">
        <v>2.0200511E7</v>
      </c>
      <c r="C594" s="2" t="s">
        <v>2449</v>
      </c>
      <c r="D594" s="2" t="s">
        <v>2535</v>
      </c>
      <c r="E594" s="2" t="s">
        <v>2829</v>
      </c>
      <c r="F594" s="2" t="s">
        <v>2800</v>
      </c>
    </row>
    <row r="595" ht="15.75" customHeight="1">
      <c r="B595" s="19">
        <v>2.0200512E7</v>
      </c>
      <c r="C595" s="2" t="s">
        <v>2680</v>
      </c>
      <c r="D595" s="2" t="s">
        <v>2472</v>
      </c>
      <c r="E595" s="2" t="s">
        <v>2830</v>
      </c>
      <c r="F595" s="2" t="s">
        <v>2800</v>
      </c>
    </row>
    <row r="596" ht="15.75" customHeight="1">
      <c r="B596" s="19">
        <v>2.0200513E7</v>
      </c>
      <c r="C596" s="2" t="s">
        <v>2697</v>
      </c>
      <c r="D596" s="2" t="s">
        <v>2648</v>
      </c>
      <c r="E596" s="2" t="s">
        <v>2831</v>
      </c>
      <c r="F596" s="2" t="s">
        <v>2800</v>
      </c>
    </row>
    <row r="597" ht="15.75" customHeight="1">
      <c r="B597" s="19">
        <v>2.0200514E7</v>
      </c>
      <c r="C597" s="2" t="s">
        <v>2746</v>
      </c>
      <c r="D597" s="2" t="s">
        <v>2696</v>
      </c>
      <c r="E597" s="2" t="s">
        <v>2615</v>
      </c>
      <c r="F597" s="2" t="s">
        <v>2800</v>
      </c>
    </row>
    <row r="598" ht="15.75" customHeight="1">
      <c r="B598" s="19">
        <v>2.0200515E7</v>
      </c>
      <c r="C598" s="2" t="s">
        <v>2450</v>
      </c>
      <c r="D598" s="2" t="s">
        <v>2818</v>
      </c>
      <c r="E598" s="2" t="s">
        <v>2832</v>
      </c>
      <c r="F598" s="2" t="s">
        <v>2800</v>
      </c>
    </row>
    <row r="599" ht="15.75" customHeight="1">
      <c r="B599" s="19">
        <v>2.0200518E7</v>
      </c>
      <c r="C599" s="2" t="s">
        <v>2833</v>
      </c>
      <c r="D599" s="2" t="s">
        <v>2834</v>
      </c>
      <c r="E599" s="2" t="s">
        <v>2835</v>
      </c>
      <c r="F599" s="2" t="s">
        <v>2800</v>
      </c>
    </row>
    <row r="600" ht="15.75" customHeight="1">
      <c r="B600" s="19">
        <v>2.0200519E7</v>
      </c>
      <c r="C600" s="2" t="s">
        <v>2675</v>
      </c>
      <c r="D600" s="2" t="s">
        <v>2474</v>
      </c>
      <c r="E600" s="2" t="s">
        <v>2836</v>
      </c>
      <c r="F600" s="2" t="s">
        <v>2800</v>
      </c>
    </row>
    <row r="601" ht="15.75" customHeight="1">
      <c r="B601" s="19">
        <v>2.020052E7</v>
      </c>
      <c r="C601" s="2" t="s">
        <v>2798</v>
      </c>
      <c r="D601" s="2" t="s">
        <v>2578</v>
      </c>
      <c r="E601" s="2" t="s">
        <v>2695</v>
      </c>
      <c r="F601" s="2" t="s">
        <v>2800</v>
      </c>
    </row>
    <row r="602" ht="15.75" customHeight="1">
      <c r="B602" s="19">
        <v>2.0200521E7</v>
      </c>
      <c r="C602" s="2" t="s">
        <v>2604</v>
      </c>
      <c r="D602" s="2" t="s">
        <v>2642</v>
      </c>
      <c r="E602" s="2" t="s">
        <v>2567</v>
      </c>
      <c r="F602" s="2" t="s">
        <v>2800</v>
      </c>
    </row>
    <row r="603" ht="15.75" customHeight="1">
      <c r="B603" s="19">
        <v>2.0200522E7</v>
      </c>
      <c r="C603" s="2" t="s">
        <v>2617</v>
      </c>
      <c r="D603" s="2" t="s">
        <v>2535</v>
      </c>
      <c r="E603" s="2" t="s">
        <v>2589</v>
      </c>
      <c r="F603" s="2" t="s">
        <v>2800</v>
      </c>
    </row>
    <row r="604" ht="15.75" customHeight="1">
      <c r="B604" s="19">
        <v>2.0200526E7</v>
      </c>
      <c r="C604" s="2" t="s">
        <v>2756</v>
      </c>
      <c r="D604" s="2" t="s">
        <v>2640</v>
      </c>
      <c r="E604" s="2" t="s">
        <v>2837</v>
      </c>
      <c r="F604" s="2" t="s">
        <v>2800</v>
      </c>
    </row>
    <row r="605" ht="15.75" customHeight="1">
      <c r="B605" s="19">
        <v>2.0200527E7</v>
      </c>
      <c r="C605" s="2" t="s">
        <v>2515</v>
      </c>
      <c r="D605" s="2" t="s">
        <v>2555</v>
      </c>
      <c r="E605" s="2" t="s">
        <v>2838</v>
      </c>
      <c r="F605" s="2" t="s">
        <v>2800</v>
      </c>
    </row>
    <row r="606" ht="15.75" customHeight="1">
      <c r="B606" s="19">
        <v>2.0200528E7</v>
      </c>
      <c r="C606" s="2" t="s">
        <v>2514</v>
      </c>
      <c r="D606" s="2" t="s">
        <v>2708</v>
      </c>
      <c r="E606" s="2" t="s">
        <v>2839</v>
      </c>
      <c r="F606" s="2" t="s">
        <v>2800</v>
      </c>
    </row>
    <row r="607" ht="15.75" customHeight="1">
      <c r="B607" s="19">
        <v>2.0200529E7</v>
      </c>
      <c r="C607" s="2" t="s">
        <v>2726</v>
      </c>
      <c r="D607" s="2" t="s">
        <v>2489</v>
      </c>
      <c r="E607" s="2" t="s">
        <v>2840</v>
      </c>
      <c r="F607" s="2" t="s">
        <v>2800</v>
      </c>
    </row>
    <row r="608" ht="15.75" customHeight="1">
      <c r="B608" s="19">
        <v>2.0200601E7</v>
      </c>
      <c r="C608" s="2" t="s">
        <v>2500</v>
      </c>
      <c r="D608" s="2" t="s">
        <v>2447</v>
      </c>
      <c r="E608" s="2" t="s">
        <v>2712</v>
      </c>
      <c r="F608" s="2" t="s">
        <v>2800</v>
      </c>
    </row>
    <row r="609" ht="15.75" customHeight="1">
      <c r="B609" s="19">
        <v>2.0200602E7</v>
      </c>
      <c r="C609" s="2" t="s">
        <v>2499</v>
      </c>
      <c r="D609" s="2" t="s">
        <v>2534</v>
      </c>
      <c r="E609" s="2" t="s">
        <v>2486</v>
      </c>
      <c r="F609" s="2" t="s">
        <v>2800</v>
      </c>
    </row>
    <row r="610" ht="15.75" customHeight="1">
      <c r="B610" s="19">
        <v>2.0200603E7</v>
      </c>
      <c r="C610" s="2" t="s">
        <v>2737</v>
      </c>
      <c r="D610" s="2" t="s">
        <v>2446</v>
      </c>
      <c r="E610" s="2" t="s">
        <v>2841</v>
      </c>
      <c r="F610" s="2" t="s">
        <v>2800</v>
      </c>
    </row>
    <row r="611" ht="15.75" customHeight="1">
      <c r="B611" s="19">
        <v>2.0200604E7</v>
      </c>
      <c r="C611" s="2" t="s">
        <v>2466</v>
      </c>
      <c r="D611" s="2" t="s">
        <v>2551</v>
      </c>
      <c r="E611" s="2" t="s">
        <v>2842</v>
      </c>
      <c r="F611" s="2" t="s">
        <v>2800</v>
      </c>
    </row>
    <row r="612" ht="15.75" customHeight="1">
      <c r="B612" s="19">
        <v>2.0200605E7</v>
      </c>
      <c r="C612" s="2" t="s">
        <v>2843</v>
      </c>
      <c r="D612" s="2" t="s">
        <v>2441</v>
      </c>
      <c r="E612" s="2" t="s">
        <v>2844</v>
      </c>
      <c r="F612" s="2" t="s">
        <v>2800</v>
      </c>
    </row>
    <row r="613" ht="15.75" customHeight="1">
      <c r="B613" s="19">
        <v>2.0200608E7</v>
      </c>
      <c r="C613" s="2" t="s">
        <v>2754</v>
      </c>
      <c r="D613" s="2" t="s">
        <v>2530</v>
      </c>
      <c r="E613" s="2" t="s">
        <v>2845</v>
      </c>
      <c r="F613" s="2" t="s">
        <v>2800</v>
      </c>
    </row>
    <row r="614" ht="15.75" customHeight="1">
      <c r="B614" s="19">
        <v>2.0200609E7</v>
      </c>
      <c r="C614" s="2" t="s">
        <v>2589</v>
      </c>
      <c r="D614" s="2" t="s">
        <v>2463</v>
      </c>
      <c r="E614" s="2" t="s">
        <v>2846</v>
      </c>
      <c r="F614" s="2" t="s">
        <v>2800</v>
      </c>
    </row>
    <row r="615" ht="15.75" customHeight="1">
      <c r="B615" s="19">
        <v>2.020061E7</v>
      </c>
      <c r="C615" s="2" t="s">
        <v>2723</v>
      </c>
      <c r="D615" s="2" t="s">
        <v>2589</v>
      </c>
      <c r="E615" s="2" t="s">
        <v>2847</v>
      </c>
      <c r="F615" s="2" t="s">
        <v>2800</v>
      </c>
    </row>
    <row r="616" ht="15.75" customHeight="1">
      <c r="B616" s="19">
        <v>2.0200611E7</v>
      </c>
      <c r="C616" s="2" t="s">
        <v>2848</v>
      </c>
      <c r="D616" s="2" t="s">
        <v>2635</v>
      </c>
      <c r="E616" s="2" t="s">
        <v>2849</v>
      </c>
      <c r="F616" s="2" t="s">
        <v>2800</v>
      </c>
    </row>
    <row r="617" ht="15.75" customHeight="1">
      <c r="B617" s="19">
        <v>2.0200612E7</v>
      </c>
      <c r="C617" s="2" t="s">
        <v>2673</v>
      </c>
      <c r="D617" s="2" t="s">
        <v>2453</v>
      </c>
      <c r="E617" s="2" t="s">
        <v>2850</v>
      </c>
      <c r="F617" s="2" t="s">
        <v>2800</v>
      </c>
    </row>
    <row r="618" ht="15.75" customHeight="1">
      <c r="B618" s="19">
        <v>2.0200615E7</v>
      </c>
      <c r="C618" s="2" t="s">
        <v>2573</v>
      </c>
      <c r="D618" s="2" t="s">
        <v>2851</v>
      </c>
      <c r="E618" s="2" t="s">
        <v>2436</v>
      </c>
      <c r="F618" s="2" t="s">
        <v>2800</v>
      </c>
    </row>
    <row r="619" ht="15.75" customHeight="1">
      <c r="B619" s="19">
        <v>2.0200616E7</v>
      </c>
      <c r="C619" s="2" t="s">
        <v>2852</v>
      </c>
      <c r="D619" s="2" t="s">
        <v>2602</v>
      </c>
      <c r="E619" s="2" t="s">
        <v>2597</v>
      </c>
      <c r="F619" s="2" t="s">
        <v>2800</v>
      </c>
    </row>
    <row r="620" ht="15.75" customHeight="1">
      <c r="B620" s="19">
        <v>2.0200617E7</v>
      </c>
      <c r="C620" s="2" t="s">
        <v>2605</v>
      </c>
      <c r="D620" s="2" t="s">
        <v>2648</v>
      </c>
      <c r="E620" s="2" t="s">
        <v>2840</v>
      </c>
      <c r="F620" s="2" t="s">
        <v>2800</v>
      </c>
    </row>
    <row r="621" ht="15.75" customHeight="1">
      <c r="B621" s="19">
        <v>2.0200618E7</v>
      </c>
      <c r="C621" s="2" t="s">
        <v>2443</v>
      </c>
      <c r="D621" s="2" t="s">
        <v>2586</v>
      </c>
      <c r="E621" s="2" t="s">
        <v>2538</v>
      </c>
      <c r="F621" s="2" t="s">
        <v>2800</v>
      </c>
    </row>
    <row r="622" ht="15.75" customHeight="1">
      <c r="B622" s="19">
        <v>2.0200619E7</v>
      </c>
      <c r="C622" s="2" t="s">
        <v>2612</v>
      </c>
      <c r="D622" s="2" t="s">
        <v>2640</v>
      </c>
      <c r="E622" s="2" t="s">
        <v>2722</v>
      </c>
      <c r="F622" s="2" t="s">
        <v>2800</v>
      </c>
    </row>
    <row r="623" ht="15.75" customHeight="1">
      <c r="B623" s="19">
        <v>2.0200622E7</v>
      </c>
      <c r="C623" s="2" t="s">
        <v>2598</v>
      </c>
      <c r="D623" s="2" t="s">
        <v>2570</v>
      </c>
      <c r="E623" s="2" t="s">
        <v>2632</v>
      </c>
      <c r="F623" s="2" t="s">
        <v>2800</v>
      </c>
    </row>
    <row r="624" ht="15.75" customHeight="1">
      <c r="B624" s="19">
        <v>2.0200623E7</v>
      </c>
      <c r="C624" s="2" t="s">
        <v>2438</v>
      </c>
      <c r="D624" s="2" t="s">
        <v>2455</v>
      </c>
      <c r="E624" s="2" t="s">
        <v>2638</v>
      </c>
      <c r="F624" s="2" t="s">
        <v>2800</v>
      </c>
    </row>
    <row r="625" ht="15.75" customHeight="1">
      <c r="B625" s="19">
        <v>2.0200624E7</v>
      </c>
      <c r="C625" s="2" t="s">
        <v>2853</v>
      </c>
      <c r="D625" s="2" t="s">
        <v>2612</v>
      </c>
      <c r="E625" s="2" t="s">
        <v>2632</v>
      </c>
      <c r="F625" s="2" t="s">
        <v>2800</v>
      </c>
    </row>
    <row r="626" ht="15.75" customHeight="1">
      <c r="B626" s="19">
        <v>2.0200625E7</v>
      </c>
      <c r="C626" s="2" t="s">
        <v>2516</v>
      </c>
      <c r="D626" s="2" t="s">
        <v>2440</v>
      </c>
      <c r="E626" s="2" t="s">
        <v>2597</v>
      </c>
      <c r="F626" s="2" t="s">
        <v>2800</v>
      </c>
    </row>
    <row r="627" ht="15.75" customHeight="1">
      <c r="B627" s="19">
        <v>2.0200626E7</v>
      </c>
      <c r="C627" s="2" t="s">
        <v>2854</v>
      </c>
      <c r="D627" s="2" t="s">
        <v>2528</v>
      </c>
      <c r="E627" s="2" t="s">
        <v>2855</v>
      </c>
      <c r="F627" s="2" t="s">
        <v>2800</v>
      </c>
    </row>
    <row r="628" ht="15.75" customHeight="1">
      <c r="B628" s="19">
        <v>2.0200629E7</v>
      </c>
      <c r="C628" s="2" t="s">
        <v>2709</v>
      </c>
      <c r="D628" s="2" t="s">
        <v>2856</v>
      </c>
      <c r="E628" s="2" t="s">
        <v>2857</v>
      </c>
      <c r="F628" s="2" t="s">
        <v>2800</v>
      </c>
    </row>
    <row r="629" ht="15.75" customHeight="1">
      <c r="B629" s="19">
        <v>2.020063E7</v>
      </c>
      <c r="C629" s="2" t="s">
        <v>2858</v>
      </c>
      <c r="D629" s="2" t="s">
        <v>2485</v>
      </c>
      <c r="E629" s="2" t="s">
        <v>2458</v>
      </c>
      <c r="F629" s="2" t="s">
        <v>2800</v>
      </c>
    </row>
    <row r="630" ht="15.75" customHeight="1">
      <c r="B630" s="19">
        <v>2.0200701E7</v>
      </c>
      <c r="C630" s="2" t="s">
        <v>2544</v>
      </c>
      <c r="D630" s="2" t="s">
        <v>2859</v>
      </c>
      <c r="E630" s="2" t="s">
        <v>2860</v>
      </c>
      <c r="F630" s="2" t="s">
        <v>2861</v>
      </c>
    </row>
    <row r="631" ht="15.75" customHeight="1">
      <c r="B631" s="19">
        <v>2.0200702E7</v>
      </c>
      <c r="C631" s="2" t="s">
        <v>2597</v>
      </c>
      <c r="D631" s="2" t="s">
        <v>2479</v>
      </c>
      <c r="E631" s="2" t="s">
        <v>2471</v>
      </c>
      <c r="F631" s="2" t="s">
        <v>2861</v>
      </c>
    </row>
    <row r="632" ht="15.75" customHeight="1">
      <c r="B632" s="19">
        <v>2.0200706E7</v>
      </c>
      <c r="C632" s="2" t="s">
        <v>2862</v>
      </c>
      <c r="D632" s="2" t="s">
        <v>2509</v>
      </c>
      <c r="E632" s="2" t="s">
        <v>2650</v>
      </c>
      <c r="F632" s="2" t="s">
        <v>2861</v>
      </c>
    </row>
    <row r="633" ht="15.75" customHeight="1">
      <c r="B633" s="19">
        <v>2.0200707E7</v>
      </c>
      <c r="C633" s="2" t="s">
        <v>2863</v>
      </c>
      <c r="D633" s="2" t="s">
        <v>2462</v>
      </c>
      <c r="E633" s="2" t="s">
        <v>2836</v>
      </c>
      <c r="F633" s="2" t="s">
        <v>2861</v>
      </c>
    </row>
    <row r="634" ht="15.75" customHeight="1">
      <c r="B634" s="19">
        <v>2.0200708E7</v>
      </c>
      <c r="C634" s="2" t="s">
        <v>2641</v>
      </c>
      <c r="D634" s="2" t="s">
        <v>2565</v>
      </c>
      <c r="E634" s="2" t="s">
        <v>2577</v>
      </c>
      <c r="F634" s="2" t="s">
        <v>2861</v>
      </c>
    </row>
    <row r="635" ht="15.75" customHeight="1">
      <c r="B635" s="19">
        <v>2.0200709E7</v>
      </c>
      <c r="C635" s="2" t="s">
        <v>2538</v>
      </c>
      <c r="D635" s="2" t="s">
        <v>2652</v>
      </c>
      <c r="E635" s="2" t="s">
        <v>2853</v>
      </c>
      <c r="F635" s="2" t="s">
        <v>2861</v>
      </c>
    </row>
    <row r="636" ht="15.75" customHeight="1">
      <c r="B636" s="19">
        <v>2.020071E7</v>
      </c>
      <c r="C636" s="2" t="s">
        <v>2475</v>
      </c>
      <c r="D636" s="2" t="s">
        <v>2448</v>
      </c>
      <c r="E636" s="2" t="s">
        <v>2864</v>
      </c>
      <c r="F636" s="2" t="s">
        <v>2861</v>
      </c>
    </row>
    <row r="637" ht="15.75" customHeight="1">
      <c r="B637" s="19">
        <v>2.0200713E7</v>
      </c>
      <c r="C637" s="2" t="s">
        <v>2733</v>
      </c>
      <c r="D637" s="2" t="s">
        <v>2670</v>
      </c>
      <c r="E637" s="2" t="s">
        <v>2865</v>
      </c>
      <c r="F637" s="2" t="s">
        <v>2861</v>
      </c>
    </row>
    <row r="638" ht="15.75" customHeight="1">
      <c r="B638" s="19">
        <v>2.0200714E7</v>
      </c>
      <c r="C638" s="2" t="s">
        <v>2674</v>
      </c>
      <c r="D638" s="2" t="s">
        <v>2712</v>
      </c>
      <c r="E638" s="2" t="s">
        <v>2489</v>
      </c>
      <c r="F638" s="2" t="s">
        <v>2861</v>
      </c>
    </row>
    <row r="639" ht="15.75" customHeight="1">
      <c r="B639" s="19">
        <v>2.0200715E7</v>
      </c>
      <c r="C639" s="2" t="s">
        <v>2746</v>
      </c>
      <c r="D639" s="2" t="s">
        <v>2866</v>
      </c>
      <c r="E639" s="2" t="s">
        <v>2856</v>
      </c>
      <c r="F639" s="2" t="s">
        <v>2861</v>
      </c>
    </row>
    <row r="640" ht="15.75" customHeight="1">
      <c r="B640" s="19">
        <v>2.0200716E7</v>
      </c>
      <c r="C640" s="2" t="s">
        <v>2571</v>
      </c>
      <c r="D640" s="2" t="s">
        <v>2470</v>
      </c>
      <c r="E640" s="2" t="s">
        <v>2499</v>
      </c>
      <c r="F640" s="2" t="s">
        <v>2861</v>
      </c>
    </row>
    <row r="641" ht="15.75" customHeight="1">
      <c r="B641" s="19">
        <v>2.0200717E7</v>
      </c>
      <c r="C641" s="2" t="s">
        <v>2565</v>
      </c>
      <c r="D641" s="2" t="s">
        <v>2611</v>
      </c>
      <c r="E641" s="2" t="s">
        <v>2797</v>
      </c>
      <c r="F641" s="2" t="s">
        <v>2861</v>
      </c>
    </row>
    <row r="642" ht="15.75" customHeight="1">
      <c r="B642" s="19">
        <v>2.020072E7</v>
      </c>
      <c r="C642" s="2" t="s">
        <v>2522</v>
      </c>
      <c r="D642" s="2" t="s">
        <v>2612</v>
      </c>
      <c r="E642" s="2" t="s">
        <v>2867</v>
      </c>
      <c r="F642" s="2" t="s">
        <v>2861</v>
      </c>
    </row>
    <row r="643" ht="15.75" customHeight="1">
      <c r="B643" s="19">
        <v>2.0200721E7</v>
      </c>
      <c r="C643" s="2" t="s">
        <v>2446</v>
      </c>
      <c r="D643" s="2" t="s">
        <v>2570</v>
      </c>
      <c r="E643" s="2" t="s">
        <v>2868</v>
      </c>
      <c r="F643" s="2" t="s">
        <v>2861</v>
      </c>
    </row>
    <row r="644" ht="15.75" customHeight="1">
      <c r="B644" s="19">
        <v>2.0200722E7</v>
      </c>
      <c r="C644" s="2" t="s">
        <v>2506</v>
      </c>
      <c r="D644" s="2" t="s">
        <v>2476</v>
      </c>
      <c r="E644" s="2" t="s">
        <v>2495</v>
      </c>
      <c r="F644" s="2" t="s">
        <v>2861</v>
      </c>
    </row>
    <row r="645" ht="15.75" customHeight="1">
      <c r="B645" s="19">
        <v>2.0200723E7</v>
      </c>
      <c r="C645" s="2" t="s">
        <v>2733</v>
      </c>
      <c r="D645" s="2" t="s">
        <v>2600</v>
      </c>
      <c r="E645" s="2" t="s">
        <v>2742</v>
      </c>
      <c r="F645" s="2" t="s">
        <v>2861</v>
      </c>
    </row>
    <row r="646" ht="15.75" customHeight="1">
      <c r="B646" s="19">
        <v>2.0200724E7</v>
      </c>
      <c r="C646" s="2" t="s">
        <v>2707</v>
      </c>
      <c r="D646" s="2" t="s">
        <v>2635</v>
      </c>
      <c r="E646" s="2" t="s">
        <v>2473</v>
      </c>
      <c r="F646" s="2" t="s">
        <v>2861</v>
      </c>
    </row>
    <row r="647" ht="15.75" customHeight="1">
      <c r="B647" s="19">
        <v>2.0200727E7</v>
      </c>
      <c r="C647" s="2" t="s">
        <v>2625</v>
      </c>
      <c r="D647" s="2" t="s">
        <v>2719</v>
      </c>
      <c r="E647" s="2" t="s">
        <v>2869</v>
      </c>
      <c r="F647" s="2" t="s">
        <v>2861</v>
      </c>
    </row>
    <row r="648" ht="15.75" customHeight="1">
      <c r="B648" s="19">
        <v>2.0200728E7</v>
      </c>
      <c r="C648" s="2" t="s">
        <v>2579</v>
      </c>
      <c r="D648" s="2" t="s">
        <v>2646</v>
      </c>
      <c r="E648" s="2" t="s">
        <v>2701</v>
      </c>
      <c r="F648" s="2" t="s">
        <v>2861</v>
      </c>
    </row>
    <row r="649" ht="15.75" customHeight="1">
      <c r="B649" s="19">
        <v>2.0200729E7</v>
      </c>
      <c r="C649" s="2" t="s">
        <v>2674</v>
      </c>
      <c r="D649" s="2" t="s">
        <v>2610</v>
      </c>
      <c r="E649" s="2" t="s">
        <v>2594</v>
      </c>
      <c r="F649" s="2" t="s">
        <v>2861</v>
      </c>
    </row>
    <row r="650" ht="15.75" customHeight="1">
      <c r="B650" s="19">
        <v>2.020073E7</v>
      </c>
      <c r="C650" s="2" t="s">
        <v>2489</v>
      </c>
      <c r="D650" s="2" t="s">
        <v>2506</v>
      </c>
      <c r="E650" s="2" t="s">
        <v>2870</v>
      </c>
      <c r="F650" s="2" t="s">
        <v>2861</v>
      </c>
    </row>
    <row r="651" ht="15.75" customHeight="1">
      <c r="B651" s="19">
        <v>2.0200731E7</v>
      </c>
      <c r="C651" s="2" t="s">
        <v>2602</v>
      </c>
      <c r="D651" s="2" t="s">
        <v>2871</v>
      </c>
      <c r="E651" s="2" t="s">
        <v>2537</v>
      </c>
      <c r="F651" s="2" t="s">
        <v>2861</v>
      </c>
    </row>
    <row r="652" ht="15.75" customHeight="1">
      <c r="B652" s="19">
        <v>2.0200803E7</v>
      </c>
      <c r="C652" s="2" t="s">
        <v>2629</v>
      </c>
      <c r="D652" s="2" t="s">
        <v>2655</v>
      </c>
      <c r="E652" s="2" t="s">
        <v>2472</v>
      </c>
      <c r="F652" s="2" t="s">
        <v>2800</v>
      </c>
    </row>
    <row r="653" ht="15.75" customHeight="1">
      <c r="B653" s="19">
        <v>2.0200804E7</v>
      </c>
      <c r="C653" s="2" t="s">
        <v>2530</v>
      </c>
      <c r="D653" s="2" t="s">
        <v>2535</v>
      </c>
      <c r="E653" s="2" t="s">
        <v>2488</v>
      </c>
      <c r="F653" s="2" t="s">
        <v>2800</v>
      </c>
    </row>
    <row r="654" ht="15.75" customHeight="1">
      <c r="B654" s="19">
        <v>2.0200805E7</v>
      </c>
      <c r="C654" s="2" t="s">
        <v>2491</v>
      </c>
      <c r="D654" s="2" t="s">
        <v>2757</v>
      </c>
      <c r="E654" s="2" t="s">
        <v>2633</v>
      </c>
      <c r="F654" s="2" t="s">
        <v>2800</v>
      </c>
    </row>
    <row r="655" ht="15.75" customHeight="1">
      <c r="B655" s="19">
        <v>2.0200806E7</v>
      </c>
      <c r="C655" s="2" t="s">
        <v>2496</v>
      </c>
      <c r="D655" s="2" t="s">
        <v>2520</v>
      </c>
      <c r="E655" s="2" t="s">
        <v>2589</v>
      </c>
      <c r="F655" s="2" t="s">
        <v>2800</v>
      </c>
    </row>
    <row r="656" ht="15.75" customHeight="1">
      <c r="B656" s="19">
        <v>2.0200807E7</v>
      </c>
      <c r="C656" s="2" t="s">
        <v>2576</v>
      </c>
      <c r="D656" s="2" t="s">
        <v>2641</v>
      </c>
      <c r="E656" s="2" t="s">
        <v>2872</v>
      </c>
      <c r="F656" s="2" t="s">
        <v>2800</v>
      </c>
    </row>
    <row r="657" ht="15.75" customHeight="1">
      <c r="B657" s="19">
        <v>2.020081E7</v>
      </c>
      <c r="C657" s="2" t="s">
        <v>2440</v>
      </c>
      <c r="D657" s="2" t="s">
        <v>2625</v>
      </c>
      <c r="E657" s="2" t="s">
        <v>2817</v>
      </c>
      <c r="F657" s="2" t="s">
        <v>2800</v>
      </c>
    </row>
    <row r="658" ht="15.75" customHeight="1">
      <c r="B658" s="19">
        <v>2.0200811E7</v>
      </c>
      <c r="C658" s="2" t="s">
        <v>2725</v>
      </c>
      <c r="D658" s="2" t="s">
        <v>2587</v>
      </c>
      <c r="E658" s="2" t="s">
        <v>2873</v>
      </c>
      <c r="F658" s="2" t="s">
        <v>2800</v>
      </c>
    </row>
    <row r="659" ht="15.75" customHeight="1">
      <c r="B659" s="19">
        <v>2.0200812E7</v>
      </c>
      <c r="C659" s="2" t="s">
        <v>2874</v>
      </c>
      <c r="D659" s="2" t="s">
        <v>2477</v>
      </c>
      <c r="E659" s="2" t="s">
        <v>2875</v>
      </c>
      <c r="F659" s="2" t="s">
        <v>2800</v>
      </c>
    </row>
    <row r="660" ht="15.75" customHeight="1">
      <c r="B660" s="19">
        <v>2.0200813E7</v>
      </c>
      <c r="C660" s="2" t="s">
        <v>2644</v>
      </c>
      <c r="D660" s="2" t="s">
        <v>2542</v>
      </c>
      <c r="E660" s="2" t="s">
        <v>2667</v>
      </c>
      <c r="F660" s="2" t="s">
        <v>2800</v>
      </c>
    </row>
    <row r="661" ht="15.75" customHeight="1">
      <c r="B661" s="19">
        <v>2.0200814E7</v>
      </c>
      <c r="C661" s="2" t="s">
        <v>2447</v>
      </c>
      <c r="D661" s="2" t="s">
        <v>2534</v>
      </c>
      <c r="E661" s="2" t="s">
        <v>2578</v>
      </c>
      <c r="F661" s="2" t="s">
        <v>2800</v>
      </c>
    </row>
    <row r="662" ht="15.75" customHeight="1">
      <c r="B662" s="19">
        <v>2.0200817E7</v>
      </c>
      <c r="C662" s="2" t="s">
        <v>2547</v>
      </c>
      <c r="D662" s="2" t="s">
        <v>2726</v>
      </c>
      <c r="E662" s="2" t="s">
        <v>2846</v>
      </c>
      <c r="F662" s="2" t="s">
        <v>2800</v>
      </c>
    </row>
    <row r="663" ht="15.75" customHeight="1">
      <c r="B663" s="19">
        <v>2.0200818E7</v>
      </c>
      <c r="C663" s="2" t="s">
        <v>2468</v>
      </c>
      <c r="D663" s="2" t="s">
        <v>2480</v>
      </c>
      <c r="E663" s="2" t="s">
        <v>2665</v>
      </c>
      <c r="F663" s="2" t="s">
        <v>2800</v>
      </c>
    </row>
    <row r="664" ht="15.75" customHeight="1">
      <c r="B664" s="19">
        <v>2.0200819E7</v>
      </c>
      <c r="C664" s="2" t="s">
        <v>2495</v>
      </c>
      <c r="D664" s="2" t="s">
        <v>2535</v>
      </c>
      <c r="E664" s="2" t="s">
        <v>2640</v>
      </c>
      <c r="F664" s="2" t="s">
        <v>2800</v>
      </c>
    </row>
    <row r="665" ht="15.75" customHeight="1">
      <c r="B665" s="19">
        <v>2.020082E7</v>
      </c>
      <c r="C665" s="2" t="s">
        <v>2453</v>
      </c>
      <c r="D665" s="2" t="s">
        <v>2494</v>
      </c>
      <c r="E665" s="2" t="s">
        <v>2876</v>
      </c>
      <c r="F665" s="2" t="s">
        <v>2800</v>
      </c>
    </row>
    <row r="666" ht="15.75" customHeight="1">
      <c r="B666" s="19">
        <v>2.0200821E7</v>
      </c>
      <c r="C666" s="2" t="s">
        <v>2505</v>
      </c>
      <c r="D666" s="2" t="s">
        <v>2686</v>
      </c>
      <c r="E666" s="2" t="s">
        <v>2511</v>
      </c>
      <c r="F666" s="2" t="s">
        <v>2800</v>
      </c>
    </row>
    <row r="667" ht="15.75" customHeight="1">
      <c r="B667" s="19">
        <v>2.0200824E7</v>
      </c>
      <c r="C667" s="2" t="s">
        <v>2569</v>
      </c>
      <c r="D667" s="2" t="s">
        <v>2571</v>
      </c>
      <c r="E667" s="2" t="s">
        <v>2877</v>
      </c>
      <c r="F667" s="2" t="s">
        <v>2800</v>
      </c>
    </row>
    <row r="668" ht="15.75" customHeight="1">
      <c r="B668" s="19">
        <v>2.0200825E7</v>
      </c>
      <c r="C668" s="2" t="s">
        <v>2510</v>
      </c>
      <c r="D668" s="2" t="s">
        <v>2455</v>
      </c>
      <c r="E668" s="2" t="s">
        <v>2653</v>
      </c>
      <c r="F668" s="2" t="s">
        <v>2800</v>
      </c>
    </row>
    <row r="669" ht="15.75" customHeight="1">
      <c r="B669" s="19">
        <v>2.0200826E7</v>
      </c>
      <c r="C669" s="2" t="s">
        <v>2701</v>
      </c>
      <c r="D669" s="2" t="s">
        <v>2767</v>
      </c>
      <c r="E669" s="2" t="s">
        <v>2662</v>
      </c>
      <c r="F669" s="2" t="s">
        <v>2800</v>
      </c>
    </row>
    <row r="670" ht="15.75" customHeight="1">
      <c r="B670" s="19">
        <v>2.0200827E7</v>
      </c>
      <c r="C670" s="2" t="s">
        <v>2542</v>
      </c>
      <c r="D670" s="2" t="s">
        <v>2466</v>
      </c>
      <c r="E670" s="2" t="s">
        <v>2459</v>
      </c>
      <c r="F670" s="2" t="s">
        <v>2800</v>
      </c>
    </row>
    <row r="671" ht="15.75" customHeight="1">
      <c r="B671" s="19">
        <v>2.0200828E7</v>
      </c>
      <c r="C671" s="2" t="s">
        <v>2524</v>
      </c>
      <c r="D671" s="2" t="s">
        <v>2617</v>
      </c>
      <c r="E671" s="2" t="s">
        <v>2551</v>
      </c>
      <c r="F671" s="2" t="s">
        <v>2800</v>
      </c>
    </row>
    <row r="672" ht="15.75" customHeight="1">
      <c r="B672" s="19">
        <v>2.0200831E7</v>
      </c>
      <c r="C672" s="2" t="s">
        <v>2447</v>
      </c>
      <c r="D672" s="2" t="s">
        <v>2520</v>
      </c>
      <c r="E672" s="2" t="s">
        <v>2878</v>
      </c>
      <c r="F672" s="2" t="s">
        <v>2800</v>
      </c>
    </row>
    <row r="673" ht="15.75" customHeight="1">
      <c r="B673" s="19">
        <v>2.0200901E7</v>
      </c>
      <c r="C673" s="2" t="s">
        <v>2569</v>
      </c>
      <c r="D673" s="2" t="s">
        <v>2473</v>
      </c>
      <c r="E673" s="2" t="s">
        <v>2614</v>
      </c>
      <c r="F673" s="2" t="s">
        <v>2800</v>
      </c>
    </row>
    <row r="674" ht="15.75" customHeight="1">
      <c r="B674" s="19">
        <v>2.0200902E7</v>
      </c>
      <c r="C674" s="2" t="s">
        <v>2879</v>
      </c>
      <c r="D674" s="2" t="s">
        <v>2456</v>
      </c>
      <c r="E674" s="2" t="s">
        <v>2612</v>
      </c>
      <c r="F674" s="2" t="s">
        <v>2800</v>
      </c>
    </row>
    <row r="675" ht="15.75" customHeight="1">
      <c r="B675" s="19">
        <v>2.0200903E7</v>
      </c>
      <c r="C675" s="2" t="s">
        <v>2880</v>
      </c>
      <c r="D675" s="2" t="s">
        <v>2551</v>
      </c>
      <c r="E675" s="2" t="s">
        <v>2881</v>
      </c>
      <c r="F675" s="2" t="s">
        <v>2800</v>
      </c>
    </row>
    <row r="676" ht="15.75" customHeight="1">
      <c r="B676" s="19">
        <v>2.0200904E7</v>
      </c>
      <c r="C676" s="2" t="s">
        <v>2740</v>
      </c>
      <c r="D676" s="2" t="s">
        <v>2616</v>
      </c>
      <c r="E676" s="2" t="s">
        <v>2882</v>
      </c>
      <c r="F676" s="2" t="s">
        <v>2800</v>
      </c>
    </row>
    <row r="677" ht="15.75" customHeight="1">
      <c r="B677" s="19">
        <v>2.0200908E7</v>
      </c>
      <c r="C677" s="2" t="s">
        <v>2825</v>
      </c>
      <c r="D677" s="2" t="s">
        <v>2441</v>
      </c>
      <c r="E677" s="2" t="s">
        <v>2489</v>
      </c>
      <c r="F677" s="2" t="s">
        <v>2800</v>
      </c>
    </row>
    <row r="678" ht="15.75" customHeight="1">
      <c r="B678" s="19">
        <v>2.0200909E7</v>
      </c>
      <c r="C678" s="2" t="s">
        <v>2883</v>
      </c>
      <c r="D678" s="2" t="s">
        <v>2437</v>
      </c>
      <c r="E678" s="2" t="s">
        <v>2884</v>
      </c>
      <c r="F678" s="2" t="s">
        <v>2800</v>
      </c>
    </row>
    <row r="679" ht="15.75" customHeight="1">
      <c r="B679" s="19">
        <v>2.020091E7</v>
      </c>
      <c r="C679" s="2" t="s">
        <v>2802</v>
      </c>
      <c r="D679" s="2" t="s">
        <v>2565</v>
      </c>
      <c r="E679" s="2" t="s">
        <v>2545</v>
      </c>
      <c r="F679" s="2" t="s">
        <v>2800</v>
      </c>
    </row>
    <row r="680" ht="15.75" customHeight="1">
      <c r="B680" s="19">
        <v>2.0200911E7</v>
      </c>
      <c r="C680" s="2" t="s">
        <v>2545</v>
      </c>
      <c r="D680" s="2" t="s">
        <v>2472</v>
      </c>
      <c r="E680" s="2" t="s">
        <v>2594</v>
      </c>
      <c r="F680" s="2" t="s">
        <v>2800</v>
      </c>
    </row>
    <row r="681" ht="15.75" customHeight="1">
      <c r="B681" s="19">
        <v>2.0200914E7</v>
      </c>
      <c r="C681" s="2" t="s">
        <v>2806</v>
      </c>
      <c r="D681" s="2" t="s">
        <v>2720</v>
      </c>
      <c r="E681" s="2" t="s">
        <v>2590</v>
      </c>
      <c r="F681" s="2" t="s">
        <v>2800</v>
      </c>
    </row>
    <row r="682" ht="15.75" customHeight="1">
      <c r="B682" s="19">
        <v>2.0200915E7</v>
      </c>
      <c r="C682" s="2" t="s">
        <v>2450</v>
      </c>
      <c r="D682" s="2" t="s">
        <v>2630</v>
      </c>
      <c r="E682" s="2" t="s">
        <v>2797</v>
      </c>
      <c r="F682" s="2" t="s">
        <v>2800</v>
      </c>
    </row>
    <row r="683" ht="15.75" customHeight="1">
      <c r="B683" s="19">
        <v>2.0200916E7</v>
      </c>
      <c r="C683" s="2" t="s">
        <v>2436</v>
      </c>
      <c r="D683" s="2" t="s">
        <v>2719</v>
      </c>
      <c r="E683" s="2" t="s">
        <v>2608</v>
      </c>
      <c r="F683" s="2" t="s">
        <v>2800</v>
      </c>
    </row>
    <row r="684" ht="15.75" customHeight="1">
      <c r="B684" s="19">
        <v>2.0200917E7</v>
      </c>
      <c r="C684" s="2" t="s">
        <v>2589</v>
      </c>
      <c r="D684" s="2" t="s">
        <v>2510</v>
      </c>
      <c r="E684" s="2" t="s">
        <v>2583</v>
      </c>
      <c r="F684" s="2" t="s">
        <v>2800</v>
      </c>
    </row>
    <row r="685" ht="15.75" customHeight="1">
      <c r="B685" s="19">
        <v>2.0200918E7</v>
      </c>
      <c r="C685" s="2" t="s">
        <v>2661</v>
      </c>
      <c r="D685" s="2" t="s">
        <v>2512</v>
      </c>
      <c r="E685" s="2" t="s">
        <v>2481</v>
      </c>
      <c r="F685" s="2" t="s">
        <v>2800</v>
      </c>
    </row>
    <row r="686" ht="15.75" customHeight="1">
      <c r="B686" s="19">
        <v>2.0200921E7</v>
      </c>
      <c r="C686" s="2" t="s">
        <v>2711</v>
      </c>
      <c r="D686" s="2" t="s">
        <v>2885</v>
      </c>
      <c r="E686" s="2" t="s">
        <v>2697</v>
      </c>
      <c r="F686" s="2" t="s">
        <v>2800</v>
      </c>
    </row>
    <row r="687" ht="15.75" customHeight="1">
      <c r="B687" s="19">
        <v>2.0200922E7</v>
      </c>
      <c r="C687" s="2" t="s">
        <v>2585</v>
      </c>
      <c r="D687" s="2" t="s">
        <v>2508</v>
      </c>
      <c r="E687" s="2" t="s">
        <v>2886</v>
      </c>
      <c r="F687" s="2" t="s">
        <v>2800</v>
      </c>
    </row>
    <row r="688" ht="15.75" customHeight="1">
      <c r="B688" s="19">
        <v>2.0200923E7</v>
      </c>
      <c r="C688" s="2" t="s">
        <v>2887</v>
      </c>
      <c r="D688" s="2" t="s">
        <v>2646</v>
      </c>
      <c r="E688" s="2" t="s">
        <v>2455</v>
      </c>
      <c r="F688" s="2" t="s">
        <v>2800</v>
      </c>
    </row>
    <row r="689" ht="15.75" customHeight="1">
      <c r="B689" s="19">
        <v>2.0200924E7</v>
      </c>
      <c r="C689" s="2" t="s">
        <v>2541</v>
      </c>
      <c r="D689" s="2" t="s">
        <v>2481</v>
      </c>
      <c r="E689" s="2" t="s">
        <v>2654</v>
      </c>
      <c r="F689" s="2" t="s">
        <v>2800</v>
      </c>
    </row>
    <row r="690" ht="15.75" customHeight="1">
      <c r="B690" s="19">
        <v>2.0200925E7</v>
      </c>
      <c r="C690" s="2" t="s">
        <v>2888</v>
      </c>
      <c r="D690" s="2" t="s">
        <v>2469</v>
      </c>
      <c r="E690" s="2" t="s">
        <v>2830</v>
      </c>
      <c r="F690" s="2" t="s">
        <v>2800</v>
      </c>
    </row>
    <row r="691" ht="15.75" customHeight="1">
      <c r="B691" s="19">
        <v>2.0200928E7</v>
      </c>
      <c r="C691" s="2" t="s">
        <v>2672</v>
      </c>
      <c r="D691" s="2" t="s">
        <v>2619</v>
      </c>
      <c r="E691" s="2" t="s">
        <v>2760</v>
      </c>
      <c r="F691" s="2" t="s">
        <v>2800</v>
      </c>
    </row>
    <row r="692" ht="15.75" customHeight="1">
      <c r="B692" s="19">
        <v>2.0200929E7</v>
      </c>
      <c r="C692" s="2" t="s">
        <v>2520</v>
      </c>
      <c r="D692" s="2" t="s">
        <v>2719</v>
      </c>
      <c r="E692" s="2" t="s">
        <v>2875</v>
      </c>
      <c r="F692" s="2" t="s">
        <v>2800</v>
      </c>
    </row>
    <row r="693" ht="15.75" customHeight="1">
      <c r="B693" s="19">
        <v>2.020093E7</v>
      </c>
      <c r="C693" s="2" t="s">
        <v>2512</v>
      </c>
      <c r="D693" s="2" t="s">
        <v>2620</v>
      </c>
      <c r="E693" s="2" t="s">
        <v>2446</v>
      </c>
      <c r="F693" s="2" t="s">
        <v>2800</v>
      </c>
    </row>
    <row r="694" ht="15.75" customHeight="1">
      <c r="B694" s="19">
        <v>2.0201001E7</v>
      </c>
      <c r="C694" s="2" t="s">
        <v>2512</v>
      </c>
      <c r="D694" s="2" t="s">
        <v>2732</v>
      </c>
      <c r="E694" s="2" t="s">
        <v>2474</v>
      </c>
      <c r="F694" s="2" t="s">
        <v>2800</v>
      </c>
    </row>
    <row r="695" ht="15.75" customHeight="1">
      <c r="B695" s="19">
        <v>2.0201002E7</v>
      </c>
      <c r="C695" s="2" t="s">
        <v>2729</v>
      </c>
      <c r="D695" s="2" t="s">
        <v>2573</v>
      </c>
      <c r="E695" s="2" t="s">
        <v>2889</v>
      </c>
      <c r="F695" s="2" t="s">
        <v>2800</v>
      </c>
    </row>
    <row r="696" ht="15.75" customHeight="1">
      <c r="B696" s="19">
        <v>2.0201005E7</v>
      </c>
      <c r="C696" s="2" t="s">
        <v>2668</v>
      </c>
      <c r="D696" s="2" t="s">
        <v>2585</v>
      </c>
      <c r="E696" s="2" t="s">
        <v>2461</v>
      </c>
      <c r="F696" s="2" t="s">
        <v>2800</v>
      </c>
    </row>
    <row r="697" ht="15.75" customHeight="1">
      <c r="B697" s="19">
        <v>2.0201006E7</v>
      </c>
      <c r="C697" s="2" t="s">
        <v>2859</v>
      </c>
      <c r="D697" s="2" t="s">
        <v>2643</v>
      </c>
      <c r="E697" s="2" t="s">
        <v>2505</v>
      </c>
      <c r="F697" s="2" t="s">
        <v>2800</v>
      </c>
    </row>
    <row r="698" ht="15.75" customHeight="1">
      <c r="B698" s="19">
        <v>2.0201007E7</v>
      </c>
      <c r="C698" s="2" t="s">
        <v>2890</v>
      </c>
      <c r="D698" s="2" t="s">
        <v>2496</v>
      </c>
      <c r="E698" s="2" t="s">
        <v>2468</v>
      </c>
      <c r="F698" s="2" t="s">
        <v>2800</v>
      </c>
    </row>
    <row r="699" ht="15.75" customHeight="1">
      <c r="B699" s="19">
        <v>2.0201008E7</v>
      </c>
      <c r="C699" s="2" t="s">
        <v>2752</v>
      </c>
      <c r="D699" s="2" t="s">
        <v>2484</v>
      </c>
      <c r="E699" s="2" t="s">
        <v>2721</v>
      </c>
      <c r="F699" s="2" t="s">
        <v>2800</v>
      </c>
    </row>
    <row r="700" ht="15.75" customHeight="1">
      <c r="B700" s="19">
        <v>2.0201009E7</v>
      </c>
      <c r="C700" s="2" t="s">
        <v>2615</v>
      </c>
      <c r="D700" s="2" t="s">
        <v>2458</v>
      </c>
      <c r="E700" s="2" t="s">
        <v>2855</v>
      </c>
      <c r="F700" s="2" t="s">
        <v>2800</v>
      </c>
    </row>
    <row r="701" ht="15.75" customHeight="1">
      <c r="B701" s="19">
        <v>2.0201012E7</v>
      </c>
      <c r="C701" s="2" t="s">
        <v>2891</v>
      </c>
      <c r="D701" s="2" t="s">
        <v>2725</v>
      </c>
      <c r="E701" s="2" t="s">
        <v>2536</v>
      </c>
      <c r="F701" s="2" t="s">
        <v>2800</v>
      </c>
    </row>
    <row r="702" ht="15.75" customHeight="1">
      <c r="B702" s="19">
        <v>2.0201013E7</v>
      </c>
      <c r="C702" s="2" t="s">
        <v>2514</v>
      </c>
      <c r="D702" s="2" t="s">
        <v>2611</v>
      </c>
      <c r="E702" s="2" t="s">
        <v>2751</v>
      </c>
      <c r="F702" s="2" t="s">
        <v>2800</v>
      </c>
    </row>
    <row r="703" ht="15.75" customHeight="1">
      <c r="B703" s="19">
        <v>2.0201014E7</v>
      </c>
      <c r="C703" s="2" t="s">
        <v>2722</v>
      </c>
      <c r="D703" s="2" t="s">
        <v>2640</v>
      </c>
      <c r="E703" s="2" t="s">
        <v>2576</v>
      </c>
      <c r="F703" s="2" t="s">
        <v>2800</v>
      </c>
    </row>
    <row r="704" ht="15.75" customHeight="1">
      <c r="B704" s="19">
        <v>2.0201015E7</v>
      </c>
      <c r="C704" s="2" t="s">
        <v>2536</v>
      </c>
      <c r="D704" s="2" t="s">
        <v>2599</v>
      </c>
      <c r="E704" s="2" t="s">
        <v>2452</v>
      </c>
      <c r="F704" s="2" t="s">
        <v>2800</v>
      </c>
    </row>
    <row r="705" ht="15.75" customHeight="1">
      <c r="B705" s="19">
        <v>2.0201016E7</v>
      </c>
      <c r="C705" s="2" t="s">
        <v>2545</v>
      </c>
      <c r="D705" s="2" t="s">
        <v>2437</v>
      </c>
      <c r="E705" s="2" t="s">
        <v>2580</v>
      </c>
      <c r="F705" s="2" t="s">
        <v>2800</v>
      </c>
    </row>
    <row r="706" ht="15.75" customHeight="1">
      <c r="B706" s="19">
        <v>2.0201019E7</v>
      </c>
      <c r="C706" s="2" t="s">
        <v>2708</v>
      </c>
      <c r="D706" s="2" t="s">
        <v>2432</v>
      </c>
      <c r="E706" s="2" t="s">
        <v>2453</v>
      </c>
      <c r="F706" s="2" t="s">
        <v>2800</v>
      </c>
    </row>
    <row r="707" ht="15.75" customHeight="1">
      <c r="B707" s="19">
        <v>2.020102E7</v>
      </c>
      <c r="C707" s="2" t="s">
        <v>2650</v>
      </c>
      <c r="D707" s="2" t="s">
        <v>2503</v>
      </c>
      <c r="E707" s="2" t="s">
        <v>2892</v>
      </c>
      <c r="F707" s="2" t="s">
        <v>2800</v>
      </c>
    </row>
    <row r="708" ht="15.75" customHeight="1">
      <c r="B708" s="19">
        <v>2.0201021E7</v>
      </c>
      <c r="C708" s="2" t="s">
        <v>2470</v>
      </c>
      <c r="D708" s="2" t="s">
        <v>2577</v>
      </c>
      <c r="E708" s="2" t="s">
        <v>2544</v>
      </c>
      <c r="F708" s="2" t="s">
        <v>2800</v>
      </c>
    </row>
    <row r="709" ht="15.75" customHeight="1">
      <c r="B709" s="19">
        <v>2.0201022E7</v>
      </c>
      <c r="C709" s="2" t="s">
        <v>2596</v>
      </c>
      <c r="D709" s="2" t="s">
        <v>2602</v>
      </c>
      <c r="E709" s="2" t="s">
        <v>2757</v>
      </c>
      <c r="F709" s="2" t="s">
        <v>2800</v>
      </c>
    </row>
    <row r="710" ht="15.75" customHeight="1">
      <c r="B710" s="19">
        <v>2.0201023E7</v>
      </c>
      <c r="C710" s="2" t="s">
        <v>2654</v>
      </c>
      <c r="D710" s="2" t="s">
        <v>2544</v>
      </c>
      <c r="E710" s="2" t="s">
        <v>2484</v>
      </c>
      <c r="F710" s="2" t="s">
        <v>2800</v>
      </c>
    </row>
    <row r="711" ht="15.75" customHeight="1">
      <c r="B711" s="19">
        <v>2.0201026E7</v>
      </c>
      <c r="C711" s="2" t="s">
        <v>2684</v>
      </c>
      <c r="D711" s="2" t="s">
        <v>2678</v>
      </c>
      <c r="E711" s="2" t="s">
        <v>2436</v>
      </c>
      <c r="F711" s="2" t="s">
        <v>2800</v>
      </c>
    </row>
    <row r="712" ht="15.75" customHeight="1">
      <c r="B712" s="19">
        <v>2.0201027E7</v>
      </c>
      <c r="C712" s="2" t="s">
        <v>2551</v>
      </c>
      <c r="D712" s="2" t="s">
        <v>2448</v>
      </c>
      <c r="E712" s="2" t="s">
        <v>2893</v>
      </c>
      <c r="F712" s="2" t="s">
        <v>2800</v>
      </c>
    </row>
    <row r="713" ht="15.75" customHeight="1">
      <c r="B713" s="19">
        <v>2.0201028E7</v>
      </c>
      <c r="C713" s="2" t="s">
        <v>2894</v>
      </c>
      <c r="D713" s="2" t="s">
        <v>2458</v>
      </c>
      <c r="E713" s="2" t="s">
        <v>2581</v>
      </c>
      <c r="F713" s="2" t="s">
        <v>2800</v>
      </c>
    </row>
    <row r="714" ht="15.75" customHeight="1">
      <c r="B714" s="19">
        <v>2.0201029E7</v>
      </c>
      <c r="C714" s="2" t="s">
        <v>2689</v>
      </c>
      <c r="D714" s="2" t="s">
        <v>2542</v>
      </c>
      <c r="E714" s="2" t="s">
        <v>2617</v>
      </c>
      <c r="F714" s="2" t="s">
        <v>2800</v>
      </c>
    </row>
    <row r="715" ht="15.75" customHeight="1">
      <c r="B715" s="19">
        <v>2.020103E7</v>
      </c>
      <c r="C715" s="2" t="s">
        <v>2895</v>
      </c>
      <c r="D715" s="2" t="s">
        <v>2590</v>
      </c>
      <c r="E715" s="2" t="s">
        <v>2852</v>
      </c>
      <c r="F715" s="2" t="s">
        <v>2800</v>
      </c>
    </row>
    <row r="716" ht="15.75" customHeight="1">
      <c r="B716" s="19">
        <v>2.0201102E7</v>
      </c>
      <c r="C716" s="2" t="s">
        <v>2525</v>
      </c>
      <c r="D716" s="2" t="s">
        <v>2486</v>
      </c>
      <c r="E716" s="2" t="s">
        <v>2629</v>
      </c>
      <c r="F716" s="2" t="s">
        <v>2800</v>
      </c>
    </row>
    <row r="717" ht="15.75" customHeight="1">
      <c r="B717" s="19">
        <v>2.0201103E7</v>
      </c>
      <c r="C717" s="2" t="s">
        <v>2668</v>
      </c>
      <c r="D717" s="2" t="s">
        <v>2522</v>
      </c>
      <c r="E717" s="2" t="s">
        <v>2518</v>
      </c>
      <c r="F717" s="2" t="s">
        <v>2800</v>
      </c>
    </row>
    <row r="718" ht="15.75" customHeight="1">
      <c r="B718" s="19">
        <v>2.0201104E7</v>
      </c>
      <c r="C718" s="2" t="s">
        <v>2896</v>
      </c>
      <c r="D718" s="2" t="s">
        <v>2771</v>
      </c>
      <c r="E718" s="2" t="s">
        <v>2897</v>
      </c>
      <c r="F718" s="2" t="s">
        <v>2800</v>
      </c>
    </row>
    <row r="719" ht="15.75" customHeight="1">
      <c r="B719" s="19">
        <v>2.0201105E7</v>
      </c>
      <c r="C719" s="2" t="s">
        <v>2898</v>
      </c>
      <c r="D719" s="2" t="s">
        <v>2701</v>
      </c>
      <c r="E719" s="2" t="s">
        <v>2500</v>
      </c>
      <c r="F719" s="2" t="s">
        <v>2800</v>
      </c>
    </row>
    <row r="720" ht="15.75" customHeight="1">
      <c r="B720" s="19">
        <v>2.0201106E7</v>
      </c>
      <c r="C720" s="2" t="s">
        <v>2458</v>
      </c>
      <c r="D720" s="2" t="s">
        <v>2679</v>
      </c>
      <c r="E720" s="2" t="s">
        <v>2652</v>
      </c>
      <c r="F720" s="2" t="s">
        <v>2800</v>
      </c>
    </row>
    <row r="721" ht="15.75" customHeight="1">
      <c r="B721" s="19">
        <v>2.0201109E7</v>
      </c>
      <c r="C721" s="2" t="s">
        <v>2613</v>
      </c>
      <c r="D721" s="2" t="s">
        <v>2752</v>
      </c>
      <c r="E721" s="2" t="s">
        <v>2899</v>
      </c>
      <c r="F721" s="2" t="s">
        <v>2800</v>
      </c>
    </row>
    <row r="722" ht="15.75" customHeight="1">
      <c r="B722" s="19">
        <v>2.020111E7</v>
      </c>
      <c r="C722" s="2" t="s">
        <v>2616</v>
      </c>
      <c r="D722" s="2" t="s">
        <v>2834</v>
      </c>
      <c r="E722" s="2" t="s">
        <v>2900</v>
      </c>
      <c r="F722" s="2" t="s">
        <v>2800</v>
      </c>
    </row>
    <row r="723" ht="15.75" customHeight="1">
      <c r="B723" s="19">
        <v>2.0201111E7</v>
      </c>
      <c r="C723" s="2" t="s">
        <v>2625</v>
      </c>
      <c r="D723" s="2" t="s">
        <v>2539</v>
      </c>
      <c r="E723" s="2" t="s">
        <v>2901</v>
      </c>
      <c r="F723" s="2" t="s">
        <v>2800</v>
      </c>
    </row>
    <row r="724" ht="15.75" customHeight="1">
      <c r="B724" s="19">
        <v>2.0201112E7</v>
      </c>
      <c r="C724" s="2" t="s">
        <v>2710</v>
      </c>
      <c r="D724" s="2" t="s">
        <v>2551</v>
      </c>
      <c r="E724" s="2" t="s">
        <v>2521</v>
      </c>
      <c r="F724" s="2" t="s">
        <v>2800</v>
      </c>
    </row>
    <row r="725" ht="15.75" customHeight="1">
      <c r="B725" s="19">
        <v>2.0201113E7</v>
      </c>
      <c r="C725" s="2" t="s">
        <v>2608</v>
      </c>
      <c r="D725" s="2" t="s">
        <v>2642</v>
      </c>
      <c r="E725" s="2" t="s">
        <v>2746</v>
      </c>
      <c r="F725" s="2" t="s">
        <v>2800</v>
      </c>
    </row>
    <row r="726" ht="15.75" customHeight="1">
      <c r="B726" s="19">
        <v>2.0201116E7</v>
      </c>
      <c r="C726" s="2" t="s">
        <v>2655</v>
      </c>
      <c r="D726" s="2" t="s">
        <v>2465</v>
      </c>
      <c r="E726" s="2" t="s">
        <v>2902</v>
      </c>
      <c r="F726" s="2" t="s">
        <v>2800</v>
      </c>
    </row>
    <row r="727" ht="15.75" customHeight="1">
      <c r="B727" s="19">
        <v>2.0201117E7</v>
      </c>
      <c r="C727" s="2" t="s">
        <v>2518</v>
      </c>
      <c r="D727" s="2" t="s">
        <v>2726</v>
      </c>
      <c r="E727" s="2" t="s">
        <v>2644</v>
      </c>
      <c r="F727" s="2" t="s">
        <v>2800</v>
      </c>
    </row>
    <row r="728" ht="15.75" customHeight="1">
      <c r="B728" s="19">
        <v>2.0201118E7</v>
      </c>
      <c r="C728" s="2" t="s">
        <v>2652</v>
      </c>
      <c r="D728" s="2" t="s">
        <v>2460</v>
      </c>
      <c r="E728" s="2" t="s">
        <v>2458</v>
      </c>
      <c r="F728" s="2" t="s">
        <v>2800</v>
      </c>
    </row>
    <row r="729" ht="15.75" customHeight="1">
      <c r="B729" s="19">
        <v>2.0201119E7</v>
      </c>
      <c r="C729" s="2" t="s">
        <v>2435</v>
      </c>
      <c r="D729" s="2" t="s">
        <v>2535</v>
      </c>
      <c r="E729" s="2" t="s">
        <v>2601</v>
      </c>
      <c r="F729" s="2" t="s">
        <v>2800</v>
      </c>
    </row>
    <row r="730" ht="15.75" customHeight="1">
      <c r="B730" s="19">
        <v>2.020112E7</v>
      </c>
      <c r="C730" s="2" t="s">
        <v>2477</v>
      </c>
      <c r="D730" s="2" t="s">
        <v>2664</v>
      </c>
      <c r="E730" s="2" t="s">
        <v>2638</v>
      </c>
      <c r="F730" s="2" t="s">
        <v>2800</v>
      </c>
    </row>
    <row r="731" ht="15.75" customHeight="1">
      <c r="B731" s="19">
        <v>2.0201123E7</v>
      </c>
      <c r="C731" s="2" t="s">
        <v>2633</v>
      </c>
      <c r="D731" s="2" t="s">
        <v>2451</v>
      </c>
      <c r="E731" s="2" t="s">
        <v>2834</v>
      </c>
      <c r="F731" s="2" t="s">
        <v>2800</v>
      </c>
    </row>
    <row r="732" ht="15.75" customHeight="1">
      <c r="B732" s="19">
        <v>2.0201124E7</v>
      </c>
      <c r="C732" s="2" t="s">
        <v>2834</v>
      </c>
      <c r="D732" s="2" t="s">
        <v>2609</v>
      </c>
      <c r="E732" s="2" t="s">
        <v>2813</v>
      </c>
      <c r="F732" s="2" t="s">
        <v>2800</v>
      </c>
    </row>
    <row r="733" ht="15.75" customHeight="1">
      <c r="B733" s="19">
        <v>2.0201125E7</v>
      </c>
      <c r="C733" s="2" t="s">
        <v>2484</v>
      </c>
      <c r="D733" s="2" t="s">
        <v>2621</v>
      </c>
      <c r="E733" s="2" t="s">
        <v>2667</v>
      </c>
      <c r="F733" s="2" t="s">
        <v>2800</v>
      </c>
    </row>
    <row r="734" ht="15.75" customHeight="1">
      <c r="B734" s="19">
        <v>2.0201127E7</v>
      </c>
      <c r="C734" s="2" t="s">
        <v>2712</v>
      </c>
      <c r="D734" s="2" t="s">
        <v>2535</v>
      </c>
      <c r="E734" s="2" t="s">
        <v>2886</v>
      </c>
      <c r="F734" s="2" t="s">
        <v>2800</v>
      </c>
    </row>
    <row r="735" ht="15.75" customHeight="1">
      <c r="B735" s="19">
        <v>2.020113E7</v>
      </c>
      <c r="C735" s="2" t="s">
        <v>2538</v>
      </c>
      <c r="D735" s="2" t="s">
        <v>2734</v>
      </c>
      <c r="E735" s="2" t="s">
        <v>2903</v>
      </c>
      <c r="F735" s="2" t="s">
        <v>2800</v>
      </c>
    </row>
    <row r="736" ht="15.75" customHeight="1">
      <c r="B736" s="19">
        <v>2.0201201E7</v>
      </c>
      <c r="C736" s="2" t="s">
        <v>2629</v>
      </c>
      <c r="D736" s="2" t="s">
        <v>2630</v>
      </c>
      <c r="E736" s="2" t="s">
        <v>2496</v>
      </c>
      <c r="F736" s="2" t="s">
        <v>2800</v>
      </c>
    </row>
    <row r="737" ht="15.75" customHeight="1">
      <c r="B737" s="19">
        <v>2.0201202E7</v>
      </c>
      <c r="C737" s="2" t="s">
        <v>2483</v>
      </c>
      <c r="D737" s="2" t="s">
        <v>2534</v>
      </c>
      <c r="E737" s="2" t="s">
        <v>2578</v>
      </c>
      <c r="F737" s="2" t="s">
        <v>2800</v>
      </c>
    </row>
    <row r="738" ht="15.75" customHeight="1">
      <c r="B738" s="19">
        <v>2.0201203E7</v>
      </c>
      <c r="C738" s="2" t="s">
        <v>2542</v>
      </c>
      <c r="D738" s="2" t="s">
        <v>2597</v>
      </c>
      <c r="E738" s="2" t="s">
        <v>2534</v>
      </c>
      <c r="F738" s="2" t="s">
        <v>2800</v>
      </c>
    </row>
    <row r="739" ht="15.75" customHeight="1">
      <c r="B739" s="19">
        <v>2.0201204E7</v>
      </c>
      <c r="C739" s="2" t="s">
        <v>2585</v>
      </c>
      <c r="D739" s="2" t="s">
        <v>2851</v>
      </c>
      <c r="E739" s="2" t="s">
        <v>2633</v>
      </c>
      <c r="F739" s="2" t="s">
        <v>2800</v>
      </c>
    </row>
    <row r="740" ht="15.75" customHeight="1">
      <c r="B740" s="19">
        <v>2.0201207E7</v>
      </c>
      <c r="C740" s="2" t="s">
        <v>2484</v>
      </c>
      <c r="D740" s="2" t="s">
        <v>2440</v>
      </c>
      <c r="E740" s="2" t="s">
        <v>2457</v>
      </c>
      <c r="F740" s="2" t="s">
        <v>2800</v>
      </c>
    </row>
    <row r="741" ht="15.75" customHeight="1">
      <c r="B741" s="19">
        <v>2.0201208E7</v>
      </c>
      <c r="C741" s="2" t="s">
        <v>2535</v>
      </c>
      <c r="D741" s="2" t="s">
        <v>2585</v>
      </c>
      <c r="E741" s="2" t="s">
        <v>2604</v>
      </c>
      <c r="F741" s="2" t="s">
        <v>2800</v>
      </c>
    </row>
    <row r="742" ht="15.75" customHeight="1">
      <c r="B742" s="19">
        <v>2.0201209E7</v>
      </c>
      <c r="C742" s="2" t="s">
        <v>2863</v>
      </c>
      <c r="D742" s="2" t="s">
        <v>2545</v>
      </c>
      <c r="E742" s="2" t="s">
        <v>2591</v>
      </c>
      <c r="F742" s="2" t="s">
        <v>2800</v>
      </c>
    </row>
    <row r="743" ht="15.75" customHeight="1">
      <c r="B743" s="19">
        <v>2.020121E7</v>
      </c>
      <c r="C743" s="2" t="s">
        <v>2440</v>
      </c>
      <c r="D743" s="2" t="s">
        <v>2516</v>
      </c>
      <c r="E743" s="2" t="s">
        <v>2577</v>
      </c>
      <c r="F743" s="2" t="s">
        <v>2800</v>
      </c>
    </row>
    <row r="744" ht="15.75" customHeight="1">
      <c r="B744" s="19">
        <v>2.0201211E7</v>
      </c>
      <c r="C744" s="2" t="s">
        <v>2593</v>
      </c>
      <c r="D744" s="2" t="s">
        <v>2495</v>
      </c>
      <c r="E744" s="2" t="s">
        <v>2646</v>
      </c>
      <c r="F744" s="2" t="s">
        <v>2800</v>
      </c>
    </row>
    <row r="745" ht="15.75" customHeight="1">
      <c r="B745" s="19">
        <v>2.0201214E7</v>
      </c>
      <c r="C745" s="2" t="s">
        <v>2678</v>
      </c>
      <c r="D745" s="2" t="s">
        <v>2581</v>
      </c>
      <c r="E745" s="2" t="s">
        <v>2708</v>
      </c>
      <c r="F745" s="2" t="s">
        <v>2800</v>
      </c>
    </row>
    <row r="746" ht="15.75" customHeight="1">
      <c r="B746" s="19">
        <v>2.0201215E7</v>
      </c>
      <c r="C746" s="2" t="s">
        <v>2591</v>
      </c>
      <c r="D746" s="2" t="s">
        <v>2578</v>
      </c>
      <c r="E746" s="2" t="s">
        <v>2510</v>
      </c>
      <c r="F746" s="2" t="s">
        <v>2800</v>
      </c>
    </row>
    <row r="747" ht="15.75" customHeight="1">
      <c r="B747" s="19">
        <v>2.0201216E7</v>
      </c>
      <c r="C747" s="2" t="s">
        <v>2611</v>
      </c>
      <c r="D747" s="2" t="s">
        <v>2511</v>
      </c>
      <c r="E747" s="2" t="s">
        <v>2571</v>
      </c>
      <c r="F747" s="2" t="s">
        <v>2800</v>
      </c>
    </row>
    <row r="748" ht="15.75" customHeight="1">
      <c r="B748" s="19">
        <v>2.0201217E7</v>
      </c>
      <c r="C748" s="2" t="s">
        <v>2512</v>
      </c>
      <c r="D748" s="2" t="s">
        <v>2527</v>
      </c>
      <c r="E748" s="2" t="s">
        <v>2604</v>
      </c>
      <c r="F748" s="2" t="s">
        <v>2800</v>
      </c>
    </row>
    <row r="749" ht="15.75" customHeight="1">
      <c r="B749" s="19">
        <v>2.0201218E7</v>
      </c>
      <c r="C749" s="2" t="s">
        <v>2568</v>
      </c>
      <c r="D749" s="2" t="s">
        <v>2449</v>
      </c>
      <c r="E749" s="2" t="s">
        <v>2767</v>
      </c>
      <c r="F749" s="2" t="s">
        <v>2800</v>
      </c>
    </row>
    <row r="750" ht="15.75" customHeight="1">
      <c r="B750" s="19">
        <v>2.0201221E7</v>
      </c>
      <c r="C750" s="2" t="s">
        <v>2551</v>
      </c>
      <c r="D750" s="2" t="s">
        <v>2575</v>
      </c>
      <c r="E750" s="2" t="s">
        <v>2582</v>
      </c>
      <c r="F750" s="2" t="s">
        <v>2800</v>
      </c>
    </row>
    <row r="751" ht="15.75" customHeight="1">
      <c r="B751" s="19">
        <v>2.0201222E7</v>
      </c>
      <c r="C751" s="2" t="s">
        <v>2580</v>
      </c>
      <c r="D751" s="2" t="s">
        <v>2507</v>
      </c>
      <c r="E751" s="2" t="s">
        <v>2755</v>
      </c>
      <c r="F751" s="2" t="s">
        <v>2800</v>
      </c>
    </row>
    <row r="752" ht="15.75" customHeight="1">
      <c r="B752" s="19">
        <v>2.0201223E7</v>
      </c>
      <c r="C752" s="2" t="s">
        <v>2586</v>
      </c>
      <c r="D752" s="2" t="s">
        <v>2654</v>
      </c>
      <c r="E752" s="2" t="s">
        <v>2904</v>
      </c>
      <c r="F752" s="2" t="s">
        <v>2800</v>
      </c>
    </row>
    <row r="753" ht="15.75" customHeight="1">
      <c r="B753" s="19">
        <v>2.0201224E7</v>
      </c>
      <c r="C753" s="2" t="s">
        <v>2497</v>
      </c>
      <c r="D753" s="2" t="s">
        <v>2514</v>
      </c>
      <c r="E753" s="2" t="s">
        <v>2518</v>
      </c>
      <c r="F753" s="2" t="s">
        <v>2800</v>
      </c>
    </row>
    <row r="754" ht="15.75" customHeight="1">
      <c r="B754" s="19">
        <v>2.0201228E7</v>
      </c>
      <c r="C754" s="2" t="s">
        <v>2562</v>
      </c>
      <c r="D754" s="2" t="s">
        <v>2620</v>
      </c>
      <c r="E754" s="2" t="s">
        <v>2510</v>
      </c>
      <c r="F754" s="2" t="s">
        <v>2800</v>
      </c>
    </row>
    <row r="755" ht="15.75" customHeight="1">
      <c r="B755" s="19">
        <v>2.0201229E7</v>
      </c>
      <c r="C755" s="2" t="s">
        <v>2605</v>
      </c>
      <c r="D755" s="2" t="s">
        <v>2708</v>
      </c>
      <c r="E755" s="2" t="s">
        <v>2440</v>
      </c>
      <c r="F755" s="2" t="s">
        <v>2800</v>
      </c>
    </row>
    <row r="756" ht="15.75" customHeight="1">
      <c r="B756" s="19">
        <v>2.020123E7</v>
      </c>
      <c r="C756" s="2" t="s">
        <v>2617</v>
      </c>
      <c r="D756" s="2" t="s">
        <v>2522</v>
      </c>
      <c r="E756" s="2" t="s">
        <v>2484</v>
      </c>
      <c r="F756" s="2" t="s">
        <v>2800</v>
      </c>
    </row>
    <row r="757" ht="15.75" customHeight="1">
      <c r="B757" s="19">
        <v>2.0201231E7</v>
      </c>
      <c r="C757" s="2" t="s">
        <v>2564</v>
      </c>
      <c r="D757" s="2" t="s">
        <v>2753</v>
      </c>
      <c r="E757" s="2" t="s">
        <v>2544</v>
      </c>
      <c r="F757" s="2" t="s">
        <v>2800</v>
      </c>
    </row>
    <row r="758" ht="15.75" customHeight="1">
      <c r="B758" s="19">
        <v>2.0210104E7</v>
      </c>
      <c r="C758" s="2" t="s">
        <v>2855</v>
      </c>
      <c r="D758" s="2" t="s">
        <v>2468</v>
      </c>
      <c r="E758" s="2" t="s">
        <v>2581</v>
      </c>
      <c r="F758" s="2" t="s">
        <v>2800</v>
      </c>
    </row>
    <row r="759" ht="15.75" customHeight="1">
      <c r="B759" s="19">
        <v>2.0210105E7</v>
      </c>
      <c r="C759" s="2" t="s">
        <v>2613</v>
      </c>
      <c r="D759" s="2" t="s">
        <v>2756</v>
      </c>
      <c r="E759" s="2" t="s">
        <v>2506</v>
      </c>
      <c r="F759" s="2" t="s">
        <v>2800</v>
      </c>
    </row>
    <row r="760" ht="15.75" customHeight="1">
      <c r="B760" s="19">
        <v>2.0210106E7</v>
      </c>
      <c r="C760" s="2" t="s">
        <v>2512</v>
      </c>
      <c r="D760" s="2" t="s">
        <v>2905</v>
      </c>
      <c r="E760" s="2" t="s">
        <v>2906</v>
      </c>
      <c r="F760" s="2" t="s">
        <v>2800</v>
      </c>
    </row>
    <row r="761" ht="15.75" customHeight="1">
      <c r="B761" s="19">
        <v>2.0210107E7</v>
      </c>
      <c r="C761" s="2" t="s">
        <v>2907</v>
      </c>
      <c r="D761" s="2" t="s">
        <v>2561</v>
      </c>
      <c r="E761" s="2" t="s">
        <v>2725</v>
      </c>
      <c r="F761" s="2" t="s">
        <v>2800</v>
      </c>
    </row>
    <row r="762" ht="15.75" customHeight="1">
      <c r="B762" s="19">
        <v>2.0210108E7</v>
      </c>
      <c r="C762" s="2" t="s">
        <v>2549</v>
      </c>
      <c r="D762" s="2" t="s">
        <v>2707</v>
      </c>
      <c r="E762" s="2" t="s">
        <v>2730</v>
      </c>
      <c r="F762" s="2" t="s">
        <v>2800</v>
      </c>
    </row>
    <row r="763" ht="15.75" customHeight="1">
      <c r="B763" s="19">
        <v>2.0210111E7</v>
      </c>
      <c r="C763" s="2" t="s">
        <v>2477</v>
      </c>
      <c r="D763" s="2" t="s">
        <v>2505</v>
      </c>
      <c r="E763" s="2" t="s">
        <v>2892</v>
      </c>
      <c r="F763" s="2" t="s">
        <v>2800</v>
      </c>
    </row>
    <row r="764" ht="15.75" customHeight="1">
      <c r="B764" s="19">
        <v>2.0210112E7</v>
      </c>
      <c r="C764" s="2" t="s">
        <v>2654</v>
      </c>
      <c r="D764" s="2" t="s">
        <v>2673</v>
      </c>
      <c r="E764" s="2" t="s">
        <v>2507</v>
      </c>
      <c r="F764" s="2" t="s">
        <v>2800</v>
      </c>
    </row>
    <row r="765" ht="15.75" customHeight="1">
      <c r="B765" s="19">
        <v>2.0210113E7</v>
      </c>
      <c r="C765" s="2" t="s">
        <v>2449</v>
      </c>
      <c r="D765" s="2" t="s">
        <v>2652</v>
      </c>
      <c r="E765" s="2" t="s">
        <v>2502</v>
      </c>
      <c r="F765" s="2" t="s">
        <v>2800</v>
      </c>
    </row>
    <row r="766" ht="15.75" customHeight="1">
      <c r="B766" s="19">
        <v>2.0210114E7</v>
      </c>
      <c r="C766" s="2" t="s">
        <v>2609</v>
      </c>
      <c r="D766" s="2" t="s">
        <v>2904</v>
      </c>
      <c r="E766" s="2" t="s">
        <v>2516</v>
      </c>
      <c r="F766" s="2" t="s">
        <v>2800</v>
      </c>
    </row>
    <row r="767" ht="15.75" customHeight="1">
      <c r="B767" s="19">
        <v>2.0210115E7</v>
      </c>
      <c r="C767" s="2" t="s">
        <v>2679</v>
      </c>
      <c r="D767" s="2" t="s">
        <v>2456</v>
      </c>
      <c r="E767" s="2" t="s">
        <v>2601</v>
      </c>
      <c r="F767" s="2" t="s">
        <v>2800</v>
      </c>
    </row>
    <row r="768" ht="15.75" customHeight="1">
      <c r="B768" s="19">
        <v>2.0210119E7</v>
      </c>
      <c r="C768" s="2" t="s">
        <v>2569</v>
      </c>
      <c r="D768" s="2" t="s">
        <v>2625</v>
      </c>
      <c r="E768" s="2" t="s">
        <v>2590</v>
      </c>
      <c r="F768" s="2" t="s">
        <v>2800</v>
      </c>
    </row>
    <row r="769" ht="15.75" customHeight="1">
      <c r="B769" s="19">
        <v>2.021012E7</v>
      </c>
      <c r="C769" s="2" t="s">
        <v>2892</v>
      </c>
      <c r="D769" s="2" t="s">
        <v>2436</v>
      </c>
      <c r="E769" s="2" t="s">
        <v>2711</v>
      </c>
      <c r="F769" s="2" t="s">
        <v>2800</v>
      </c>
    </row>
    <row r="770" ht="15.75" customHeight="1">
      <c r="B770" s="19">
        <v>2.0210121E7</v>
      </c>
      <c r="C770" s="2" t="s">
        <v>2447</v>
      </c>
      <c r="D770" s="2" t="s">
        <v>2595</v>
      </c>
      <c r="E770" s="2" t="s">
        <v>2710</v>
      </c>
      <c r="F770" s="2" t="s">
        <v>2800</v>
      </c>
    </row>
    <row r="771" ht="15.75" customHeight="1">
      <c r="B771" s="19">
        <v>2.0210122E7</v>
      </c>
      <c r="C771" s="2" t="s">
        <v>2448</v>
      </c>
      <c r="D771" s="2" t="s">
        <v>2852</v>
      </c>
      <c r="E771" s="2" t="s">
        <v>2568</v>
      </c>
      <c r="F771" s="2" t="s">
        <v>2800</v>
      </c>
    </row>
    <row r="772" ht="15.75" customHeight="1">
      <c r="B772" s="19">
        <v>2.0210125E7</v>
      </c>
      <c r="C772" s="2" t="s">
        <v>2603</v>
      </c>
      <c r="D772" s="2" t="s">
        <v>2582</v>
      </c>
      <c r="E772" s="2" t="s">
        <v>2605</v>
      </c>
      <c r="F772" s="2" t="s">
        <v>2800</v>
      </c>
    </row>
    <row r="773" ht="15.75" customHeight="1">
      <c r="B773" s="19">
        <v>2.0210126E7</v>
      </c>
      <c r="C773" s="2" t="s">
        <v>2557</v>
      </c>
      <c r="D773" s="2" t="s">
        <v>2576</v>
      </c>
      <c r="E773" s="2" t="s">
        <v>2458</v>
      </c>
      <c r="F773" s="2" t="s">
        <v>2800</v>
      </c>
    </row>
    <row r="774" ht="15.75" customHeight="1">
      <c r="B774" s="19">
        <v>2.0210127E7</v>
      </c>
      <c r="C774" s="2" t="s">
        <v>2908</v>
      </c>
      <c r="D774" s="2" t="s">
        <v>2607</v>
      </c>
      <c r="E774" s="2" t="s">
        <v>2834</v>
      </c>
      <c r="F774" s="2" t="s">
        <v>2800</v>
      </c>
    </row>
    <row r="775" ht="15.75" customHeight="1">
      <c r="B775" s="19">
        <v>2.0210128E7</v>
      </c>
      <c r="C775" s="2" t="s">
        <v>2569</v>
      </c>
      <c r="D775" s="2" t="s">
        <v>2909</v>
      </c>
      <c r="E775" s="2" t="s">
        <v>2639</v>
      </c>
      <c r="F775" s="2" t="s">
        <v>2800</v>
      </c>
    </row>
    <row r="776" ht="15.75" customHeight="1">
      <c r="B776" s="19">
        <v>2.0210129E7</v>
      </c>
      <c r="C776" s="2" t="s">
        <v>2870</v>
      </c>
      <c r="D776" s="2" t="s">
        <v>2435</v>
      </c>
      <c r="E776" s="2" t="s">
        <v>2581</v>
      </c>
      <c r="F776" s="2" t="s">
        <v>2800</v>
      </c>
    </row>
    <row r="777" ht="15.75" customHeight="1">
      <c r="B777" s="19">
        <v>2.0210201E7</v>
      </c>
      <c r="C777" s="2" t="s">
        <v>2817</v>
      </c>
      <c r="D777" s="2" t="s">
        <v>2615</v>
      </c>
      <c r="E777" s="2" t="s">
        <v>2713</v>
      </c>
      <c r="F777" s="2" t="s">
        <v>2800</v>
      </c>
    </row>
    <row r="778" ht="15.75" customHeight="1">
      <c r="B778" s="19">
        <v>2.0210202E7</v>
      </c>
      <c r="C778" s="2" t="s">
        <v>2910</v>
      </c>
      <c r="D778" s="2" t="s">
        <v>2589</v>
      </c>
      <c r="E778" s="2" t="s">
        <v>2711</v>
      </c>
      <c r="F778" s="2" t="s">
        <v>2800</v>
      </c>
    </row>
    <row r="779" ht="15.75" customHeight="1">
      <c r="B779" s="19">
        <v>2.0210203E7</v>
      </c>
      <c r="C779" s="2" t="s">
        <v>2446</v>
      </c>
      <c r="D779" s="2" t="s">
        <v>2712</v>
      </c>
      <c r="E779" s="2" t="s">
        <v>2524</v>
      </c>
      <c r="F779" s="2" t="s">
        <v>2800</v>
      </c>
    </row>
    <row r="780" ht="15.75" customHeight="1">
      <c r="B780" s="19">
        <v>2.0210204E7</v>
      </c>
      <c r="C780" s="2" t="s">
        <v>2756</v>
      </c>
      <c r="D780" s="2" t="s">
        <v>2654</v>
      </c>
      <c r="E780" s="2" t="s">
        <v>2530</v>
      </c>
      <c r="F780" s="2" t="s">
        <v>2800</v>
      </c>
    </row>
    <row r="781" ht="15.75" customHeight="1">
      <c r="B781" s="19">
        <v>2.0210205E7</v>
      </c>
      <c r="C781" s="2" t="s">
        <v>2581</v>
      </c>
      <c r="D781" s="2" t="s">
        <v>2794</v>
      </c>
      <c r="E781" s="2" t="s">
        <v>2531</v>
      </c>
      <c r="F781" s="2" t="s">
        <v>2800</v>
      </c>
    </row>
    <row r="782" ht="15.75" customHeight="1">
      <c r="B782" s="19">
        <v>2.0210208E7</v>
      </c>
      <c r="C782" s="2" t="s">
        <v>2588</v>
      </c>
      <c r="D782" s="2" t="s">
        <v>2677</v>
      </c>
      <c r="E782" s="2" t="s">
        <v>2564</v>
      </c>
      <c r="F782" s="2" t="s">
        <v>2800</v>
      </c>
    </row>
    <row r="783" ht="15.75" customHeight="1">
      <c r="B783" s="19">
        <v>2.0210209E7</v>
      </c>
      <c r="C783" s="2" t="s">
        <v>2445</v>
      </c>
      <c r="D783" s="2" t="s">
        <v>2598</v>
      </c>
      <c r="E783" s="2" t="s">
        <v>2616</v>
      </c>
      <c r="F783" s="2" t="s">
        <v>2800</v>
      </c>
    </row>
    <row r="784" ht="15.75" customHeight="1">
      <c r="B784" s="19">
        <v>2.021021E7</v>
      </c>
      <c r="C784" s="2" t="s">
        <v>2536</v>
      </c>
      <c r="D784" s="2" t="s">
        <v>2456</v>
      </c>
      <c r="E784" s="2" t="s">
        <v>2602</v>
      </c>
      <c r="F784" s="2" t="s">
        <v>2800</v>
      </c>
    </row>
    <row r="785" ht="15.75" customHeight="1">
      <c r="B785" s="19">
        <v>2.0210211E7</v>
      </c>
      <c r="C785" s="2" t="s">
        <v>2443</v>
      </c>
      <c r="D785" s="2" t="s">
        <v>2433</v>
      </c>
      <c r="E785" s="2" t="s">
        <v>2511</v>
      </c>
      <c r="F785" s="2" t="s">
        <v>2800</v>
      </c>
    </row>
    <row r="786" ht="15.75" customHeight="1">
      <c r="B786" s="19">
        <v>2.0210212E7</v>
      </c>
      <c r="C786" s="2" t="s">
        <v>2506</v>
      </c>
      <c r="D786" s="2" t="s">
        <v>2508</v>
      </c>
      <c r="E786" s="2" t="s">
        <v>2506</v>
      </c>
      <c r="F786" s="2" t="s">
        <v>2800</v>
      </c>
    </row>
    <row r="787" ht="15.75" customHeight="1">
      <c r="B787" s="19">
        <v>2.0210216E7</v>
      </c>
      <c r="C787" s="2" t="s">
        <v>2508</v>
      </c>
      <c r="D787" s="2" t="s">
        <v>2476</v>
      </c>
      <c r="E787" s="2" t="s">
        <v>2822</v>
      </c>
      <c r="F787" s="2" t="s">
        <v>2800</v>
      </c>
    </row>
    <row r="788" ht="15.75" customHeight="1">
      <c r="B788" s="19">
        <v>2.0210217E7</v>
      </c>
      <c r="C788" s="2" t="s">
        <v>2481</v>
      </c>
      <c r="D788" s="2" t="s">
        <v>2589</v>
      </c>
      <c r="E788" s="2" t="s">
        <v>2602</v>
      </c>
      <c r="F788" s="2" t="s">
        <v>2800</v>
      </c>
    </row>
    <row r="789" ht="15.75" customHeight="1">
      <c r="B789" s="19">
        <v>2.0210218E7</v>
      </c>
      <c r="C789" s="2" t="s">
        <v>2509</v>
      </c>
      <c r="D789" s="2" t="s">
        <v>2876</v>
      </c>
      <c r="E789" s="2" t="s">
        <v>2593</v>
      </c>
      <c r="F789" s="2" t="s">
        <v>2800</v>
      </c>
    </row>
    <row r="790" ht="15.75" customHeight="1">
      <c r="B790" s="19">
        <v>2.0210219E7</v>
      </c>
      <c r="C790" s="2" t="s">
        <v>2455</v>
      </c>
      <c r="D790" s="2" t="s">
        <v>2911</v>
      </c>
      <c r="E790" s="2" t="s">
        <v>2600</v>
      </c>
      <c r="F790" s="2" t="s">
        <v>2800</v>
      </c>
    </row>
    <row r="791" ht="15.75" customHeight="1">
      <c r="B791" s="19">
        <v>2.0210222E7</v>
      </c>
      <c r="C791" s="2" t="s">
        <v>2912</v>
      </c>
      <c r="D791" s="2" t="s">
        <v>2582</v>
      </c>
      <c r="E791" s="2" t="s">
        <v>2796</v>
      </c>
      <c r="F791" s="2" t="s">
        <v>2800</v>
      </c>
    </row>
    <row r="792" ht="15.75" customHeight="1">
      <c r="B792" s="19">
        <v>2.0210223E7</v>
      </c>
      <c r="C792" s="2" t="s">
        <v>2444</v>
      </c>
      <c r="D792" s="2" t="s">
        <v>2715</v>
      </c>
      <c r="E792" s="2" t="s">
        <v>2594</v>
      </c>
      <c r="F792" s="2" t="s">
        <v>2800</v>
      </c>
    </row>
    <row r="793" ht="15.75" customHeight="1">
      <c r="B793" s="19">
        <v>2.0210224E7</v>
      </c>
      <c r="C793" s="2" t="s">
        <v>2452</v>
      </c>
      <c r="D793" s="2" t="s">
        <v>2655</v>
      </c>
      <c r="E793" s="2" t="s">
        <v>2737</v>
      </c>
      <c r="F793" s="2" t="s">
        <v>2800</v>
      </c>
    </row>
    <row r="794" ht="15.75" customHeight="1">
      <c r="B794" s="19">
        <v>2.0210225E7</v>
      </c>
      <c r="C794" s="2" t="s">
        <v>2913</v>
      </c>
      <c r="D794" s="2" t="s">
        <v>2912</v>
      </c>
      <c r="E794" s="2" t="s">
        <v>2569</v>
      </c>
      <c r="F794" s="2" t="s">
        <v>2800</v>
      </c>
    </row>
    <row r="795" ht="15.75" customHeight="1">
      <c r="B795" s="19">
        <v>2.0210226E7</v>
      </c>
      <c r="C795" s="2" t="s">
        <v>2678</v>
      </c>
      <c r="D795" s="2" t="s">
        <v>2441</v>
      </c>
      <c r="E795" s="2" t="s">
        <v>2698</v>
      </c>
      <c r="F795" s="2" t="s">
        <v>2800</v>
      </c>
    </row>
    <row r="796" ht="15.75" customHeight="1">
      <c r="B796" s="19">
        <v>2.0210301E7</v>
      </c>
      <c r="C796" s="2" t="s">
        <v>2914</v>
      </c>
      <c r="D796" s="2" t="s">
        <v>2573</v>
      </c>
      <c r="E796" s="2" t="s">
        <v>2513</v>
      </c>
      <c r="F796" s="2" t="s">
        <v>2800</v>
      </c>
    </row>
    <row r="797" ht="15.75" customHeight="1">
      <c r="B797" s="19">
        <v>2.0210302E7</v>
      </c>
      <c r="C797" s="2" t="s">
        <v>2693</v>
      </c>
      <c r="D797" s="2" t="s">
        <v>2686</v>
      </c>
      <c r="E797" s="2" t="s">
        <v>2756</v>
      </c>
      <c r="F797" s="2" t="s">
        <v>2800</v>
      </c>
    </row>
    <row r="798" ht="15.75" customHeight="1">
      <c r="B798" s="19">
        <v>2.0210303E7</v>
      </c>
      <c r="C798" s="2" t="s">
        <v>2915</v>
      </c>
      <c r="D798" s="2" t="s">
        <v>2518</v>
      </c>
      <c r="E798" s="2" t="s">
        <v>2916</v>
      </c>
      <c r="F798" s="2" t="s">
        <v>2800</v>
      </c>
    </row>
    <row r="799" ht="15.75" customHeight="1">
      <c r="B799" s="19">
        <v>2.0210304E7</v>
      </c>
      <c r="C799" s="2" t="s">
        <v>2824</v>
      </c>
      <c r="D799" s="2" t="s">
        <v>2632</v>
      </c>
      <c r="E799" s="2" t="s">
        <v>2917</v>
      </c>
      <c r="F799" s="2" t="s">
        <v>2800</v>
      </c>
    </row>
    <row r="800" ht="15.75" customHeight="1">
      <c r="B800" s="19">
        <v>2.0210305E7</v>
      </c>
      <c r="C800" s="2" t="s">
        <v>2857</v>
      </c>
      <c r="D800" s="2" t="s">
        <v>2497</v>
      </c>
      <c r="E800" s="2" t="s">
        <v>2602</v>
      </c>
      <c r="F800" s="2" t="s">
        <v>2800</v>
      </c>
    </row>
    <row r="801" ht="15.75" customHeight="1">
      <c r="B801" s="19">
        <v>2.0210308E7</v>
      </c>
      <c r="C801" s="2" t="s">
        <v>2537</v>
      </c>
      <c r="D801" s="2" t="s">
        <v>2602</v>
      </c>
      <c r="E801" s="2" t="s">
        <v>2918</v>
      </c>
      <c r="F801" s="2" t="s">
        <v>2800</v>
      </c>
    </row>
    <row r="802" ht="15.75" customHeight="1">
      <c r="B802" s="19">
        <v>2.0210309E7</v>
      </c>
      <c r="C802" s="2" t="s">
        <v>2911</v>
      </c>
      <c r="D802" s="2" t="s">
        <v>2673</v>
      </c>
      <c r="E802" s="2" t="s">
        <v>2919</v>
      </c>
      <c r="F802" s="2" t="s">
        <v>2800</v>
      </c>
    </row>
    <row r="803" ht="15.75" customHeight="1">
      <c r="B803" s="19">
        <v>2.021031E7</v>
      </c>
      <c r="C803" s="2" t="s">
        <v>2664</v>
      </c>
      <c r="D803" s="2" t="s">
        <v>2491</v>
      </c>
      <c r="E803" s="2" t="s">
        <v>2850</v>
      </c>
      <c r="F803" s="2" t="s">
        <v>2800</v>
      </c>
    </row>
    <row r="804" ht="15.75" customHeight="1">
      <c r="B804" s="19">
        <v>2.0210311E7</v>
      </c>
      <c r="C804" s="2" t="s">
        <v>2816</v>
      </c>
      <c r="D804" s="2" t="s">
        <v>2818</v>
      </c>
      <c r="E804" s="2" t="s">
        <v>2826</v>
      </c>
      <c r="F804" s="2" t="s">
        <v>2800</v>
      </c>
    </row>
    <row r="805" ht="15.75" customHeight="1">
      <c r="B805" s="19">
        <v>2.0210312E7</v>
      </c>
      <c r="C805" s="2" t="s">
        <v>2586</v>
      </c>
      <c r="D805" s="2" t="s">
        <v>2469</v>
      </c>
      <c r="E805" s="2" t="s">
        <v>2592</v>
      </c>
      <c r="F805" s="2" t="s">
        <v>2800</v>
      </c>
    </row>
    <row r="806" ht="15.75" customHeight="1">
      <c r="B806" s="19">
        <v>2.0210315E7</v>
      </c>
      <c r="C806" s="2" t="s">
        <v>2524</v>
      </c>
      <c r="D806" s="2" t="s">
        <v>2461</v>
      </c>
      <c r="E806" s="2" t="s">
        <v>2920</v>
      </c>
      <c r="F806" s="2" t="s">
        <v>2800</v>
      </c>
    </row>
    <row r="807" ht="15.75" customHeight="1">
      <c r="B807" s="19">
        <v>2.0210316E7</v>
      </c>
      <c r="C807" s="2" t="s">
        <v>2511</v>
      </c>
      <c r="D807" s="2" t="s">
        <v>2519</v>
      </c>
      <c r="E807" s="2" t="s">
        <v>2725</v>
      </c>
      <c r="F807" s="2" t="s">
        <v>2800</v>
      </c>
    </row>
    <row r="808" ht="15.75" customHeight="1">
      <c r="B808" s="19">
        <v>2.0210317E7</v>
      </c>
      <c r="C808" s="2" t="s">
        <v>2561</v>
      </c>
      <c r="D808" s="2" t="s">
        <v>2535</v>
      </c>
      <c r="E808" s="2" t="s">
        <v>2561</v>
      </c>
      <c r="F808" s="2" t="s">
        <v>2800</v>
      </c>
    </row>
    <row r="809" ht="15.75" customHeight="1">
      <c r="B809" s="19">
        <v>2.0210318E7</v>
      </c>
      <c r="C809" s="2" t="s">
        <v>2682</v>
      </c>
      <c r="D809" s="2" t="s">
        <v>2901</v>
      </c>
      <c r="E809" s="2" t="s">
        <v>2921</v>
      </c>
      <c r="F809" s="2" t="s">
        <v>2800</v>
      </c>
    </row>
    <row r="810" ht="15.75" customHeight="1">
      <c r="B810" s="19">
        <v>2.0210319E7</v>
      </c>
      <c r="C810" s="2" t="s">
        <v>2541</v>
      </c>
      <c r="D810" s="2" t="s">
        <v>2892</v>
      </c>
      <c r="E810" s="2" t="s">
        <v>2734</v>
      </c>
      <c r="F810" s="2" t="s">
        <v>2800</v>
      </c>
    </row>
    <row r="811" ht="15.75" customHeight="1">
      <c r="B811" s="19">
        <v>2.0210322E7</v>
      </c>
      <c r="C811" s="2" t="s">
        <v>2631</v>
      </c>
      <c r="D811" s="2" t="s">
        <v>2733</v>
      </c>
      <c r="E811" s="2" t="s">
        <v>2922</v>
      </c>
      <c r="F811" s="2" t="s">
        <v>2800</v>
      </c>
    </row>
    <row r="812" ht="15.75" customHeight="1">
      <c r="B812" s="19">
        <v>2.0210323E7</v>
      </c>
      <c r="C812" s="2" t="s">
        <v>2767</v>
      </c>
      <c r="D812" s="2" t="s">
        <v>2923</v>
      </c>
      <c r="E812" s="2" t="s">
        <v>2606</v>
      </c>
      <c r="F812" s="2" t="s">
        <v>2800</v>
      </c>
    </row>
    <row r="813" ht="15.75" customHeight="1">
      <c r="B813" s="19">
        <v>2.0210324E7</v>
      </c>
      <c r="C813" s="2" t="s">
        <v>2675</v>
      </c>
      <c r="D813" s="2" t="s">
        <v>2840</v>
      </c>
      <c r="E813" s="2" t="s">
        <v>2851</v>
      </c>
      <c r="F813" s="2" t="s">
        <v>2800</v>
      </c>
    </row>
    <row r="814" ht="15.75" customHeight="1">
      <c r="B814" s="19">
        <v>2.0210325E7</v>
      </c>
      <c r="C814" s="2" t="s">
        <v>2596</v>
      </c>
      <c r="D814" s="2" t="s">
        <v>2924</v>
      </c>
      <c r="E814" s="2" t="s">
        <v>2874</v>
      </c>
      <c r="F814" s="2" t="s">
        <v>2800</v>
      </c>
    </row>
    <row r="815" ht="15.75" customHeight="1">
      <c r="B815" s="19">
        <v>2.0210326E7</v>
      </c>
      <c r="C815" s="2" t="s">
        <v>2676</v>
      </c>
      <c r="D815" s="2" t="s">
        <v>2542</v>
      </c>
      <c r="E815" s="2" t="s">
        <v>2527</v>
      </c>
      <c r="F815" s="2" t="s">
        <v>2800</v>
      </c>
    </row>
    <row r="816" ht="15.75" customHeight="1">
      <c r="B816" s="19">
        <v>2.0210329E7</v>
      </c>
      <c r="C816" s="2" t="s">
        <v>2456</v>
      </c>
      <c r="D816" s="2" t="s">
        <v>2807</v>
      </c>
      <c r="E816" s="2" t="s">
        <v>2551</v>
      </c>
      <c r="F816" s="2" t="s">
        <v>2800</v>
      </c>
    </row>
    <row r="817" ht="15.75" customHeight="1">
      <c r="B817" s="19">
        <v>2.021033E7</v>
      </c>
      <c r="C817" s="2" t="s">
        <v>2479</v>
      </c>
      <c r="D817" s="2" t="s">
        <v>2515</v>
      </c>
      <c r="E817" s="2" t="s">
        <v>2522</v>
      </c>
      <c r="F817" s="2" t="s">
        <v>2800</v>
      </c>
    </row>
    <row r="818" ht="15.75" customHeight="1">
      <c r="B818" s="19">
        <v>2.0210331E7</v>
      </c>
      <c r="C818" s="2" t="s">
        <v>2623</v>
      </c>
      <c r="D818" s="2" t="s">
        <v>2475</v>
      </c>
      <c r="E818" s="2" t="s">
        <v>2893</v>
      </c>
      <c r="F818" s="2" t="s">
        <v>2800</v>
      </c>
    </row>
    <row r="819" ht="15.75" customHeight="1">
      <c r="B819" s="19">
        <v>2.0210401E7</v>
      </c>
      <c r="C819" s="2" t="s">
        <v>2879</v>
      </c>
      <c r="D819" s="2" t="s">
        <v>2603</v>
      </c>
      <c r="E819" s="2" t="s">
        <v>2621</v>
      </c>
      <c r="F819" s="2" t="s">
        <v>2800</v>
      </c>
    </row>
    <row r="820" ht="15.75" customHeight="1">
      <c r="B820" s="19">
        <v>2.0210405E7</v>
      </c>
      <c r="C820" s="2" t="s">
        <v>2879</v>
      </c>
      <c r="D820" s="2" t="s">
        <v>2685</v>
      </c>
      <c r="E820" s="2" t="s">
        <v>2646</v>
      </c>
      <c r="F820" s="2" t="s">
        <v>2800</v>
      </c>
    </row>
    <row r="821" ht="15.75" customHeight="1">
      <c r="B821" s="19">
        <v>2.0210406E7</v>
      </c>
      <c r="C821" s="2" t="s">
        <v>2458</v>
      </c>
      <c r="D821" s="2" t="s">
        <v>2454</v>
      </c>
      <c r="E821" s="2" t="s">
        <v>2586</v>
      </c>
      <c r="F821" s="2" t="s">
        <v>2800</v>
      </c>
    </row>
    <row r="822" ht="15.75" customHeight="1">
      <c r="B822" s="19">
        <v>2.0210407E7</v>
      </c>
      <c r="C822" s="2" t="s">
        <v>2568</v>
      </c>
      <c r="D822" s="2" t="s">
        <v>2755</v>
      </c>
      <c r="E822" s="2" t="s">
        <v>2540</v>
      </c>
      <c r="F822" s="2" t="s">
        <v>2800</v>
      </c>
    </row>
    <row r="823" ht="15.75" customHeight="1">
      <c r="B823" s="19">
        <v>2.0210408E7</v>
      </c>
      <c r="C823" s="2" t="s">
        <v>2642</v>
      </c>
      <c r="D823" s="2" t="s">
        <v>2435</v>
      </c>
      <c r="E823" s="2" t="s">
        <v>2767</v>
      </c>
      <c r="F823" s="2" t="s">
        <v>2800</v>
      </c>
    </row>
    <row r="824" ht="15.75" customHeight="1">
      <c r="B824" s="19">
        <v>2.0210409E7</v>
      </c>
      <c r="C824" s="2" t="s">
        <v>2555</v>
      </c>
      <c r="D824" s="2" t="s">
        <v>2653</v>
      </c>
      <c r="E824" s="2" t="s">
        <v>2575</v>
      </c>
      <c r="F824" s="2" t="s">
        <v>2800</v>
      </c>
    </row>
    <row r="825" ht="15.75" customHeight="1">
      <c r="B825" s="19">
        <v>2.0210412E7</v>
      </c>
      <c r="C825" s="2" t="s">
        <v>2582</v>
      </c>
      <c r="D825" s="2" t="s">
        <v>2478</v>
      </c>
      <c r="E825" s="2" t="s">
        <v>2435</v>
      </c>
      <c r="F825" s="2" t="s">
        <v>2800</v>
      </c>
    </row>
    <row r="826" ht="15.75" customHeight="1">
      <c r="B826" s="19">
        <v>2.0210413E7</v>
      </c>
      <c r="C826" s="2" t="s">
        <v>2544</v>
      </c>
      <c r="D826" s="2" t="s">
        <v>2678</v>
      </c>
      <c r="E826" s="2" t="s">
        <v>2755</v>
      </c>
      <c r="F826" s="2" t="s">
        <v>2800</v>
      </c>
    </row>
    <row r="827" ht="15.75" customHeight="1">
      <c r="B827" s="19">
        <v>2.0210414E7</v>
      </c>
      <c r="C827" s="2" t="s">
        <v>2442</v>
      </c>
      <c r="D827" s="2" t="s">
        <v>2512</v>
      </c>
      <c r="E827" s="2" t="s">
        <v>2737</v>
      </c>
      <c r="F827" s="2" t="s">
        <v>2800</v>
      </c>
    </row>
    <row r="828" ht="15.75" customHeight="1">
      <c r="B828" s="19">
        <v>2.0210415E7</v>
      </c>
      <c r="C828" s="2" t="s">
        <v>2732</v>
      </c>
      <c r="D828" s="2" t="s">
        <v>2529</v>
      </c>
      <c r="E828" s="2" t="s">
        <v>2521</v>
      </c>
      <c r="F828" s="2" t="s">
        <v>2800</v>
      </c>
    </row>
    <row r="829" ht="15.75" customHeight="1">
      <c r="B829" s="19">
        <v>2.0210416E7</v>
      </c>
      <c r="C829" s="2" t="s">
        <v>2617</v>
      </c>
      <c r="D829" s="2" t="s">
        <v>2442</v>
      </c>
      <c r="E829" s="2" t="s">
        <v>2441</v>
      </c>
      <c r="F829" s="2" t="s">
        <v>2800</v>
      </c>
    </row>
    <row r="830" ht="15.75" customHeight="1">
      <c r="B830" s="19">
        <v>2.0210419E7</v>
      </c>
      <c r="C830" s="2" t="s">
        <v>2620</v>
      </c>
      <c r="D830" s="2" t="s">
        <v>2626</v>
      </c>
      <c r="E830" s="2" t="s">
        <v>2491</v>
      </c>
      <c r="F830" s="2" t="s">
        <v>2800</v>
      </c>
    </row>
    <row r="831" ht="15.75" customHeight="1">
      <c r="B831" s="19">
        <v>2.021042E7</v>
      </c>
      <c r="C831" s="2" t="s">
        <v>2710</v>
      </c>
      <c r="D831" s="2" t="s">
        <v>2521</v>
      </c>
      <c r="E831" s="2" t="s">
        <v>2915</v>
      </c>
      <c r="F831" s="2" t="s">
        <v>2800</v>
      </c>
    </row>
    <row r="832" ht="15.75" customHeight="1">
      <c r="B832" s="19">
        <v>2.0210421E7</v>
      </c>
      <c r="C832" s="2" t="s">
        <v>2475</v>
      </c>
      <c r="D832" s="2" t="s">
        <v>2754</v>
      </c>
      <c r="E832" s="2" t="s">
        <v>2586</v>
      </c>
      <c r="F832" s="2" t="s">
        <v>2800</v>
      </c>
    </row>
    <row r="833" ht="15.75" customHeight="1">
      <c r="B833" s="19">
        <v>2.0210422E7</v>
      </c>
      <c r="C833" s="2" t="s">
        <v>2670</v>
      </c>
      <c r="D833" s="2" t="s">
        <v>2555</v>
      </c>
      <c r="E833" s="2" t="s">
        <v>2670</v>
      </c>
      <c r="F833" s="2" t="s">
        <v>2800</v>
      </c>
    </row>
    <row r="834" ht="15.75" customHeight="1">
      <c r="B834" s="19">
        <v>2.0210423E7</v>
      </c>
      <c r="C834" s="2" t="s">
        <v>2892</v>
      </c>
      <c r="D834" s="2" t="s">
        <v>2546</v>
      </c>
      <c r="E834" s="2" t="s">
        <v>2524</v>
      </c>
      <c r="F834" s="2" t="s">
        <v>2800</v>
      </c>
    </row>
    <row r="835" ht="15.75" customHeight="1">
      <c r="B835" s="19">
        <v>2.0210426E7</v>
      </c>
      <c r="C835" s="2" t="s">
        <v>2712</v>
      </c>
      <c r="D835" s="2" t="s">
        <v>2451</v>
      </c>
      <c r="E835" s="2" t="s">
        <v>2462</v>
      </c>
      <c r="F835" s="2" t="s">
        <v>2800</v>
      </c>
    </row>
    <row r="836" ht="15.75" customHeight="1">
      <c r="B836" s="19">
        <v>2.0210427E7</v>
      </c>
      <c r="C836" s="2" t="s">
        <v>2460</v>
      </c>
      <c r="D836" s="2" t="s">
        <v>2467</v>
      </c>
      <c r="E836" s="2" t="s">
        <v>2431</v>
      </c>
      <c r="F836" s="2" t="s">
        <v>2800</v>
      </c>
    </row>
    <row r="837" ht="15.75" customHeight="1">
      <c r="B837" s="19">
        <v>2.0210428E7</v>
      </c>
      <c r="C837" s="2" t="s">
        <v>2545</v>
      </c>
      <c r="D837" s="2" t="s">
        <v>2583</v>
      </c>
      <c r="E837" s="2" t="s">
        <v>2443</v>
      </c>
      <c r="F837" s="2" t="s">
        <v>2800</v>
      </c>
    </row>
    <row r="838" ht="15.75" customHeight="1">
      <c r="B838" s="19">
        <v>2.0210429E7</v>
      </c>
      <c r="C838" s="2" t="s">
        <v>2564</v>
      </c>
      <c r="D838" s="2" t="s">
        <v>2628</v>
      </c>
      <c r="E838" s="2" t="s">
        <v>2578</v>
      </c>
      <c r="F838" s="2" t="s">
        <v>2800</v>
      </c>
    </row>
    <row r="839" ht="15.75" customHeight="1">
      <c r="B839" s="19">
        <v>2.021043E7</v>
      </c>
      <c r="C839" s="2" t="s">
        <v>2725</v>
      </c>
      <c r="D839" s="2" t="s">
        <v>2511</v>
      </c>
      <c r="E839" s="2" t="s">
        <v>2557</v>
      </c>
      <c r="F839" s="2" t="s">
        <v>2800</v>
      </c>
    </row>
    <row r="840" ht="15.75" customHeight="1">
      <c r="B840" s="19">
        <v>2.0210503E7</v>
      </c>
      <c r="C840" s="2" t="s">
        <v>2611</v>
      </c>
      <c r="D840" s="2" t="s">
        <v>2473</v>
      </c>
      <c r="E840" s="2" t="s">
        <v>2917</v>
      </c>
      <c r="F840" s="2" t="s">
        <v>2800</v>
      </c>
    </row>
    <row r="841" ht="15.75" customHeight="1">
      <c r="B841" s="19">
        <v>2.0210504E7</v>
      </c>
      <c r="C841" s="2" t="s">
        <v>2753</v>
      </c>
      <c r="D841" s="2" t="s">
        <v>2707</v>
      </c>
      <c r="E841" s="2" t="s">
        <v>2823</v>
      </c>
      <c r="F841" s="2" t="s">
        <v>2800</v>
      </c>
    </row>
    <row r="842" ht="15.75" customHeight="1">
      <c r="B842" s="19">
        <v>2.0210505E7</v>
      </c>
      <c r="C842" s="2" t="s">
        <v>2545</v>
      </c>
      <c r="D842" s="2" t="s">
        <v>2577</v>
      </c>
      <c r="E842" s="2" t="s">
        <v>2925</v>
      </c>
      <c r="F842" s="2" t="s">
        <v>2800</v>
      </c>
    </row>
    <row r="843" ht="15.75" customHeight="1">
      <c r="B843" s="19">
        <v>2.0210506E7</v>
      </c>
      <c r="C843" s="2" t="s">
        <v>2610</v>
      </c>
      <c r="D843" s="2" t="s">
        <v>2725</v>
      </c>
      <c r="E843" s="2" t="s">
        <v>2705</v>
      </c>
      <c r="F843" s="2" t="s">
        <v>2800</v>
      </c>
    </row>
    <row r="844" ht="15.75" customHeight="1">
      <c r="B844" s="19">
        <v>2.0210507E7</v>
      </c>
      <c r="C844" s="2" t="s">
        <v>2570</v>
      </c>
      <c r="D844" s="2" t="s">
        <v>2712</v>
      </c>
      <c r="E844" s="2" t="s">
        <v>2461</v>
      </c>
      <c r="F844" s="2" t="s">
        <v>2800</v>
      </c>
    </row>
    <row r="845" ht="15.75" customHeight="1">
      <c r="B845" s="19">
        <v>2.021051E7</v>
      </c>
      <c r="C845" s="2" t="s">
        <v>2632</v>
      </c>
      <c r="D845" s="2" t="s">
        <v>2926</v>
      </c>
      <c r="E845" s="2" t="s">
        <v>2927</v>
      </c>
      <c r="F845" s="2" t="s">
        <v>2800</v>
      </c>
    </row>
    <row r="846" ht="15.75" customHeight="1">
      <c r="B846" s="19">
        <v>2.0210511E7</v>
      </c>
      <c r="C846" s="2" t="s">
        <v>2509</v>
      </c>
      <c r="D846" s="2" t="s">
        <v>2588</v>
      </c>
      <c r="E846" s="2" t="s">
        <v>2753</v>
      </c>
      <c r="F846" s="2" t="s">
        <v>2800</v>
      </c>
    </row>
    <row r="847" ht="15.75" customHeight="1">
      <c r="B847" s="19">
        <v>2.0210512E7</v>
      </c>
      <c r="C847" s="2" t="s">
        <v>2928</v>
      </c>
      <c r="D847" s="2" t="s">
        <v>2667</v>
      </c>
      <c r="E847" s="2" t="s">
        <v>2598</v>
      </c>
      <c r="F847" s="2" t="s">
        <v>2800</v>
      </c>
    </row>
    <row r="848" ht="15.75" customHeight="1">
      <c r="B848" s="19">
        <v>2.0210513E7</v>
      </c>
      <c r="C848" s="2" t="s">
        <v>2585</v>
      </c>
      <c r="D848" s="2" t="s">
        <v>2505</v>
      </c>
      <c r="E848" s="2" t="s">
        <v>2746</v>
      </c>
      <c r="F848" s="2" t="s">
        <v>2800</v>
      </c>
    </row>
    <row r="849" ht="15.75" customHeight="1">
      <c r="B849" s="19">
        <v>2.0210514E7</v>
      </c>
      <c r="C849" s="2" t="s">
        <v>2929</v>
      </c>
      <c r="D849" s="2" t="s">
        <v>2629</v>
      </c>
      <c r="E849" s="2" t="s">
        <v>2444</v>
      </c>
      <c r="F849" s="2" t="s">
        <v>2800</v>
      </c>
    </row>
    <row r="850" ht="15.75" customHeight="1">
      <c r="B850" s="19">
        <v>2.0210517E7</v>
      </c>
      <c r="C850" s="2" t="s">
        <v>2503</v>
      </c>
      <c r="D850" s="2" t="s">
        <v>2726</v>
      </c>
      <c r="E850" s="2" t="s">
        <v>2633</v>
      </c>
      <c r="F850" s="2" t="s">
        <v>2800</v>
      </c>
    </row>
    <row r="851" ht="15.75" customHeight="1">
      <c r="B851" s="19">
        <v>2.0210518E7</v>
      </c>
      <c r="C851" s="2" t="s">
        <v>2627</v>
      </c>
      <c r="D851" s="2" t="s">
        <v>2505</v>
      </c>
      <c r="E851" s="2" t="s">
        <v>2710</v>
      </c>
      <c r="F851" s="2" t="s">
        <v>2800</v>
      </c>
    </row>
    <row r="852" ht="15.75" customHeight="1">
      <c r="B852" s="19">
        <v>2.0210519E7</v>
      </c>
      <c r="C852" s="2" t="s">
        <v>2466</v>
      </c>
      <c r="D852" s="2" t="s">
        <v>2571</v>
      </c>
      <c r="E852" s="2" t="s">
        <v>2502</v>
      </c>
      <c r="F852" s="2" t="s">
        <v>2800</v>
      </c>
    </row>
    <row r="853" ht="15.75" customHeight="1">
      <c r="B853" s="19">
        <v>2.021052E7</v>
      </c>
      <c r="C853" s="2" t="s">
        <v>2452</v>
      </c>
      <c r="D853" s="2" t="s">
        <v>2609</v>
      </c>
      <c r="E853" s="2" t="s">
        <v>2665</v>
      </c>
      <c r="F853" s="2" t="s">
        <v>2800</v>
      </c>
    </row>
    <row r="854" ht="15.75" customHeight="1">
      <c r="B854" s="19">
        <v>2.0210521E7</v>
      </c>
      <c r="C854" s="2" t="s">
        <v>2447</v>
      </c>
      <c r="D854" s="2" t="s">
        <v>2468</v>
      </c>
      <c r="E854" s="2" t="s">
        <v>2629</v>
      </c>
      <c r="F854" s="2" t="s">
        <v>2800</v>
      </c>
    </row>
    <row r="855" ht="15.75" customHeight="1">
      <c r="B855" s="19">
        <v>2.0210524E7</v>
      </c>
      <c r="C855" s="2" t="s">
        <v>2721</v>
      </c>
      <c r="D855" s="2" t="s">
        <v>2571</v>
      </c>
      <c r="E855" s="2" t="s">
        <v>2627</v>
      </c>
      <c r="F855" s="2" t="s">
        <v>2800</v>
      </c>
    </row>
    <row r="856" ht="15.75" customHeight="1">
      <c r="B856" s="19">
        <v>2.0210525E7</v>
      </c>
      <c r="C856" s="2" t="s">
        <v>2614</v>
      </c>
      <c r="D856" s="2" t="s">
        <v>2478</v>
      </c>
      <c r="E856" s="2" t="s">
        <v>2717</v>
      </c>
      <c r="F856" s="2" t="s">
        <v>2800</v>
      </c>
    </row>
    <row r="857" ht="15.75" customHeight="1">
      <c r="B857" s="19">
        <v>2.0210526E7</v>
      </c>
      <c r="C857" s="2" t="s">
        <v>2535</v>
      </c>
      <c r="D857" s="2" t="s">
        <v>2566</v>
      </c>
      <c r="E857" s="2" t="s">
        <v>2645</v>
      </c>
      <c r="F857" s="2" t="s">
        <v>2800</v>
      </c>
    </row>
    <row r="858" ht="15.75" customHeight="1">
      <c r="B858" s="19">
        <v>2.0210527E7</v>
      </c>
      <c r="C858" s="2" t="s">
        <v>2533</v>
      </c>
      <c r="D858" s="2" t="s">
        <v>2752</v>
      </c>
      <c r="E858" s="2" t="s">
        <v>2459</v>
      </c>
      <c r="F858" s="2" t="s">
        <v>2800</v>
      </c>
    </row>
    <row r="859" ht="15.75" customHeight="1">
      <c r="B859" s="19">
        <v>2.0210528E7</v>
      </c>
      <c r="C859" s="2" t="s">
        <v>2488</v>
      </c>
      <c r="D859" s="2" t="s">
        <v>2614</v>
      </c>
      <c r="E859" s="2" t="s">
        <v>2614</v>
      </c>
      <c r="F859" s="2" t="s">
        <v>2800</v>
      </c>
    </row>
    <row r="860" ht="15.75" customHeight="1">
      <c r="B860" s="19">
        <v>2.0210601E7</v>
      </c>
      <c r="C860" s="2" t="s">
        <v>2484</v>
      </c>
      <c r="D860" s="2" t="s">
        <v>2516</v>
      </c>
      <c r="E860" s="2" t="s">
        <v>2851</v>
      </c>
      <c r="F860" s="2" t="s">
        <v>2800</v>
      </c>
    </row>
    <row r="861" ht="15.75" customHeight="1">
      <c r="B861" s="19">
        <v>2.0210602E7</v>
      </c>
      <c r="C861" s="2" t="s">
        <v>2528</v>
      </c>
      <c r="D861" s="2" t="s">
        <v>2568</v>
      </c>
      <c r="E861" s="2" t="s">
        <v>2540</v>
      </c>
      <c r="F861" s="2" t="s">
        <v>2800</v>
      </c>
    </row>
    <row r="862" ht="15.75" customHeight="1">
      <c r="B862" s="19">
        <v>2.0210603E7</v>
      </c>
      <c r="C862" s="2" t="s">
        <v>2538</v>
      </c>
      <c r="D862" s="2" t="s">
        <v>2538</v>
      </c>
      <c r="E862" s="2" t="s">
        <v>2600</v>
      </c>
      <c r="F862" s="2" t="s">
        <v>2800</v>
      </c>
    </row>
    <row r="863" ht="15.75" customHeight="1">
      <c r="B863" s="19">
        <v>2.0210604E7</v>
      </c>
      <c r="C863" s="2" t="s">
        <v>2594</v>
      </c>
      <c r="D863" s="2" t="s">
        <v>2470</v>
      </c>
      <c r="E863" s="2" t="s">
        <v>2648</v>
      </c>
      <c r="F863" s="2" t="s">
        <v>2800</v>
      </c>
    </row>
    <row r="864" ht="15.75" customHeight="1">
      <c r="B864" s="19">
        <v>2.0210607E7</v>
      </c>
      <c r="C864" s="2" t="s">
        <v>2446</v>
      </c>
      <c r="D864" s="2" t="s">
        <v>2636</v>
      </c>
      <c r="E864" s="2" t="s">
        <v>2729</v>
      </c>
      <c r="F864" s="2" t="s">
        <v>2800</v>
      </c>
    </row>
    <row r="865" ht="15.75" customHeight="1">
      <c r="B865" s="19">
        <v>2.0210608E7</v>
      </c>
      <c r="C865" s="2" t="s">
        <v>2443</v>
      </c>
      <c r="D865" s="2" t="s">
        <v>2452</v>
      </c>
      <c r="E865" s="2" t="s">
        <v>2557</v>
      </c>
      <c r="F865" s="2" t="s">
        <v>2800</v>
      </c>
    </row>
    <row r="866" ht="15.75" customHeight="1">
      <c r="B866" s="19">
        <v>2.0210609E7</v>
      </c>
      <c r="C866" s="2" t="s">
        <v>2614</v>
      </c>
      <c r="D866" s="2" t="s">
        <v>2489</v>
      </c>
      <c r="E866" s="2" t="s">
        <v>2472</v>
      </c>
      <c r="F866" s="2" t="s">
        <v>2800</v>
      </c>
    </row>
    <row r="867" ht="15.75" customHeight="1">
      <c r="B867" s="19">
        <v>2.021061E7</v>
      </c>
      <c r="C867" s="2" t="s">
        <v>2567</v>
      </c>
      <c r="D867" s="2" t="s">
        <v>2648</v>
      </c>
      <c r="E867" s="2" t="s">
        <v>2930</v>
      </c>
      <c r="F867" s="2" t="s">
        <v>2800</v>
      </c>
    </row>
    <row r="868" ht="15.75" customHeight="1">
      <c r="B868" s="19">
        <v>2.0210611E7</v>
      </c>
      <c r="C868" s="2" t="s">
        <v>2530</v>
      </c>
      <c r="D868" s="2" t="s">
        <v>2596</v>
      </c>
      <c r="E868" s="2" t="s">
        <v>2542</v>
      </c>
      <c r="F868" s="2" t="s">
        <v>2800</v>
      </c>
    </row>
    <row r="869" ht="15.75" customHeight="1">
      <c r="B869" s="19">
        <v>2.0210614E7</v>
      </c>
      <c r="C869" s="2" t="s">
        <v>2446</v>
      </c>
      <c r="D869" s="2" t="s">
        <v>2454</v>
      </c>
      <c r="E869" s="2" t="s">
        <v>2649</v>
      </c>
      <c r="F869" s="2" t="s">
        <v>2800</v>
      </c>
    </row>
    <row r="870" ht="15.75" customHeight="1">
      <c r="B870" s="19">
        <v>2.0210615E7</v>
      </c>
      <c r="C870" s="2" t="s">
        <v>2614</v>
      </c>
      <c r="D870" s="2" t="s">
        <v>2460</v>
      </c>
      <c r="E870" s="2" t="s">
        <v>2592</v>
      </c>
      <c r="F870" s="2" t="s">
        <v>2800</v>
      </c>
    </row>
    <row r="871" ht="15.75" customHeight="1">
      <c r="B871" s="19">
        <v>2.0210616E7</v>
      </c>
      <c r="C871" s="2" t="s">
        <v>2612</v>
      </c>
      <c r="D871" s="2" t="s">
        <v>2473</v>
      </c>
      <c r="E871" s="2" t="s">
        <v>2583</v>
      </c>
      <c r="F871" s="2" t="s">
        <v>2800</v>
      </c>
    </row>
    <row r="872" ht="15.75" customHeight="1">
      <c r="B872" s="19">
        <v>2.0210617E7</v>
      </c>
      <c r="C872" s="2" t="s">
        <v>2458</v>
      </c>
      <c r="D872" s="2" t="s">
        <v>2462</v>
      </c>
      <c r="E872" s="2" t="s">
        <v>2931</v>
      </c>
      <c r="F872" s="2" t="s">
        <v>2800</v>
      </c>
    </row>
    <row r="873" ht="15.75" customHeight="1">
      <c r="B873" s="19">
        <v>2.0210618E7</v>
      </c>
      <c r="C873" s="2" t="s">
        <v>2932</v>
      </c>
      <c r="D873" s="2" t="s">
        <v>2511</v>
      </c>
      <c r="E873" s="2" t="s">
        <v>2895</v>
      </c>
      <c r="F873" s="2" t="s">
        <v>2800</v>
      </c>
    </row>
    <row r="874" ht="15.75" customHeight="1">
      <c r="B874" s="19">
        <v>2.0210621E7</v>
      </c>
      <c r="C874" s="2" t="s">
        <v>2925</v>
      </c>
      <c r="D874" s="2" t="s">
        <v>2435</v>
      </c>
      <c r="E874" s="2" t="s">
        <v>2526</v>
      </c>
      <c r="F874" s="2" t="s">
        <v>2800</v>
      </c>
    </row>
    <row r="875" ht="15.75" customHeight="1">
      <c r="B875" s="19">
        <v>2.0210622E7</v>
      </c>
      <c r="C875" s="2" t="s">
        <v>2581</v>
      </c>
      <c r="D875" s="2" t="s">
        <v>2488</v>
      </c>
      <c r="E875" s="2" t="s">
        <v>2511</v>
      </c>
      <c r="F875" s="2" t="s">
        <v>2800</v>
      </c>
    </row>
    <row r="876" ht="15.75" customHeight="1">
      <c r="B876" s="19">
        <v>2.0210623E7</v>
      </c>
      <c r="C876" s="2" t="s">
        <v>2458</v>
      </c>
      <c r="D876" s="2" t="s">
        <v>2631</v>
      </c>
      <c r="E876" s="2" t="s">
        <v>2678</v>
      </c>
      <c r="F876" s="2" t="s">
        <v>2800</v>
      </c>
    </row>
    <row r="877" ht="15.75" customHeight="1">
      <c r="B877" s="19">
        <v>2.0210624E7</v>
      </c>
      <c r="C877" s="2" t="s">
        <v>2527</v>
      </c>
      <c r="D877" s="2" t="s">
        <v>2441</v>
      </c>
      <c r="E877" s="2" t="s">
        <v>2513</v>
      </c>
      <c r="F877" s="2" t="s">
        <v>2800</v>
      </c>
    </row>
    <row r="878" ht="15.75" customHeight="1">
      <c r="B878" s="19">
        <v>2.0210625E7</v>
      </c>
      <c r="C878" s="2" t="s">
        <v>2453</v>
      </c>
      <c r="D878" s="2" t="s">
        <v>2604</v>
      </c>
      <c r="E878" s="2" t="s">
        <v>2712</v>
      </c>
      <c r="F878" s="2" t="s">
        <v>2800</v>
      </c>
    </row>
    <row r="879" ht="15.75" customHeight="1">
      <c r="B879" s="19">
        <v>2.0210628E7</v>
      </c>
      <c r="C879" s="2" t="s">
        <v>2468</v>
      </c>
      <c r="D879" s="2" t="s">
        <v>2456</v>
      </c>
      <c r="E879" s="2" t="s">
        <v>2933</v>
      </c>
      <c r="F879" s="2" t="s">
        <v>2800</v>
      </c>
    </row>
    <row r="880" ht="15.75" customHeight="1">
      <c r="B880" s="19">
        <v>2.0210629E7</v>
      </c>
      <c r="C880" s="2" t="s">
        <v>2621</v>
      </c>
      <c r="D880" s="2" t="s">
        <v>2503</v>
      </c>
      <c r="E880" s="2" t="s">
        <v>2489</v>
      </c>
      <c r="F880" s="2" t="s">
        <v>2800</v>
      </c>
    </row>
    <row r="881" ht="15.75" customHeight="1">
      <c r="B881" s="19">
        <v>2.021063E7</v>
      </c>
      <c r="C881" s="2" t="s">
        <v>2449</v>
      </c>
      <c r="D881" s="2" t="s">
        <v>2568</v>
      </c>
      <c r="E881" s="2" t="s">
        <v>2546</v>
      </c>
      <c r="F881" s="2" t="s">
        <v>2800</v>
      </c>
    </row>
    <row r="882" ht="15.75" customHeight="1">
      <c r="B882" s="19">
        <v>2.0210701E7</v>
      </c>
      <c r="C882" s="2" t="s">
        <v>2712</v>
      </c>
      <c r="D882" s="2" t="s">
        <v>2530</v>
      </c>
      <c r="E882" s="2" t="s">
        <v>2544</v>
      </c>
      <c r="F882" s="2" t="s">
        <v>2800</v>
      </c>
    </row>
    <row r="883" ht="15.75" customHeight="1">
      <c r="B883" s="19">
        <v>2.0210702E7</v>
      </c>
      <c r="C883" s="2" t="s">
        <v>2645</v>
      </c>
      <c r="D883" s="2" t="s">
        <v>2667</v>
      </c>
      <c r="E883" s="2" t="s">
        <v>2646</v>
      </c>
      <c r="F883" s="2" t="s">
        <v>2800</v>
      </c>
    </row>
    <row r="884" ht="15.75" customHeight="1">
      <c r="B884" s="19">
        <v>2.0210706E7</v>
      </c>
      <c r="C884" s="2" t="s">
        <v>2678</v>
      </c>
      <c r="D884" s="2" t="s">
        <v>2722</v>
      </c>
      <c r="E884" s="2" t="s">
        <v>2869</v>
      </c>
      <c r="F884" s="2" t="s">
        <v>2800</v>
      </c>
    </row>
    <row r="885" ht="15.75" customHeight="1">
      <c r="B885" s="19">
        <v>2.0210707E7</v>
      </c>
      <c r="C885" s="2" t="s">
        <v>2640</v>
      </c>
      <c r="D885" s="2" t="s">
        <v>2659</v>
      </c>
      <c r="E885" s="2" t="s">
        <v>2485</v>
      </c>
      <c r="F885" s="2" t="s">
        <v>2800</v>
      </c>
    </row>
    <row r="886" ht="15.75" customHeight="1">
      <c r="B886" s="19">
        <v>2.0210708E7</v>
      </c>
      <c r="C886" s="2" t="s">
        <v>2679</v>
      </c>
      <c r="D886" s="2" t="s">
        <v>2446</v>
      </c>
      <c r="E886" s="2" t="s">
        <v>2670</v>
      </c>
      <c r="F886" s="2" t="s">
        <v>2800</v>
      </c>
    </row>
    <row r="887" ht="15.75" customHeight="1">
      <c r="B887" s="19">
        <v>2.0210709E7</v>
      </c>
      <c r="C887" s="2" t="s">
        <v>2856</v>
      </c>
      <c r="D887" s="2" t="s">
        <v>2602</v>
      </c>
      <c r="E887" s="2" t="s">
        <v>2636</v>
      </c>
      <c r="F887" s="2" t="s">
        <v>2800</v>
      </c>
    </row>
    <row r="888" ht="15.75" customHeight="1">
      <c r="B888" s="19">
        <v>2.0210712E7</v>
      </c>
      <c r="C888" s="2" t="s">
        <v>2513</v>
      </c>
      <c r="D888" s="2" t="s">
        <v>2616</v>
      </c>
      <c r="E888" s="2" t="s">
        <v>2645</v>
      </c>
      <c r="F888" s="2" t="s">
        <v>2800</v>
      </c>
    </row>
    <row r="889" ht="15.75" customHeight="1">
      <c r="B889" s="19">
        <v>2.0210713E7</v>
      </c>
      <c r="C889" s="2" t="s">
        <v>2723</v>
      </c>
      <c r="D889" s="2" t="s">
        <v>2912</v>
      </c>
      <c r="E889" s="2" t="s">
        <v>2514</v>
      </c>
      <c r="F889" s="2" t="s">
        <v>2800</v>
      </c>
    </row>
    <row r="890" ht="15.75" customHeight="1">
      <c r="B890" s="19">
        <v>2.0210714E7</v>
      </c>
      <c r="C890" s="2" t="s">
        <v>2439</v>
      </c>
      <c r="D890" s="2" t="s">
        <v>2688</v>
      </c>
      <c r="E890" s="2" t="s">
        <v>2650</v>
      </c>
      <c r="F890" s="2" t="s">
        <v>2800</v>
      </c>
    </row>
    <row r="891" ht="15.75" customHeight="1">
      <c r="B891" s="19">
        <v>2.0210715E7</v>
      </c>
      <c r="C891" s="2" t="s">
        <v>2495</v>
      </c>
      <c r="D891" s="2" t="s">
        <v>2442</v>
      </c>
      <c r="E891" s="2" t="s">
        <v>2512</v>
      </c>
      <c r="F891" s="2" t="s">
        <v>2800</v>
      </c>
    </row>
    <row r="892" ht="15.75" customHeight="1">
      <c r="B892" s="19">
        <v>2.0210716E7</v>
      </c>
      <c r="C892" s="2" t="s">
        <v>2670</v>
      </c>
      <c r="D892" s="2" t="s">
        <v>2551</v>
      </c>
      <c r="E892" s="2" t="s">
        <v>2517</v>
      </c>
      <c r="F892" s="2" t="s">
        <v>2800</v>
      </c>
    </row>
    <row r="893" ht="15.75" customHeight="1">
      <c r="B893" s="19">
        <v>2.0210719E7</v>
      </c>
      <c r="C893" s="2" t="s">
        <v>2855</v>
      </c>
      <c r="D893" s="2" t="s">
        <v>2453</v>
      </c>
      <c r="E893" s="2" t="s">
        <v>2662</v>
      </c>
      <c r="F893" s="2" t="s">
        <v>2800</v>
      </c>
    </row>
    <row r="894" ht="15.75" customHeight="1">
      <c r="B894" s="19">
        <v>2.021072E7</v>
      </c>
      <c r="C894" s="2" t="s">
        <v>2927</v>
      </c>
      <c r="D894" s="2" t="s">
        <v>2512</v>
      </c>
      <c r="E894" s="2" t="s">
        <v>2455</v>
      </c>
      <c r="F894" s="2" t="s">
        <v>2800</v>
      </c>
    </row>
    <row r="895" ht="15.75" customHeight="1">
      <c r="B895" s="19">
        <v>2.0210721E7</v>
      </c>
      <c r="C895" s="2" t="s">
        <v>2459</v>
      </c>
      <c r="D895" s="2" t="s">
        <v>2642</v>
      </c>
      <c r="E895" s="2" t="s">
        <v>2512</v>
      </c>
      <c r="F895" s="2" t="s">
        <v>2800</v>
      </c>
    </row>
    <row r="896" ht="15.75" customHeight="1">
      <c r="B896" s="19">
        <v>2.0210722E7</v>
      </c>
      <c r="C896" s="2" t="s">
        <v>2640</v>
      </c>
      <c r="D896" s="2" t="s">
        <v>2667</v>
      </c>
      <c r="E896" s="2" t="s">
        <v>2675</v>
      </c>
      <c r="F896" s="2" t="s">
        <v>2800</v>
      </c>
    </row>
    <row r="897" ht="15.75" customHeight="1">
      <c r="B897" s="19">
        <v>2.0210723E7</v>
      </c>
      <c r="C897" s="2" t="s">
        <v>2629</v>
      </c>
      <c r="D897" s="2" t="s">
        <v>2534</v>
      </c>
      <c r="E897" s="2" t="s">
        <v>2577</v>
      </c>
      <c r="F897" s="2" t="s">
        <v>2800</v>
      </c>
    </row>
    <row r="898" ht="15.75" customHeight="1">
      <c r="B898" s="19">
        <v>2.0210726E7</v>
      </c>
      <c r="C898" s="2" t="s">
        <v>2542</v>
      </c>
      <c r="D898" s="2" t="s">
        <v>2534</v>
      </c>
      <c r="E898" s="2" t="s">
        <v>2607</v>
      </c>
      <c r="F898" s="2" t="s">
        <v>2800</v>
      </c>
    </row>
    <row r="899" ht="15.75" customHeight="1">
      <c r="B899" s="19">
        <v>2.0210727E7</v>
      </c>
      <c r="C899" s="2" t="s">
        <v>2647</v>
      </c>
      <c r="D899" s="2" t="s">
        <v>2647</v>
      </c>
      <c r="E899" s="2" t="s">
        <v>2435</v>
      </c>
      <c r="F899" s="2" t="s">
        <v>2800</v>
      </c>
    </row>
    <row r="900" ht="15.75" customHeight="1">
      <c r="B900" s="19">
        <v>2.0210728E7</v>
      </c>
      <c r="C900" s="2" t="s">
        <v>2617</v>
      </c>
      <c r="D900" s="2" t="s">
        <v>2556</v>
      </c>
      <c r="E900" s="2" t="s">
        <v>2722</v>
      </c>
      <c r="F900" s="2" t="s">
        <v>2800</v>
      </c>
    </row>
    <row r="901" ht="15.75" customHeight="1">
      <c r="B901" s="19">
        <v>2.0210729E7</v>
      </c>
      <c r="C901" s="2" t="s">
        <v>2544</v>
      </c>
      <c r="D901" s="2" t="s">
        <v>2644</v>
      </c>
      <c r="E901" s="2" t="s">
        <v>2464</v>
      </c>
      <c r="F901" s="2" t="s">
        <v>2800</v>
      </c>
    </row>
    <row r="902" ht="15.75" customHeight="1">
      <c r="B902" s="19">
        <v>2.021073E7</v>
      </c>
      <c r="C902" s="2" t="s">
        <v>2722</v>
      </c>
      <c r="D902" s="2" t="s">
        <v>2448</v>
      </c>
      <c r="E902" s="2" t="s">
        <v>2616</v>
      </c>
      <c r="F902" s="2" t="s">
        <v>2800</v>
      </c>
    </row>
    <row r="903" ht="15.75" customHeight="1">
      <c r="B903" s="19">
        <v>2.0210802E7</v>
      </c>
      <c r="C903" s="2" t="s">
        <v>2568</v>
      </c>
      <c r="D903" s="2" t="s">
        <v>2444</v>
      </c>
      <c r="E903" s="2" t="s">
        <v>2514</v>
      </c>
      <c r="F903" s="2" t="s">
        <v>2800</v>
      </c>
    </row>
    <row r="904" ht="15.75" customHeight="1">
      <c r="B904" s="19">
        <v>2.0210803E7</v>
      </c>
      <c r="C904" s="2" t="s">
        <v>2619</v>
      </c>
      <c r="D904" s="2" t="s">
        <v>2577</v>
      </c>
      <c r="E904" s="2" t="s">
        <v>2569</v>
      </c>
      <c r="F904" s="2" t="s">
        <v>2800</v>
      </c>
    </row>
    <row r="905" ht="15.75" customHeight="1">
      <c r="B905" s="19">
        <v>2.0210804E7</v>
      </c>
      <c r="C905" s="2" t="s">
        <v>2436</v>
      </c>
      <c r="D905" s="2" t="s">
        <v>2478</v>
      </c>
      <c r="E905" s="2" t="s">
        <v>2759</v>
      </c>
      <c r="F905" s="2" t="s">
        <v>2800</v>
      </c>
    </row>
    <row r="906" ht="15.75" customHeight="1">
      <c r="B906" s="19">
        <v>2.0210805E7</v>
      </c>
      <c r="C906" s="2" t="s">
        <v>2643</v>
      </c>
      <c r="D906" s="2" t="s">
        <v>2746</v>
      </c>
      <c r="E906" s="2" t="s">
        <v>2461</v>
      </c>
      <c r="F906" s="2" t="s">
        <v>2800</v>
      </c>
    </row>
    <row r="907" ht="15.75" customHeight="1">
      <c r="B907" s="19">
        <v>2.0210806E7</v>
      </c>
      <c r="C907" s="2" t="s">
        <v>2640</v>
      </c>
      <c r="D907" s="2" t="s">
        <v>2445</v>
      </c>
      <c r="E907" s="2" t="s">
        <v>2934</v>
      </c>
      <c r="F907" s="2" t="s">
        <v>2800</v>
      </c>
    </row>
    <row r="908" ht="15.75" customHeight="1">
      <c r="B908" s="19">
        <v>2.0210809E7</v>
      </c>
      <c r="C908" s="2" t="s">
        <v>2458</v>
      </c>
      <c r="D908" s="2" t="s">
        <v>2470</v>
      </c>
      <c r="E908" s="2" t="s">
        <v>2439</v>
      </c>
      <c r="F908" s="2" t="s">
        <v>2800</v>
      </c>
    </row>
    <row r="909" ht="15.75" customHeight="1">
      <c r="B909" s="19">
        <v>2.021081E7</v>
      </c>
      <c r="C909" s="2" t="s">
        <v>2580</v>
      </c>
      <c r="D909" s="2" t="s">
        <v>2644</v>
      </c>
      <c r="E909" s="2" t="s">
        <v>2850</v>
      </c>
      <c r="F909" s="2" t="s">
        <v>2800</v>
      </c>
    </row>
    <row r="910" ht="15.75" customHeight="1">
      <c r="B910" s="19">
        <v>2.0210811E7</v>
      </c>
      <c r="C910" s="2" t="s">
        <v>2443</v>
      </c>
      <c r="D910" s="2" t="s">
        <v>2644</v>
      </c>
      <c r="E910" s="2" t="s">
        <v>2556</v>
      </c>
      <c r="F910" s="2" t="s">
        <v>2800</v>
      </c>
    </row>
    <row r="911" ht="15.75" customHeight="1">
      <c r="B911" s="19">
        <v>2.0210812E7</v>
      </c>
      <c r="C911" s="2" t="s">
        <v>2440</v>
      </c>
      <c r="D911" s="2" t="s">
        <v>2685</v>
      </c>
      <c r="E911" s="2" t="s">
        <v>2605</v>
      </c>
      <c r="F911" s="2" t="s">
        <v>2800</v>
      </c>
    </row>
    <row r="912" ht="15.75" customHeight="1">
      <c r="B912" s="19">
        <v>2.0210813E7</v>
      </c>
      <c r="C912" s="2" t="s">
        <v>2621</v>
      </c>
      <c r="D912" s="2" t="s">
        <v>2589</v>
      </c>
      <c r="E912" s="2" t="s">
        <v>2503</v>
      </c>
      <c r="F912" s="2" t="s">
        <v>2800</v>
      </c>
    </row>
    <row r="913" ht="15.75" customHeight="1">
      <c r="B913" s="19">
        <v>2.0210816E7</v>
      </c>
      <c r="C913" s="2" t="s">
        <v>2582</v>
      </c>
      <c r="D913" s="2" t="s">
        <v>2679</v>
      </c>
      <c r="E913" s="2" t="s">
        <v>2445</v>
      </c>
      <c r="F913" s="2" t="s">
        <v>2800</v>
      </c>
    </row>
    <row r="914" ht="15.75" customHeight="1">
      <c r="B914" s="19">
        <v>2.0210817E7</v>
      </c>
      <c r="C914" s="2" t="s">
        <v>2590</v>
      </c>
      <c r="D914" s="2" t="s">
        <v>2612</v>
      </c>
      <c r="E914" s="2" t="s">
        <v>2609</v>
      </c>
      <c r="F914" s="2" t="s">
        <v>2800</v>
      </c>
    </row>
    <row r="915" ht="15.75" customHeight="1">
      <c r="B915" s="19">
        <v>2.0210818E7</v>
      </c>
      <c r="C915" s="2" t="s">
        <v>2748</v>
      </c>
      <c r="D915" s="2" t="s">
        <v>2483</v>
      </c>
      <c r="E915" s="2" t="s">
        <v>2437</v>
      </c>
      <c r="F915" s="2" t="s">
        <v>2800</v>
      </c>
    </row>
    <row r="916" ht="15.75" customHeight="1">
      <c r="B916" s="19">
        <v>2.0210819E7</v>
      </c>
      <c r="C916" s="2" t="s">
        <v>2444</v>
      </c>
      <c r="D916" s="2" t="s">
        <v>2735</v>
      </c>
      <c r="E916" s="2" t="s">
        <v>2635</v>
      </c>
      <c r="F916" s="2" t="s">
        <v>2800</v>
      </c>
    </row>
    <row r="917" ht="15.75" customHeight="1">
      <c r="B917" s="19">
        <v>2.021082E7</v>
      </c>
      <c r="C917" s="2" t="s">
        <v>2569</v>
      </c>
      <c r="D917" s="2" t="s">
        <v>2701</v>
      </c>
      <c r="E917" s="2" t="s">
        <v>2531</v>
      </c>
      <c r="F917" s="2" t="s">
        <v>2800</v>
      </c>
    </row>
    <row r="918" ht="15.75" customHeight="1">
      <c r="B918" s="19">
        <v>2.0210823E7</v>
      </c>
      <c r="C918" s="2" t="s">
        <v>2578</v>
      </c>
      <c r="D918" s="2" t="s">
        <v>2464</v>
      </c>
      <c r="E918" s="2" t="s">
        <v>2589</v>
      </c>
      <c r="F918" s="2" t="s">
        <v>2800</v>
      </c>
    </row>
    <row r="919" ht="15.75" customHeight="1">
      <c r="B919" s="19">
        <v>2.0210824E7</v>
      </c>
      <c r="C919" s="2" t="s">
        <v>2544</v>
      </c>
      <c r="D919" s="2" t="s">
        <v>2510</v>
      </c>
      <c r="E919" s="2" t="s">
        <v>2510</v>
      </c>
      <c r="F919" s="2" t="s">
        <v>2800</v>
      </c>
    </row>
    <row r="920" ht="15.75" customHeight="1">
      <c r="B920" s="19">
        <v>2.0210825E7</v>
      </c>
      <c r="C920" s="2" t="s">
        <v>2505</v>
      </c>
      <c r="D920" s="2" t="s">
        <v>2447</v>
      </c>
      <c r="E920" s="2" t="s">
        <v>2510</v>
      </c>
      <c r="F920" s="2" t="s">
        <v>2800</v>
      </c>
    </row>
    <row r="921" ht="15.75" customHeight="1">
      <c r="B921" s="19">
        <v>2.0210826E7</v>
      </c>
      <c r="C921" s="2" t="s">
        <v>2722</v>
      </c>
      <c r="D921" s="2" t="s">
        <v>2436</v>
      </c>
      <c r="E921" s="2" t="s">
        <v>2557</v>
      </c>
      <c r="F921" s="2" t="s">
        <v>2800</v>
      </c>
    </row>
    <row r="922" ht="15.75" customHeight="1">
      <c r="B922" s="19">
        <v>2.0210827E7</v>
      </c>
      <c r="C922" s="2" t="s">
        <v>2794</v>
      </c>
      <c r="D922" s="2" t="s">
        <v>2935</v>
      </c>
      <c r="E922" s="2" t="s">
        <v>2565</v>
      </c>
      <c r="F922" s="2" t="s">
        <v>2800</v>
      </c>
    </row>
    <row r="923" ht="15.75" customHeight="1">
      <c r="B923" s="19">
        <v>2.021083E7</v>
      </c>
      <c r="C923" s="2" t="s">
        <v>2432</v>
      </c>
      <c r="D923" s="2" t="s">
        <v>2466</v>
      </c>
      <c r="E923" s="2" t="s">
        <v>2730</v>
      </c>
      <c r="F923" s="2" t="s">
        <v>2800</v>
      </c>
    </row>
    <row r="924" ht="15.75" customHeight="1">
      <c r="B924" s="19">
        <v>2.0210831E7</v>
      </c>
      <c r="C924" s="2" t="s">
        <v>2471</v>
      </c>
      <c r="D924" s="2" t="s">
        <v>2473</v>
      </c>
      <c r="E924" s="2" t="s">
        <v>2582</v>
      </c>
      <c r="F924" s="2" t="s">
        <v>2800</v>
      </c>
    </row>
    <row r="925" ht="15.75" customHeight="1">
      <c r="B925" s="19">
        <v>2.0210901E7</v>
      </c>
      <c r="C925" s="2" t="s">
        <v>2483</v>
      </c>
      <c r="D925" s="2" t="s">
        <v>2435</v>
      </c>
      <c r="E925" s="2" t="s">
        <v>2710</v>
      </c>
      <c r="F925" s="2" t="s">
        <v>2800</v>
      </c>
    </row>
    <row r="926" ht="15.75" customHeight="1">
      <c r="B926" s="19">
        <v>2.0210902E7</v>
      </c>
      <c r="C926" s="2" t="s">
        <v>2510</v>
      </c>
      <c r="D926" s="2" t="s">
        <v>2586</v>
      </c>
      <c r="E926" s="2" t="s">
        <v>2447</v>
      </c>
      <c r="F926" s="2" t="s">
        <v>2800</v>
      </c>
    </row>
    <row r="927" ht="15.75" customHeight="1">
      <c r="B927" s="19">
        <v>2.0210903E7</v>
      </c>
      <c r="C927" s="2" t="s">
        <v>2644</v>
      </c>
      <c r="D927" s="2" t="s">
        <v>2495</v>
      </c>
      <c r="E927" s="2" t="s">
        <v>2439</v>
      </c>
      <c r="F927" s="2" t="s">
        <v>2800</v>
      </c>
    </row>
    <row r="928" ht="15.75" customHeight="1">
      <c r="B928" s="19">
        <v>2.0210907E7</v>
      </c>
      <c r="C928" s="2" t="s">
        <v>2470</v>
      </c>
      <c r="D928" s="2" t="s">
        <v>2508</v>
      </c>
      <c r="E928" s="2" t="s">
        <v>2534</v>
      </c>
      <c r="F928" s="2" t="s">
        <v>2800</v>
      </c>
    </row>
    <row r="929" ht="15.75" customHeight="1">
      <c r="B929" s="19">
        <v>2.0210908E7</v>
      </c>
      <c r="C929" s="2" t="s">
        <v>2466</v>
      </c>
      <c r="D929" s="2" t="s">
        <v>2579</v>
      </c>
      <c r="E929" s="2" t="s">
        <v>2485</v>
      </c>
      <c r="F929" s="2" t="s">
        <v>2800</v>
      </c>
    </row>
    <row r="930" ht="15.75" customHeight="1">
      <c r="B930" s="19">
        <v>2.0210909E7</v>
      </c>
      <c r="C930" s="2" t="s">
        <v>2630</v>
      </c>
      <c r="D930" s="2" t="s">
        <v>2513</v>
      </c>
      <c r="E930" s="2" t="s">
        <v>2640</v>
      </c>
      <c r="F930" s="2" t="s">
        <v>2800</v>
      </c>
    </row>
    <row r="931" ht="15.75" customHeight="1">
      <c r="B931" s="19">
        <v>2.021091E7</v>
      </c>
      <c r="C931" s="2" t="s">
        <v>2601</v>
      </c>
      <c r="D931" s="2" t="s">
        <v>2461</v>
      </c>
      <c r="E931" s="2" t="s">
        <v>2576</v>
      </c>
      <c r="F931" s="2" t="s">
        <v>2800</v>
      </c>
    </row>
    <row r="932" ht="15.75" customHeight="1">
      <c r="B932" s="19">
        <v>2.0210913E7</v>
      </c>
      <c r="C932" s="2" t="s">
        <v>2469</v>
      </c>
      <c r="D932" s="2" t="s">
        <v>2582</v>
      </c>
      <c r="E932" s="2" t="s">
        <v>2925</v>
      </c>
      <c r="F932" s="2" t="s">
        <v>2800</v>
      </c>
    </row>
    <row r="933" ht="15.75" customHeight="1">
      <c r="B933" s="19">
        <v>2.0210914E7</v>
      </c>
      <c r="C933" s="2" t="s">
        <v>2647</v>
      </c>
      <c r="D933" s="2" t="s">
        <v>2477</v>
      </c>
      <c r="E933" s="2" t="s">
        <v>2692</v>
      </c>
      <c r="F933" s="2" t="s">
        <v>2800</v>
      </c>
    </row>
    <row r="934" ht="15.75" customHeight="1">
      <c r="B934" s="19">
        <v>2.0210915E7</v>
      </c>
      <c r="C934" s="2" t="s">
        <v>2625</v>
      </c>
      <c r="D934" s="2" t="s">
        <v>2576</v>
      </c>
      <c r="E934" s="2" t="s">
        <v>2623</v>
      </c>
      <c r="F934" s="2" t="s">
        <v>2800</v>
      </c>
    </row>
    <row r="935" ht="15.75" customHeight="1">
      <c r="B935" s="19">
        <v>2.0210916E7</v>
      </c>
      <c r="C935" s="2" t="s">
        <v>2460</v>
      </c>
      <c r="D935" s="2" t="s">
        <v>2488</v>
      </c>
      <c r="E935" s="2" t="s">
        <v>2595</v>
      </c>
      <c r="F935" s="2" t="s">
        <v>2800</v>
      </c>
    </row>
    <row r="936" ht="15.75" customHeight="1">
      <c r="B936" s="19">
        <v>2.0210917E7</v>
      </c>
      <c r="C936" s="2" t="s">
        <v>2758</v>
      </c>
      <c r="D936" s="2" t="s">
        <v>2721</v>
      </c>
      <c r="E936" s="2" t="s">
        <v>2582</v>
      </c>
      <c r="F936" s="2" t="s">
        <v>2800</v>
      </c>
    </row>
    <row r="937" ht="15.75" customHeight="1">
      <c r="B937" s="19">
        <v>2.021092E7</v>
      </c>
      <c r="C937" s="2" t="s">
        <v>2554</v>
      </c>
      <c r="D937" s="2" t="s">
        <v>2492</v>
      </c>
      <c r="E937" s="2" t="s">
        <v>2513</v>
      </c>
      <c r="F937" s="2" t="s">
        <v>2800</v>
      </c>
    </row>
    <row r="938" ht="15.75" customHeight="1">
      <c r="B938" s="19">
        <v>2.0210921E7</v>
      </c>
      <c r="C938" s="2" t="s">
        <v>2445</v>
      </c>
      <c r="D938" s="2" t="s">
        <v>2547</v>
      </c>
      <c r="E938" s="2" t="s">
        <v>2537</v>
      </c>
      <c r="F938" s="2" t="s">
        <v>2800</v>
      </c>
    </row>
    <row r="939" ht="15.75" customHeight="1">
      <c r="B939" s="19">
        <v>2.0210922E7</v>
      </c>
      <c r="C939" s="2" t="s">
        <v>2701</v>
      </c>
      <c r="D939" s="2" t="s">
        <v>2542</v>
      </c>
      <c r="E939" s="2" t="s">
        <v>2496</v>
      </c>
      <c r="F939" s="2" t="s">
        <v>2800</v>
      </c>
    </row>
    <row r="940" ht="15.75" customHeight="1">
      <c r="B940" s="19">
        <v>2.0210923E7</v>
      </c>
      <c r="C940" s="2" t="s">
        <v>2591</v>
      </c>
      <c r="D940" s="2" t="s">
        <v>2510</v>
      </c>
      <c r="E940" s="2" t="s">
        <v>2615</v>
      </c>
      <c r="F940" s="2" t="s">
        <v>2800</v>
      </c>
    </row>
    <row r="941" ht="15.75" customHeight="1">
      <c r="B941" s="19">
        <v>2.0210924E7</v>
      </c>
      <c r="C941" s="2" t="s">
        <v>2485</v>
      </c>
      <c r="D941" s="2" t="s">
        <v>2577</v>
      </c>
      <c r="E941" s="2" t="s">
        <v>2524</v>
      </c>
      <c r="F941" s="2" t="s">
        <v>2800</v>
      </c>
    </row>
    <row r="942" ht="15.75" customHeight="1">
      <c r="B942" s="19">
        <v>2.0210927E7</v>
      </c>
      <c r="C942" s="2" t="s">
        <v>2461</v>
      </c>
      <c r="D942" s="2" t="s">
        <v>2856</v>
      </c>
      <c r="E942" s="2" t="s">
        <v>2866</v>
      </c>
      <c r="F942" s="2" t="s">
        <v>2800</v>
      </c>
    </row>
    <row r="943" ht="15.75" customHeight="1">
      <c r="B943" s="19">
        <v>2.0210928E7</v>
      </c>
      <c r="C943" s="2" t="s">
        <v>2936</v>
      </c>
      <c r="D943" s="2" t="s">
        <v>2529</v>
      </c>
      <c r="E943" s="2" t="s">
        <v>2937</v>
      </c>
      <c r="F943" s="2" t="s">
        <v>2800</v>
      </c>
    </row>
    <row r="944" ht="15.75" customHeight="1">
      <c r="B944" s="19">
        <v>2.0210929E7</v>
      </c>
      <c r="C944" s="2" t="s">
        <v>2484</v>
      </c>
      <c r="D944" s="2" t="s">
        <v>2614</v>
      </c>
      <c r="E944" s="2" t="s">
        <v>2752</v>
      </c>
      <c r="F944" s="2" t="s">
        <v>2800</v>
      </c>
    </row>
    <row r="945" ht="15.75" customHeight="1">
      <c r="B945" s="19">
        <v>2.021093E7</v>
      </c>
      <c r="C945" s="2" t="s">
        <v>2457</v>
      </c>
      <c r="D945" s="2" t="s">
        <v>2540</v>
      </c>
      <c r="E945" s="2" t="s">
        <v>2670</v>
      </c>
      <c r="F945" s="2" t="s">
        <v>2800</v>
      </c>
    </row>
    <row r="946" ht="15.75" customHeight="1">
      <c r="B946" s="19">
        <v>2.0211001E7</v>
      </c>
      <c r="C946" s="2" t="s">
        <v>2657</v>
      </c>
      <c r="D946" s="2" t="s">
        <v>2567</v>
      </c>
      <c r="E946" s="2" t="s">
        <v>2597</v>
      </c>
      <c r="F946" s="2" t="s">
        <v>2800</v>
      </c>
    </row>
    <row r="947" ht="15.75" customHeight="1">
      <c r="B947" s="19">
        <v>2.0211004E7</v>
      </c>
      <c r="C947" s="2" t="s">
        <v>2665</v>
      </c>
      <c r="D947" s="2" t="s">
        <v>2460</v>
      </c>
      <c r="E947" s="2" t="s">
        <v>2731</v>
      </c>
      <c r="F947" s="2" t="s">
        <v>2800</v>
      </c>
    </row>
    <row r="948" ht="15.75" customHeight="1">
      <c r="B948" s="19">
        <v>2.0211005E7</v>
      </c>
      <c r="C948" s="2" t="s">
        <v>2760</v>
      </c>
      <c r="D948" s="2" t="s">
        <v>2494</v>
      </c>
      <c r="E948" s="2" t="s">
        <v>2448</v>
      </c>
      <c r="F948" s="2" t="s">
        <v>2800</v>
      </c>
    </row>
    <row r="949" ht="15.75" customHeight="1">
      <c r="B949" s="19">
        <v>2.0211006E7</v>
      </c>
      <c r="C949" s="2" t="s">
        <v>2561</v>
      </c>
      <c r="D949" s="2" t="s">
        <v>2740</v>
      </c>
      <c r="E949" s="2" t="s">
        <v>2456</v>
      </c>
      <c r="F949" s="2" t="s">
        <v>2800</v>
      </c>
    </row>
    <row r="950" ht="15.75" customHeight="1">
      <c r="B950" s="19">
        <v>2.0211007E7</v>
      </c>
      <c r="C950" s="2" t="s">
        <v>2522</v>
      </c>
      <c r="D950" s="2" t="s">
        <v>2496</v>
      </c>
      <c r="E950" s="2" t="s">
        <v>2616</v>
      </c>
      <c r="F950" s="2" t="s">
        <v>2800</v>
      </c>
    </row>
    <row r="951" ht="15.75" customHeight="1">
      <c r="B951" s="19">
        <v>2.0211008E7</v>
      </c>
      <c r="C951" s="2" t="s">
        <v>2678</v>
      </c>
      <c r="D951" s="2" t="s">
        <v>2476</v>
      </c>
      <c r="E951" s="2" t="s">
        <v>2516</v>
      </c>
      <c r="F951" s="2" t="s">
        <v>2800</v>
      </c>
    </row>
    <row r="952" ht="15.75" customHeight="1">
      <c r="B952" s="19">
        <v>2.0211011E7</v>
      </c>
      <c r="C952" s="2" t="s">
        <v>2758</v>
      </c>
      <c r="D952" s="2" t="s">
        <v>2453</v>
      </c>
      <c r="E952" s="2" t="s">
        <v>2678</v>
      </c>
      <c r="F952" s="2" t="s">
        <v>2800</v>
      </c>
    </row>
    <row r="953" ht="15.75" customHeight="1">
      <c r="B953" s="19">
        <v>2.0211012E7</v>
      </c>
      <c r="C953" s="2" t="s">
        <v>2545</v>
      </c>
      <c r="D953" s="2" t="s">
        <v>2634</v>
      </c>
      <c r="E953" s="2" t="s">
        <v>2529</v>
      </c>
      <c r="F953" s="2" t="s">
        <v>2800</v>
      </c>
    </row>
    <row r="954" ht="15.75" customHeight="1">
      <c r="B954" s="19">
        <v>2.0211013E7</v>
      </c>
      <c r="C954" s="2" t="s">
        <v>2712</v>
      </c>
      <c r="D954" s="2" t="s">
        <v>2469</v>
      </c>
      <c r="E954" s="2" t="s">
        <v>2480</v>
      </c>
      <c r="F954" s="2" t="s">
        <v>2800</v>
      </c>
    </row>
    <row r="955" ht="15.75" customHeight="1">
      <c r="B955" s="19">
        <v>2.0211014E7</v>
      </c>
      <c r="C955" s="2" t="s">
        <v>2862</v>
      </c>
      <c r="D955" s="2" t="s">
        <v>2466</v>
      </c>
      <c r="E955" s="2" t="s">
        <v>2630</v>
      </c>
      <c r="F955" s="2" t="s">
        <v>2800</v>
      </c>
    </row>
    <row r="956" ht="15.75" customHeight="1">
      <c r="B956" s="19">
        <v>2.0211015E7</v>
      </c>
      <c r="C956" s="2" t="s">
        <v>2623</v>
      </c>
      <c r="D956" s="2" t="s">
        <v>2733</v>
      </c>
      <c r="E956" s="2" t="s">
        <v>2565</v>
      </c>
      <c r="F956" s="2" t="s">
        <v>2800</v>
      </c>
    </row>
    <row r="957" ht="15.75" customHeight="1">
      <c r="B957" s="19">
        <v>2.0211018E7</v>
      </c>
      <c r="C957" s="2" t="s">
        <v>2544</v>
      </c>
      <c r="D957" s="2" t="s">
        <v>2463</v>
      </c>
      <c r="E957" s="2" t="s">
        <v>2644</v>
      </c>
      <c r="F957" s="2" t="s">
        <v>2800</v>
      </c>
    </row>
    <row r="958" ht="15.75" customHeight="1">
      <c r="B958" s="19">
        <v>2.0211019E7</v>
      </c>
      <c r="C958" s="2" t="s">
        <v>2598</v>
      </c>
      <c r="D958" s="2" t="s">
        <v>2456</v>
      </c>
      <c r="E958" s="2" t="s">
        <v>2551</v>
      </c>
      <c r="F958" s="2" t="s">
        <v>2800</v>
      </c>
    </row>
    <row r="959" ht="15.75" customHeight="1">
      <c r="B959" s="19">
        <v>2.021102E7</v>
      </c>
      <c r="C959" s="2" t="s">
        <v>2650</v>
      </c>
      <c r="D959" s="2" t="s">
        <v>2479</v>
      </c>
      <c r="E959" s="2" t="s">
        <v>2720</v>
      </c>
      <c r="F959" s="2" t="s">
        <v>2800</v>
      </c>
    </row>
    <row r="960" ht="15.75" customHeight="1">
      <c r="B960" s="19">
        <v>2.0211021E7</v>
      </c>
      <c r="C960" s="2" t="s">
        <v>2530</v>
      </c>
      <c r="D960" s="2" t="s">
        <v>2497</v>
      </c>
      <c r="E960" s="2" t="s">
        <v>2748</v>
      </c>
      <c r="F960" s="2" t="s">
        <v>2800</v>
      </c>
    </row>
    <row r="961" ht="15.75" customHeight="1">
      <c r="B961" s="19">
        <v>2.0211022E7</v>
      </c>
      <c r="C961" s="2" t="s">
        <v>2463</v>
      </c>
      <c r="D961" s="2" t="s">
        <v>2503</v>
      </c>
      <c r="E961" s="2" t="s">
        <v>2522</v>
      </c>
      <c r="F961" s="2" t="s">
        <v>2800</v>
      </c>
    </row>
    <row r="962" ht="15.75" customHeight="1">
      <c r="B962" s="19">
        <v>2.0211025E7</v>
      </c>
      <c r="C962" s="2" t="s">
        <v>2581</v>
      </c>
      <c r="D962" s="2" t="s">
        <v>2506</v>
      </c>
      <c r="E962" s="2" t="s">
        <v>2444</v>
      </c>
      <c r="F962" s="2" t="s">
        <v>2800</v>
      </c>
    </row>
    <row r="963" ht="15.75" customHeight="1">
      <c r="B963" s="19">
        <v>2.0211026E7</v>
      </c>
      <c r="C963" s="2" t="s">
        <v>2488</v>
      </c>
      <c r="D963" s="2" t="s">
        <v>2604</v>
      </c>
      <c r="E963" s="2" t="s">
        <v>2454</v>
      </c>
      <c r="F963" s="2" t="s">
        <v>2800</v>
      </c>
    </row>
    <row r="964" ht="15.75" customHeight="1">
      <c r="B964" s="19">
        <v>2.0211027E7</v>
      </c>
      <c r="C964" s="2" t="s">
        <v>2601</v>
      </c>
      <c r="D964" s="2" t="s">
        <v>2482</v>
      </c>
      <c r="E964" s="2" t="s">
        <v>2574</v>
      </c>
      <c r="F964" s="2" t="s">
        <v>2800</v>
      </c>
    </row>
    <row r="965" ht="15.75" customHeight="1">
      <c r="B965" s="19">
        <v>2.0211028E7</v>
      </c>
      <c r="C965" s="2" t="s">
        <v>2746</v>
      </c>
      <c r="D965" s="2" t="s">
        <v>2625</v>
      </c>
      <c r="E965" s="2" t="s">
        <v>2462</v>
      </c>
      <c r="F965" s="2" t="s">
        <v>2800</v>
      </c>
    </row>
    <row r="966" ht="15.75" customHeight="1">
      <c r="B966" s="19">
        <v>2.0211029E7</v>
      </c>
      <c r="C966" s="2" t="s">
        <v>2468</v>
      </c>
      <c r="D966" s="2" t="s">
        <v>2583</v>
      </c>
      <c r="E966" s="2" t="s">
        <v>2725</v>
      </c>
      <c r="F966" s="2" t="s">
        <v>2800</v>
      </c>
    </row>
    <row r="967" ht="15.75" customHeight="1">
      <c r="B967" s="19">
        <v>2.0211101E7</v>
      </c>
      <c r="C967" s="2" t="s">
        <v>2549</v>
      </c>
      <c r="D967" s="2" t="s">
        <v>2938</v>
      </c>
      <c r="E967" s="2" t="s">
        <v>2473</v>
      </c>
      <c r="F967" s="2" t="s">
        <v>2800</v>
      </c>
    </row>
    <row r="968" ht="15.75" customHeight="1">
      <c r="B968" s="19">
        <v>2.0211102E7</v>
      </c>
      <c r="C968" s="2" t="s">
        <v>2440</v>
      </c>
      <c r="D968" s="2" t="s">
        <v>2489</v>
      </c>
      <c r="E968" s="2" t="s">
        <v>2474</v>
      </c>
      <c r="F968" s="2" t="s">
        <v>2800</v>
      </c>
    </row>
    <row r="969" ht="15.75" customHeight="1">
      <c r="B969" s="19">
        <v>2.0211103E7</v>
      </c>
      <c r="C969" s="2" t="s">
        <v>2752</v>
      </c>
      <c r="D969" s="2" t="s">
        <v>2939</v>
      </c>
      <c r="E969" s="2" t="s">
        <v>2568</v>
      </c>
      <c r="F969" s="2" t="s">
        <v>2800</v>
      </c>
    </row>
    <row r="970" ht="15.75" customHeight="1">
      <c r="B970" s="19">
        <v>2.0211104E7</v>
      </c>
      <c r="C970" s="2" t="s">
        <v>2564</v>
      </c>
      <c r="D970" s="2" t="s">
        <v>2479</v>
      </c>
      <c r="E970" s="2" t="s">
        <v>2730</v>
      </c>
      <c r="F970" s="2" t="s">
        <v>2800</v>
      </c>
    </row>
    <row r="971" ht="15.75" customHeight="1">
      <c r="B971" s="19">
        <v>2.0211105E7</v>
      </c>
      <c r="C971" s="2" t="s">
        <v>2654</v>
      </c>
      <c r="D971" s="2" t="s">
        <v>2527</v>
      </c>
      <c r="E971" s="2" t="s">
        <v>2720</v>
      </c>
      <c r="F971" s="2" t="s">
        <v>2800</v>
      </c>
    </row>
    <row r="972" ht="15.75" customHeight="1">
      <c r="B972" s="19">
        <v>2.0211108E7</v>
      </c>
      <c r="C972" s="2" t="s">
        <v>2542</v>
      </c>
      <c r="D972" s="2" t="s">
        <v>2576</v>
      </c>
      <c r="E972" s="2" t="s">
        <v>2449</v>
      </c>
      <c r="F972" s="2" t="s">
        <v>2800</v>
      </c>
    </row>
    <row r="973" ht="15.75" customHeight="1">
      <c r="B973" s="19">
        <v>2.0211109E7</v>
      </c>
      <c r="C973" s="2" t="s">
        <v>2442</v>
      </c>
      <c r="D973" s="2" t="s">
        <v>2437</v>
      </c>
      <c r="E973" s="2" t="s">
        <v>2547</v>
      </c>
      <c r="F973" s="2" t="s">
        <v>2800</v>
      </c>
    </row>
    <row r="974" ht="15.75" customHeight="1">
      <c r="B974" s="19">
        <v>2.021111E7</v>
      </c>
      <c r="C974" s="2" t="s">
        <v>2637</v>
      </c>
      <c r="D974" s="2" t="s">
        <v>2722</v>
      </c>
      <c r="E974" s="2" t="s">
        <v>2615</v>
      </c>
      <c r="F974" s="2" t="s">
        <v>2800</v>
      </c>
    </row>
    <row r="975" ht="15.75" customHeight="1">
      <c r="B975" s="19">
        <v>2.0211111E7</v>
      </c>
      <c r="C975" s="2" t="s">
        <v>2440</v>
      </c>
      <c r="D975" s="2" t="s">
        <v>2486</v>
      </c>
      <c r="E975" s="2" t="s">
        <v>2561</v>
      </c>
      <c r="F975" s="2" t="s">
        <v>2800</v>
      </c>
    </row>
    <row r="976" ht="15.75" customHeight="1">
      <c r="B976" s="19">
        <v>2.0211112E7</v>
      </c>
      <c r="C976" s="2" t="s">
        <v>2643</v>
      </c>
      <c r="D976" s="2" t="s">
        <v>2557</v>
      </c>
      <c r="E976" s="2" t="s">
        <v>2639</v>
      </c>
      <c r="F976" s="2" t="s">
        <v>2800</v>
      </c>
    </row>
    <row r="977" ht="15.75" customHeight="1">
      <c r="B977" s="19">
        <v>2.0211115E7</v>
      </c>
      <c r="C977" s="2" t="s">
        <v>2479</v>
      </c>
      <c r="D977" s="2" t="s">
        <v>2538</v>
      </c>
      <c r="E977" s="2" t="s">
        <v>2598</v>
      </c>
      <c r="F977" s="2" t="s">
        <v>2800</v>
      </c>
    </row>
    <row r="978" ht="15.75" customHeight="1">
      <c r="B978" s="19">
        <v>2.0211116E7</v>
      </c>
      <c r="C978" s="2" t="s">
        <v>2597</v>
      </c>
      <c r="D978" s="2" t="s">
        <v>2488</v>
      </c>
      <c r="E978" s="2" t="s">
        <v>2758</v>
      </c>
      <c r="F978" s="2" t="s">
        <v>2800</v>
      </c>
    </row>
    <row r="979" ht="15.75" customHeight="1">
      <c r="B979" s="19">
        <v>2.0211117E7</v>
      </c>
      <c r="C979" s="2" t="s">
        <v>2577</v>
      </c>
      <c r="D979" s="2" t="s">
        <v>2723</v>
      </c>
      <c r="E979" s="2" t="s">
        <v>2463</v>
      </c>
      <c r="F979" s="2" t="s">
        <v>2800</v>
      </c>
    </row>
    <row r="980" ht="15.75" customHeight="1">
      <c r="B980" s="19">
        <v>2.0211118E7</v>
      </c>
      <c r="C980" s="2" t="s">
        <v>2580</v>
      </c>
      <c r="D980" s="2" t="s">
        <v>2492</v>
      </c>
      <c r="E980" s="2" t="s">
        <v>2448</v>
      </c>
      <c r="F980" s="2" t="s">
        <v>2800</v>
      </c>
    </row>
    <row r="981" ht="15.75" customHeight="1">
      <c r="B981" s="19">
        <v>2.0211119E7</v>
      </c>
      <c r="C981" s="2" t="s">
        <v>2593</v>
      </c>
      <c r="D981" s="2" t="s">
        <v>2616</v>
      </c>
      <c r="E981" s="2" t="s">
        <v>2859</v>
      </c>
      <c r="F981" s="2" t="s">
        <v>2800</v>
      </c>
    </row>
    <row r="982" ht="15.75" customHeight="1">
      <c r="B982" s="19">
        <v>2.0211122E7</v>
      </c>
      <c r="C982" s="2" t="s">
        <v>2476</v>
      </c>
      <c r="D982" s="2" t="s">
        <v>2474</v>
      </c>
      <c r="E982" s="2" t="s">
        <v>2844</v>
      </c>
      <c r="F982" s="2" t="s">
        <v>2800</v>
      </c>
    </row>
    <row r="983" ht="15.75" customHeight="1">
      <c r="B983" s="19">
        <v>2.0211123E7</v>
      </c>
      <c r="C983" s="2" t="s">
        <v>2460</v>
      </c>
      <c r="D983" s="2" t="s">
        <v>2494</v>
      </c>
      <c r="E983" s="2" t="s">
        <v>2937</v>
      </c>
      <c r="F983" s="2" t="s">
        <v>2800</v>
      </c>
    </row>
    <row r="984" ht="15.75" customHeight="1">
      <c r="B984" s="19">
        <v>2.0211124E7</v>
      </c>
      <c r="C984" s="2" t="s">
        <v>2565</v>
      </c>
      <c r="D984" s="2" t="s">
        <v>2484</v>
      </c>
      <c r="E984" s="2" t="s">
        <v>2740</v>
      </c>
      <c r="F984" s="2" t="s">
        <v>2800</v>
      </c>
    </row>
    <row r="985" ht="15.75" customHeight="1">
      <c r="B985" s="19">
        <v>2.0211126E7</v>
      </c>
      <c r="C985" s="2" t="s">
        <v>2940</v>
      </c>
      <c r="D985" s="2" t="s">
        <v>2717</v>
      </c>
      <c r="E985" s="2" t="s">
        <v>2659</v>
      </c>
      <c r="F985" s="2" t="s">
        <v>2800</v>
      </c>
    </row>
    <row r="986" ht="15.75" customHeight="1">
      <c r="B986" s="19">
        <v>2.0211129E7</v>
      </c>
      <c r="C986" s="2" t="s">
        <v>2475</v>
      </c>
      <c r="D986" s="2" t="s">
        <v>2457</v>
      </c>
      <c r="E986" s="2" t="s">
        <v>2735</v>
      </c>
      <c r="F986" s="2" t="s">
        <v>2800</v>
      </c>
    </row>
    <row r="987" ht="15.75" customHeight="1">
      <c r="B987" s="19">
        <v>2.021113E7</v>
      </c>
      <c r="C987" s="2" t="s">
        <v>2941</v>
      </c>
      <c r="D987" s="2" t="s">
        <v>2500</v>
      </c>
      <c r="E987" s="2" t="s">
        <v>2912</v>
      </c>
      <c r="F987" s="2" t="s">
        <v>2800</v>
      </c>
    </row>
    <row r="988" ht="15.75" customHeight="1">
      <c r="B988" s="19">
        <v>2.0211201E7</v>
      </c>
      <c r="C988" s="2" t="s">
        <v>2755</v>
      </c>
      <c r="D988" s="2" t="s">
        <v>2735</v>
      </c>
      <c r="E988" s="2" t="s">
        <v>2475</v>
      </c>
      <c r="F988" s="2" t="s">
        <v>2800</v>
      </c>
    </row>
    <row r="989" ht="15.75" customHeight="1">
      <c r="B989" s="19">
        <v>2.0211202E7</v>
      </c>
      <c r="C989" s="2" t="s">
        <v>2709</v>
      </c>
      <c r="D989" s="2" t="s">
        <v>2598</v>
      </c>
      <c r="E989" s="2" t="s">
        <v>2879</v>
      </c>
      <c r="F989" s="2" t="s">
        <v>2800</v>
      </c>
    </row>
    <row r="990" ht="15.75" customHeight="1">
      <c r="B990" s="19">
        <v>2.0211203E7</v>
      </c>
      <c r="C990" s="2" t="s">
        <v>2942</v>
      </c>
      <c r="D990" s="2" t="s">
        <v>2912</v>
      </c>
      <c r="E990" s="2" t="s">
        <v>2794</v>
      </c>
      <c r="F990" s="2" t="s">
        <v>2800</v>
      </c>
    </row>
    <row r="991" ht="15.75" customHeight="1">
      <c r="B991" s="19">
        <v>2.0211206E7</v>
      </c>
      <c r="C991" s="2" t="s">
        <v>2720</v>
      </c>
      <c r="D991" s="2" t="s">
        <v>2719</v>
      </c>
      <c r="E991" s="2" t="s">
        <v>2623</v>
      </c>
      <c r="F991" s="2" t="s">
        <v>2800</v>
      </c>
    </row>
    <row r="992" ht="15.75" customHeight="1">
      <c r="B992" s="19">
        <v>2.0211207E7</v>
      </c>
      <c r="C992" s="2" t="s">
        <v>2943</v>
      </c>
      <c r="D992" s="2" t="s">
        <v>2583</v>
      </c>
      <c r="E992" s="2" t="s">
        <v>2944</v>
      </c>
      <c r="F992" s="2" t="s">
        <v>2800</v>
      </c>
    </row>
    <row r="993" ht="15.75" customHeight="1">
      <c r="B993" s="19">
        <v>2.0211208E7</v>
      </c>
      <c r="C993" s="2" t="s">
        <v>2535</v>
      </c>
      <c r="D993" s="2" t="s">
        <v>2441</v>
      </c>
      <c r="E993" s="2" t="s">
        <v>2725</v>
      </c>
      <c r="F993" s="2" t="s">
        <v>2800</v>
      </c>
    </row>
    <row r="994" ht="15.75" customHeight="1">
      <c r="B994" s="19">
        <v>2.0211209E7</v>
      </c>
      <c r="C994" s="2" t="s">
        <v>2637</v>
      </c>
      <c r="D994" s="2" t="s">
        <v>2730</v>
      </c>
      <c r="E994" s="2" t="s">
        <v>2636</v>
      </c>
      <c r="F994" s="2" t="s">
        <v>2800</v>
      </c>
    </row>
    <row r="995" ht="15.75" customHeight="1">
      <c r="B995" s="19">
        <v>2.021121E7</v>
      </c>
      <c r="C995" s="2" t="s">
        <v>2524</v>
      </c>
      <c r="D995" s="2" t="s">
        <v>2725</v>
      </c>
      <c r="E995" s="2" t="s">
        <v>2597</v>
      </c>
      <c r="F995" s="2" t="s">
        <v>2800</v>
      </c>
    </row>
    <row r="996" ht="15.75" customHeight="1">
      <c r="B996" s="19">
        <v>2.0211213E7</v>
      </c>
      <c r="C996" s="2" t="s">
        <v>2606</v>
      </c>
      <c r="D996" s="2" t="s">
        <v>2454</v>
      </c>
      <c r="E996" s="2" t="s">
        <v>2651</v>
      </c>
      <c r="F996" s="2" t="s">
        <v>2800</v>
      </c>
    </row>
    <row r="997" ht="15.75" customHeight="1">
      <c r="B997" s="19">
        <v>2.0211214E7</v>
      </c>
      <c r="C997" s="2" t="s">
        <v>2601</v>
      </c>
      <c r="D997" s="2" t="s">
        <v>2553</v>
      </c>
      <c r="E997" s="2" t="s">
        <v>2873</v>
      </c>
      <c r="F997" s="2" t="s">
        <v>2800</v>
      </c>
    </row>
    <row r="998" ht="15.75" customHeight="1">
      <c r="B998" s="19">
        <v>2.0211215E7</v>
      </c>
      <c r="C998" s="2" t="s">
        <v>2671</v>
      </c>
      <c r="D998" s="2" t="s">
        <v>2564</v>
      </c>
      <c r="E998" s="2" t="s">
        <v>2945</v>
      </c>
      <c r="F998" s="2" t="s">
        <v>2800</v>
      </c>
    </row>
    <row r="999" ht="15.75" customHeight="1">
      <c r="B999" s="19">
        <v>2.0211216E7</v>
      </c>
      <c r="C999" s="2" t="s">
        <v>2733</v>
      </c>
      <c r="D999" s="2" t="s">
        <v>2871</v>
      </c>
      <c r="E999" s="2" t="s">
        <v>2946</v>
      </c>
      <c r="F999" s="2" t="s">
        <v>2800</v>
      </c>
    </row>
    <row r="1000" ht="15.75" customHeight="1">
      <c r="B1000" s="19">
        <v>2.0211217E7</v>
      </c>
      <c r="C1000" s="2" t="s">
        <v>2722</v>
      </c>
      <c r="D1000" s="2" t="s">
        <v>2934</v>
      </c>
      <c r="E1000" s="2" t="s">
        <v>2893</v>
      </c>
      <c r="F1000" s="2" t="s">
        <v>2800</v>
      </c>
    </row>
    <row r="1001" ht="15.75" customHeight="1">
      <c r="B1001" s="19">
        <v>2.021122E7</v>
      </c>
      <c r="C1001" s="2" t="s">
        <v>2715</v>
      </c>
      <c r="D1001" s="2" t="s">
        <v>2467</v>
      </c>
      <c r="E1001" s="2" t="s">
        <v>2514</v>
      </c>
      <c r="F1001" s="2" t="s">
        <v>2800</v>
      </c>
    </row>
    <row r="1002" ht="15.75" customHeight="1">
      <c r="B1002" s="19">
        <v>2.0211221E7</v>
      </c>
      <c r="C1002" s="2" t="s">
        <v>2882</v>
      </c>
      <c r="D1002" s="2" t="s">
        <v>2572</v>
      </c>
      <c r="E1002" s="2" t="s">
        <v>2443</v>
      </c>
      <c r="F1002" s="2" t="s">
        <v>2800</v>
      </c>
    </row>
    <row r="1003" ht="15.75" customHeight="1">
      <c r="B1003" s="19">
        <v>2.0211222E7</v>
      </c>
      <c r="C1003" s="2" t="s">
        <v>2724</v>
      </c>
      <c r="D1003" s="2" t="s">
        <v>2505</v>
      </c>
      <c r="E1003" s="2" t="s">
        <v>2470</v>
      </c>
      <c r="F1003" s="2" t="s">
        <v>2800</v>
      </c>
    </row>
    <row r="1004" ht="15.75" customHeight="1">
      <c r="B1004" s="19">
        <v>2.0211223E7</v>
      </c>
      <c r="C1004" s="2" t="s">
        <v>2598</v>
      </c>
      <c r="D1004" s="2" t="s">
        <v>2432</v>
      </c>
      <c r="E1004" s="2" t="s">
        <v>2531</v>
      </c>
      <c r="F1004" s="2" t="s">
        <v>2800</v>
      </c>
    </row>
    <row r="1005" ht="15.75" customHeight="1">
      <c r="B1005" s="19">
        <v>2.0211227E7</v>
      </c>
      <c r="C1005" s="2" t="s">
        <v>2655</v>
      </c>
      <c r="D1005" s="2" t="s">
        <v>2609</v>
      </c>
      <c r="E1005" s="2" t="s">
        <v>2603</v>
      </c>
      <c r="F1005" s="2" t="s">
        <v>2800</v>
      </c>
    </row>
    <row r="1006" ht="15.75" customHeight="1">
      <c r="B1006" s="19">
        <v>2.0211228E7</v>
      </c>
      <c r="C1006" s="2" t="s">
        <v>2630</v>
      </c>
      <c r="D1006" s="2" t="s">
        <v>2685</v>
      </c>
      <c r="E1006" s="2" t="s">
        <v>2499</v>
      </c>
      <c r="F1006" s="2" t="s">
        <v>2800</v>
      </c>
    </row>
    <row r="1007" ht="15.75" customHeight="1">
      <c r="B1007" s="19">
        <v>2.0211229E7</v>
      </c>
      <c r="C1007" s="2" t="s">
        <v>2580</v>
      </c>
      <c r="D1007" s="2" t="s">
        <v>2448</v>
      </c>
      <c r="E1007" s="2" t="s">
        <v>2611</v>
      </c>
      <c r="F1007" s="2" t="s">
        <v>2800</v>
      </c>
    </row>
    <row r="1008" ht="15.75" customHeight="1">
      <c r="B1008" s="19">
        <v>2.021123E7</v>
      </c>
      <c r="C1008" s="2" t="s">
        <v>2444</v>
      </c>
      <c r="D1008" s="2" t="s">
        <v>2483</v>
      </c>
      <c r="E1008" s="2" t="s">
        <v>2605</v>
      </c>
      <c r="F1008" s="2" t="s">
        <v>2800</v>
      </c>
    </row>
    <row r="1009" ht="15.75" customHeight="1">
      <c r="B1009" s="19">
        <v>2.0211231E7</v>
      </c>
      <c r="C1009" s="2" t="s">
        <v>2454</v>
      </c>
      <c r="D1009" s="2" t="s">
        <v>2445</v>
      </c>
      <c r="E1009" s="2" t="s">
        <v>2496</v>
      </c>
      <c r="F1009" s="2" t="s">
        <v>2800</v>
      </c>
    </row>
    <row r="1010" ht="15.75" customHeight="1">
      <c r="B1010" s="19">
        <v>2.0220103E7</v>
      </c>
      <c r="C1010" s="2" t="s">
        <v>2619</v>
      </c>
      <c r="D1010" s="2" t="s">
        <v>2650</v>
      </c>
      <c r="E1010" s="2" t="s">
        <v>2491</v>
      </c>
      <c r="F1010" s="2" t="s">
        <v>2800</v>
      </c>
    </row>
    <row r="1011" ht="15.75" customHeight="1">
      <c r="B1011" s="19">
        <v>2.0220104E7</v>
      </c>
      <c r="C1011" s="2" t="s">
        <v>2489</v>
      </c>
      <c r="D1011" s="2" t="s">
        <v>2635</v>
      </c>
      <c r="E1011" s="2" t="s">
        <v>2838</v>
      </c>
      <c r="F1011" s="2" t="s">
        <v>2800</v>
      </c>
    </row>
    <row r="1012" ht="15.75" customHeight="1">
      <c r="B1012" s="19">
        <v>2.0220105E7</v>
      </c>
      <c r="C1012" s="2" t="s">
        <v>2947</v>
      </c>
      <c r="D1012" s="2" t="s">
        <v>2948</v>
      </c>
      <c r="E1012" s="2" t="s">
        <v>2949</v>
      </c>
      <c r="F1012" s="2" t="s">
        <v>2800</v>
      </c>
    </row>
    <row r="1013" ht="15.75" customHeight="1">
      <c r="B1013" s="19">
        <v>2.0220106E7</v>
      </c>
      <c r="C1013" s="2" t="s">
        <v>2621</v>
      </c>
      <c r="D1013" s="2" t="s">
        <v>2583</v>
      </c>
      <c r="E1013" s="2" t="s">
        <v>2937</v>
      </c>
      <c r="F1013" s="2" t="s">
        <v>2800</v>
      </c>
    </row>
    <row r="1014" ht="15.75" customHeight="1">
      <c r="B1014" s="19">
        <v>2.0220107E7</v>
      </c>
      <c r="C1014" s="2" t="s">
        <v>2531</v>
      </c>
      <c r="D1014" s="2" t="s">
        <v>2743</v>
      </c>
      <c r="E1014" s="2" t="s">
        <v>2938</v>
      </c>
      <c r="F1014" s="2" t="s">
        <v>2800</v>
      </c>
    </row>
    <row r="1015" ht="15.75" customHeight="1">
      <c r="B1015" s="19">
        <v>2.022011E7</v>
      </c>
      <c r="C1015" s="2" t="s">
        <v>2444</v>
      </c>
      <c r="D1015" s="2" t="s">
        <v>2551</v>
      </c>
      <c r="E1015" s="2" t="s">
        <v>2678</v>
      </c>
      <c r="F1015" s="2" t="s">
        <v>2800</v>
      </c>
    </row>
    <row r="1016" ht="15.75" customHeight="1">
      <c r="B1016" s="19">
        <v>2.0220111E7</v>
      </c>
      <c r="C1016" s="2" t="s">
        <v>2657</v>
      </c>
      <c r="D1016" s="2" t="s">
        <v>2536</v>
      </c>
      <c r="E1016" s="2" t="s">
        <v>2614</v>
      </c>
      <c r="F1016" s="2" t="s">
        <v>2800</v>
      </c>
    </row>
    <row r="1017" ht="15.75" customHeight="1">
      <c r="B1017" s="19">
        <v>2.0220112E7</v>
      </c>
      <c r="C1017" s="2" t="s">
        <v>2528</v>
      </c>
      <c r="D1017" s="2" t="s">
        <v>2753</v>
      </c>
      <c r="E1017" s="2" t="s">
        <v>2597</v>
      </c>
      <c r="F1017" s="2" t="s">
        <v>2800</v>
      </c>
    </row>
    <row r="1018" ht="15.75" customHeight="1">
      <c r="B1018" s="19">
        <v>2.0220113E7</v>
      </c>
      <c r="C1018" s="2" t="s">
        <v>2915</v>
      </c>
      <c r="D1018" s="2" t="s">
        <v>2565</v>
      </c>
      <c r="E1018" s="2" t="s">
        <v>2872</v>
      </c>
      <c r="F1018" s="2" t="s">
        <v>2800</v>
      </c>
    </row>
    <row r="1019" ht="15.75" customHeight="1">
      <c r="B1019" s="19">
        <v>2.0220114E7</v>
      </c>
      <c r="C1019" s="2" t="s">
        <v>2485</v>
      </c>
      <c r="D1019" s="2" t="s">
        <v>2542</v>
      </c>
      <c r="E1019" s="2" t="s">
        <v>2486</v>
      </c>
      <c r="F1019" s="2" t="s">
        <v>2800</v>
      </c>
    </row>
    <row r="1020" ht="15.75" customHeight="1">
      <c r="B1020" s="19">
        <v>2.0220118E7</v>
      </c>
      <c r="C1020" s="2" t="s">
        <v>2831</v>
      </c>
      <c r="D1020" s="2" t="s">
        <v>2863</v>
      </c>
      <c r="E1020" s="2" t="s">
        <v>2738</v>
      </c>
      <c r="F1020" s="2" t="s">
        <v>2800</v>
      </c>
    </row>
    <row r="1021" ht="15.75" customHeight="1">
      <c r="B1021" s="19">
        <v>2.0220119E7</v>
      </c>
      <c r="C1021" s="2" t="s">
        <v>2675</v>
      </c>
      <c r="D1021" s="2" t="s">
        <v>2587</v>
      </c>
      <c r="E1021" s="2" t="s">
        <v>2537</v>
      </c>
      <c r="F1021" s="2" t="s">
        <v>2800</v>
      </c>
    </row>
    <row r="1022" ht="15.75" customHeight="1">
      <c r="B1022" s="19">
        <v>2.022012E7</v>
      </c>
      <c r="C1022" s="2" t="s">
        <v>2628</v>
      </c>
      <c r="D1022" s="2" t="s">
        <v>2679</v>
      </c>
      <c r="E1022" s="2" t="s">
        <v>2551</v>
      </c>
      <c r="F1022" s="2" t="s">
        <v>2800</v>
      </c>
    </row>
    <row r="1023" ht="15.75" customHeight="1">
      <c r="B1023" s="19">
        <v>2.0220121E7</v>
      </c>
      <c r="C1023" s="2" t="s">
        <v>2950</v>
      </c>
      <c r="D1023" s="2" t="s">
        <v>2533</v>
      </c>
      <c r="E1023" s="2" t="s">
        <v>2506</v>
      </c>
      <c r="F1023" s="2" t="s">
        <v>2800</v>
      </c>
    </row>
    <row r="1024" ht="15.75" customHeight="1">
      <c r="B1024" s="19">
        <v>2.0220124E7</v>
      </c>
      <c r="C1024" s="2" t="s">
        <v>2496</v>
      </c>
      <c r="D1024" s="2" t="s">
        <v>2929</v>
      </c>
      <c r="E1024" s="2" t="s">
        <v>2463</v>
      </c>
      <c r="F1024" s="2" t="s">
        <v>2800</v>
      </c>
    </row>
    <row r="1025" ht="15.75" customHeight="1">
      <c r="B1025" s="19">
        <v>2.0220125E7</v>
      </c>
      <c r="C1025" s="2" t="s">
        <v>2665</v>
      </c>
      <c r="D1025" s="2" t="s">
        <v>2478</v>
      </c>
      <c r="E1025" s="2" t="s">
        <v>2951</v>
      </c>
      <c r="F1025" s="2" t="s">
        <v>2800</v>
      </c>
    </row>
    <row r="1026" ht="15.75" customHeight="1">
      <c r="B1026" s="19">
        <v>2.0220126E7</v>
      </c>
      <c r="C1026" s="2" t="s">
        <v>2614</v>
      </c>
      <c r="D1026" s="2" t="s">
        <v>2711</v>
      </c>
      <c r="E1026" s="2" t="s">
        <v>2640</v>
      </c>
      <c r="F1026" s="2" t="s">
        <v>2800</v>
      </c>
    </row>
    <row r="1027" ht="15.75" customHeight="1">
      <c r="B1027" s="19">
        <v>2.0220127E7</v>
      </c>
      <c r="C1027" s="2" t="s">
        <v>2735</v>
      </c>
      <c r="D1027" s="2" t="s">
        <v>2802</v>
      </c>
      <c r="E1027" s="2" t="s">
        <v>2512</v>
      </c>
      <c r="F1027" s="2" t="s">
        <v>2800</v>
      </c>
    </row>
    <row r="1028" ht="15.75" customHeight="1">
      <c r="B1028" s="19">
        <v>2.0220128E7</v>
      </c>
      <c r="C1028" s="2" t="s">
        <v>2889</v>
      </c>
      <c r="D1028" s="2" t="s">
        <v>2508</v>
      </c>
      <c r="E1028" s="2" t="s">
        <v>2903</v>
      </c>
      <c r="F1028" s="2" t="s">
        <v>2800</v>
      </c>
    </row>
    <row r="1029" ht="15.75" customHeight="1">
      <c r="B1029" s="19">
        <v>2.0220131E7</v>
      </c>
      <c r="C1029" s="2" t="s">
        <v>2952</v>
      </c>
      <c r="D1029" s="2" t="s">
        <v>2608</v>
      </c>
      <c r="E1029" s="2" t="s">
        <v>2953</v>
      </c>
      <c r="F1029" s="2" t="s">
        <v>2800</v>
      </c>
    </row>
    <row r="1030" ht="15.75" customHeight="1">
      <c r="B1030" s="19">
        <v>2.0220201E7</v>
      </c>
      <c r="C1030" s="2" t="s">
        <v>2451</v>
      </c>
      <c r="D1030" s="2" t="s">
        <v>2445</v>
      </c>
      <c r="E1030" s="2" t="s">
        <v>2555</v>
      </c>
      <c r="F1030" s="2" t="s">
        <v>2800</v>
      </c>
    </row>
    <row r="1031" ht="15.75" customHeight="1">
      <c r="B1031" s="19">
        <v>2.0220202E7</v>
      </c>
      <c r="C1031" s="2" t="s">
        <v>2610</v>
      </c>
      <c r="D1031" s="2" t="s">
        <v>2901</v>
      </c>
      <c r="E1031" s="2" t="s">
        <v>2600</v>
      </c>
      <c r="F1031" s="2" t="s">
        <v>2800</v>
      </c>
    </row>
    <row r="1032" ht="15.75" customHeight="1">
      <c r="B1032" s="19">
        <v>2.0220203E7</v>
      </c>
      <c r="C1032" s="2" t="s">
        <v>2775</v>
      </c>
      <c r="D1032" s="2" t="s">
        <v>2582</v>
      </c>
      <c r="E1032" s="2" t="s">
        <v>2921</v>
      </c>
      <c r="F1032" s="2" t="s">
        <v>2800</v>
      </c>
    </row>
    <row r="1033" ht="15.75" customHeight="1">
      <c r="B1033" s="19">
        <v>2.0220204E7</v>
      </c>
      <c r="C1033" s="2" t="s">
        <v>2594</v>
      </c>
      <c r="D1033" s="2" t="s">
        <v>2479</v>
      </c>
      <c r="E1033" s="2" t="s">
        <v>2638</v>
      </c>
      <c r="F1033" s="2" t="s">
        <v>2800</v>
      </c>
    </row>
    <row r="1034" ht="15.75" customHeight="1">
      <c r="B1034" s="19">
        <v>2.0220207E7</v>
      </c>
      <c r="C1034" s="2" t="s">
        <v>2463</v>
      </c>
      <c r="D1034" s="2" t="s">
        <v>2496</v>
      </c>
      <c r="E1034" s="2" t="s">
        <v>2513</v>
      </c>
      <c r="F1034" s="2" t="s">
        <v>2800</v>
      </c>
    </row>
    <row r="1035" ht="15.75" customHeight="1">
      <c r="B1035" s="19">
        <v>2.0220208E7</v>
      </c>
      <c r="C1035" s="2" t="s">
        <v>2585</v>
      </c>
      <c r="D1035" s="2" t="s">
        <v>2664</v>
      </c>
      <c r="E1035" s="2" t="s">
        <v>2678</v>
      </c>
      <c r="F1035" s="2" t="s">
        <v>2800</v>
      </c>
    </row>
    <row r="1036" ht="15.75" customHeight="1">
      <c r="B1036" s="19">
        <v>2.0220209E7</v>
      </c>
      <c r="C1036" s="2" t="s">
        <v>2818</v>
      </c>
      <c r="D1036" s="2" t="s">
        <v>2513</v>
      </c>
      <c r="E1036" s="2" t="s">
        <v>2941</v>
      </c>
      <c r="F1036" s="2" t="s">
        <v>2800</v>
      </c>
    </row>
    <row r="1037" ht="15.75" customHeight="1">
      <c r="B1037" s="19">
        <v>2.022021E7</v>
      </c>
      <c r="C1037" s="2" t="s">
        <v>2727</v>
      </c>
      <c r="D1037" s="2" t="s">
        <v>2444</v>
      </c>
      <c r="E1037" s="2" t="s">
        <v>2756</v>
      </c>
      <c r="F1037" s="2" t="s">
        <v>2800</v>
      </c>
    </row>
    <row r="1038" ht="15.75" customHeight="1">
      <c r="B1038" s="19">
        <v>2.0220211E7</v>
      </c>
      <c r="C1038" s="2" t="s">
        <v>2846</v>
      </c>
      <c r="D1038" s="2" t="s">
        <v>2726</v>
      </c>
      <c r="E1038" s="2" t="s">
        <v>2898</v>
      </c>
      <c r="F1038" s="2" t="s">
        <v>2800</v>
      </c>
    </row>
    <row r="1039" ht="15.75" customHeight="1">
      <c r="B1039" s="19">
        <v>2.0220214E7</v>
      </c>
      <c r="C1039" s="2" t="s">
        <v>2442</v>
      </c>
      <c r="D1039" s="2" t="s">
        <v>2468</v>
      </c>
      <c r="E1039" s="2" t="s">
        <v>2685</v>
      </c>
      <c r="F1039" s="2" t="s">
        <v>2800</v>
      </c>
    </row>
    <row r="1040" ht="15.75" customHeight="1">
      <c r="B1040" s="19">
        <v>2.0220215E7</v>
      </c>
      <c r="C1040" s="2" t="s">
        <v>2852</v>
      </c>
      <c r="D1040" s="2" t="s">
        <v>2695</v>
      </c>
      <c r="E1040" s="2" t="s">
        <v>2954</v>
      </c>
      <c r="F1040" s="2" t="s">
        <v>2800</v>
      </c>
    </row>
    <row r="1041" ht="15.75" customHeight="1">
      <c r="B1041" s="19">
        <v>2.0220216E7</v>
      </c>
      <c r="C1041" s="2" t="s">
        <v>2479</v>
      </c>
      <c r="D1041" s="2" t="s">
        <v>2534</v>
      </c>
      <c r="E1041" s="2" t="s">
        <v>2453</v>
      </c>
      <c r="F1041" s="2" t="s">
        <v>2800</v>
      </c>
    </row>
    <row r="1042" ht="15.75" customHeight="1">
      <c r="B1042" s="19">
        <v>2.0220217E7</v>
      </c>
      <c r="C1042" s="2" t="s">
        <v>2947</v>
      </c>
      <c r="D1042" s="2" t="s">
        <v>2678</v>
      </c>
      <c r="E1042" s="2" t="s">
        <v>2657</v>
      </c>
      <c r="F1042" s="2" t="s">
        <v>2800</v>
      </c>
    </row>
    <row r="1043" ht="15.75" customHeight="1">
      <c r="B1043" s="19">
        <v>2.0220218E7</v>
      </c>
      <c r="C1043" s="2" t="s">
        <v>2740</v>
      </c>
      <c r="D1043" s="2" t="s">
        <v>2534</v>
      </c>
      <c r="E1043" s="2" t="s">
        <v>2464</v>
      </c>
      <c r="F1043" s="2" t="s">
        <v>2800</v>
      </c>
    </row>
    <row r="1044" ht="15.75" customHeight="1">
      <c r="B1044" s="19">
        <v>2.0220222E7</v>
      </c>
      <c r="C1044" s="2" t="s">
        <v>2574</v>
      </c>
      <c r="D1044" s="2" t="s">
        <v>2456</v>
      </c>
      <c r="E1044" s="2" t="s">
        <v>2483</v>
      </c>
      <c r="F1044" s="2" t="s">
        <v>2800</v>
      </c>
    </row>
    <row r="1045" ht="15.75" customHeight="1">
      <c r="B1045" s="19">
        <v>2.0220223E7</v>
      </c>
      <c r="C1045" s="2" t="s">
        <v>2658</v>
      </c>
      <c r="D1045" s="2" t="s">
        <v>2593</v>
      </c>
      <c r="E1045" s="2" t="s">
        <v>2892</v>
      </c>
      <c r="F1045" s="2" t="s">
        <v>2800</v>
      </c>
    </row>
    <row r="1046" ht="15.75" customHeight="1">
      <c r="B1046" s="19">
        <v>2.0220224E7</v>
      </c>
      <c r="C1046" s="2" t="s">
        <v>2822</v>
      </c>
      <c r="D1046" s="2" t="s">
        <v>2709</v>
      </c>
      <c r="E1046" s="2" t="s">
        <v>2955</v>
      </c>
      <c r="F1046" s="2" t="s">
        <v>2800</v>
      </c>
    </row>
    <row r="1047" ht="15.75" customHeight="1">
      <c r="B1047" s="19">
        <v>2.0220225E7</v>
      </c>
      <c r="C1047" s="2" t="s">
        <v>2956</v>
      </c>
      <c r="D1047" s="2" t="s">
        <v>2520</v>
      </c>
      <c r="E1047" s="2" t="s">
        <v>2655</v>
      </c>
      <c r="F1047" s="2" t="s">
        <v>2800</v>
      </c>
    </row>
    <row r="1048" ht="15.75" customHeight="1">
      <c r="B1048" s="19">
        <v>2.0220228E7</v>
      </c>
      <c r="C1048" s="2" t="s">
        <v>2445</v>
      </c>
      <c r="D1048" s="2" t="s">
        <v>2634</v>
      </c>
      <c r="E1048" s="2" t="s">
        <v>2462</v>
      </c>
      <c r="F1048" s="2" t="s">
        <v>2800</v>
      </c>
    </row>
    <row r="1049" ht="15.75" customHeight="1">
      <c r="B1049" s="19">
        <v>2.0220301E7</v>
      </c>
      <c r="C1049" s="2" t="s">
        <v>2915</v>
      </c>
      <c r="D1049" s="2" t="s">
        <v>2461</v>
      </c>
      <c r="E1049" s="2" t="s">
        <v>2579</v>
      </c>
      <c r="F1049" s="2" t="s">
        <v>2800</v>
      </c>
    </row>
    <row r="1050" ht="15.75" customHeight="1">
      <c r="B1050" s="19">
        <v>2.0220302E7</v>
      </c>
      <c r="C1050" s="2" t="s">
        <v>2929</v>
      </c>
      <c r="D1050" s="2" t="s">
        <v>2438</v>
      </c>
      <c r="E1050" s="2" t="s">
        <v>2925</v>
      </c>
      <c r="F1050" s="2" t="s">
        <v>2800</v>
      </c>
    </row>
    <row r="1051" ht="15.75" customHeight="1">
      <c r="B1051" s="19">
        <v>2.0220303E7</v>
      </c>
      <c r="C1051" s="2" t="s">
        <v>2661</v>
      </c>
      <c r="D1051" s="2" t="s">
        <v>2539</v>
      </c>
      <c r="E1051" s="2" t="s">
        <v>2504</v>
      </c>
      <c r="F1051" s="2" t="s">
        <v>2800</v>
      </c>
    </row>
    <row r="1052" ht="15.75" customHeight="1">
      <c r="B1052" s="19">
        <v>2.0220304E7</v>
      </c>
      <c r="C1052" s="2" t="s">
        <v>2957</v>
      </c>
      <c r="D1052" s="2" t="s">
        <v>2647</v>
      </c>
      <c r="E1052" s="2" t="s">
        <v>2664</v>
      </c>
      <c r="F1052" s="2" t="s">
        <v>2800</v>
      </c>
    </row>
    <row r="1053" ht="15.75" customHeight="1">
      <c r="B1053" s="19">
        <v>2.0220307E7</v>
      </c>
      <c r="C1053" s="2" t="s">
        <v>2958</v>
      </c>
      <c r="D1053" s="2" t="s">
        <v>2581</v>
      </c>
      <c r="E1053" s="2" t="s">
        <v>2594</v>
      </c>
      <c r="F1053" s="2" t="s">
        <v>2800</v>
      </c>
    </row>
    <row r="1054" ht="15.75" customHeight="1">
      <c r="B1054" s="19">
        <v>2.0220308E7</v>
      </c>
      <c r="C1054" s="2" t="s">
        <v>2494</v>
      </c>
      <c r="D1054" s="2" t="s">
        <v>2522</v>
      </c>
      <c r="E1054" s="2" t="s">
        <v>2540</v>
      </c>
      <c r="F1054" s="2" t="s">
        <v>2800</v>
      </c>
    </row>
    <row r="1055" ht="15.75" customHeight="1">
      <c r="B1055" s="19">
        <v>2.0220309E7</v>
      </c>
      <c r="C1055" s="2" t="s">
        <v>2959</v>
      </c>
      <c r="D1055" s="2" t="s">
        <v>2540</v>
      </c>
      <c r="E1055" s="2" t="s">
        <v>2550</v>
      </c>
      <c r="F1055" s="2" t="s">
        <v>2800</v>
      </c>
    </row>
    <row r="1056" ht="15.75" customHeight="1">
      <c r="B1056" s="19">
        <v>2.022031E7</v>
      </c>
      <c r="C1056" s="2" t="s">
        <v>2577</v>
      </c>
      <c r="D1056" s="2" t="s">
        <v>2483</v>
      </c>
      <c r="E1056" s="2" t="s">
        <v>2960</v>
      </c>
      <c r="F1056" s="2" t="s">
        <v>2800</v>
      </c>
    </row>
    <row r="1057" ht="15.75" customHeight="1">
      <c r="B1057" s="19">
        <v>2.0220311E7</v>
      </c>
      <c r="C1057" s="2" t="s">
        <v>2771</v>
      </c>
      <c r="D1057" s="2" t="s">
        <v>2529</v>
      </c>
      <c r="E1057" s="2" t="s">
        <v>2911</v>
      </c>
      <c r="F1057" s="2" t="s">
        <v>2800</v>
      </c>
    </row>
    <row r="1058" ht="15.75" customHeight="1">
      <c r="B1058" s="19">
        <v>2.0220314E7</v>
      </c>
      <c r="C1058" s="2" t="s">
        <v>2480</v>
      </c>
      <c r="D1058" s="2" t="s">
        <v>2667</v>
      </c>
      <c r="E1058" s="2" t="s">
        <v>2566</v>
      </c>
      <c r="F1058" s="2" t="s">
        <v>2800</v>
      </c>
    </row>
    <row r="1059" ht="15.75" customHeight="1">
      <c r="B1059" s="19">
        <v>2.0220315E7</v>
      </c>
      <c r="C1059" s="2" t="s">
        <v>2961</v>
      </c>
      <c r="D1059" s="2" t="s">
        <v>2568</v>
      </c>
      <c r="E1059" s="2" t="s">
        <v>2962</v>
      </c>
      <c r="F1059" s="2" t="s">
        <v>2800</v>
      </c>
    </row>
    <row r="1060" ht="15.75" customHeight="1">
      <c r="B1060" s="19">
        <v>2.0220316E7</v>
      </c>
      <c r="C1060" s="2" t="s">
        <v>2881</v>
      </c>
      <c r="D1060" s="2" t="s">
        <v>2752</v>
      </c>
      <c r="E1060" s="2" t="s">
        <v>2963</v>
      </c>
      <c r="F1060" s="2" t="s">
        <v>2800</v>
      </c>
    </row>
    <row r="1061" ht="15.75" customHeight="1">
      <c r="B1061" s="19">
        <v>2.0220317E7</v>
      </c>
      <c r="C1061" s="2" t="s">
        <v>2964</v>
      </c>
      <c r="D1061" s="2" t="s">
        <v>2603</v>
      </c>
      <c r="E1061" s="2" t="s">
        <v>2686</v>
      </c>
      <c r="F1061" s="2" t="s">
        <v>2800</v>
      </c>
    </row>
    <row r="1062" ht="15.75" customHeight="1">
      <c r="B1062" s="19">
        <v>2.0220318E7</v>
      </c>
      <c r="C1062" s="2" t="s">
        <v>2607</v>
      </c>
      <c r="D1062" s="2" t="s">
        <v>2533</v>
      </c>
      <c r="E1062" s="2" t="s">
        <v>2684</v>
      </c>
      <c r="F1062" s="2" t="s">
        <v>2800</v>
      </c>
    </row>
    <row r="1063" ht="15.75" customHeight="1">
      <c r="B1063" s="19">
        <v>2.0220321E7</v>
      </c>
      <c r="C1063" s="2" t="s">
        <v>2437</v>
      </c>
      <c r="D1063" s="2" t="s">
        <v>2957</v>
      </c>
      <c r="E1063" s="2" t="s">
        <v>2806</v>
      </c>
      <c r="F1063" s="2" t="s">
        <v>2800</v>
      </c>
    </row>
    <row r="1064" ht="15.75" customHeight="1">
      <c r="B1064" s="19">
        <v>2.0220322E7</v>
      </c>
      <c r="C1064" s="2" t="s">
        <v>2608</v>
      </c>
      <c r="D1064" s="2" t="s">
        <v>2488</v>
      </c>
      <c r="E1064" s="2" t="s">
        <v>2688</v>
      </c>
      <c r="F1064" s="2" t="s">
        <v>2800</v>
      </c>
    </row>
    <row r="1065" ht="15.75" customHeight="1">
      <c r="B1065" s="19">
        <v>2.0220323E7</v>
      </c>
      <c r="C1065" s="2" t="s">
        <v>2790</v>
      </c>
      <c r="D1065" s="2" t="s">
        <v>2653</v>
      </c>
      <c r="E1065" s="2" t="s">
        <v>2654</v>
      </c>
      <c r="F1065" s="2" t="s">
        <v>2800</v>
      </c>
    </row>
    <row r="1066" ht="15.75" customHeight="1">
      <c r="B1066" s="19">
        <v>2.0220324E7</v>
      </c>
      <c r="C1066" s="2" t="s">
        <v>2737</v>
      </c>
      <c r="D1066" s="2" t="s">
        <v>2534</v>
      </c>
      <c r="E1066" s="2" t="s">
        <v>2735</v>
      </c>
      <c r="F1066" s="2" t="s">
        <v>2800</v>
      </c>
    </row>
    <row r="1067" ht="15.75" customHeight="1">
      <c r="B1067" s="19">
        <v>2.0220325E7</v>
      </c>
      <c r="C1067" s="2" t="s">
        <v>2617</v>
      </c>
      <c r="D1067" s="2" t="s">
        <v>2685</v>
      </c>
      <c r="E1067" s="2" t="s">
        <v>2921</v>
      </c>
      <c r="F1067" s="2" t="s">
        <v>2800</v>
      </c>
    </row>
    <row r="1068" ht="15.75" customHeight="1">
      <c r="B1068" s="19">
        <v>2.0220328E7</v>
      </c>
      <c r="C1068" s="2" t="s">
        <v>2619</v>
      </c>
      <c r="D1068" s="2" t="s">
        <v>2723</v>
      </c>
      <c r="E1068" s="2" t="s">
        <v>2824</v>
      </c>
      <c r="F1068" s="2" t="s">
        <v>2800</v>
      </c>
    </row>
    <row r="1069" ht="15.75" customHeight="1">
      <c r="B1069" s="19">
        <v>2.0220329E7</v>
      </c>
      <c r="C1069" s="2" t="s">
        <v>2939</v>
      </c>
      <c r="D1069" s="2" t="s">
        <v>2515</v>
      </c>
      <c r="E1069" s="2" t="s">
        <v>2846</v>
      </c>
      <c r="F1069" s="2" t="s">
        <v>2800</v>
      </c>
    </row>
    <row r="1070" ht="15.75" customHeight="1">
      <c r="B1070" s="19">
        <v>2.022033E7</v>
      </c>
      <c r="C1070" s="2" t="s">
        <v>2725</v>
      </c>
      <c r="D1070" s="2" t="s">
        <v>2859</v>
      </c>
      <c r="E1070" s="2" t="s">
        <v>2567</v>
      </c>
      <c r="F1070" s="2" t="s">
        <v>2800</v>
      </c>
    </row>
    <row r="1071" ht="15.75" customHeight="1">
      <c r="B1071" s="19">
        <v>2.0220331E7</v>
      </c>
      <c r="C1071" s="2" t="s">
        <v>2876</v>
      </c>
      <c r="D1071" s="2" t="s">
        <v>2598</v>
      </c>
      <c r="E1071" s="2" t="s">
        <v>2529</v>
      </c>
      <c r="F1071" s="2" t="s">
        <v>2800</v>
      </c>
    </row>
    <row r="1072" ht="15.75" customHeight="1">
      <c r="B1072" s="19">
        <v>2.0220401E7</v>
      </c>
      <c r="C1072" s="2" t="s">
        <v>2564</v>
      </c>
      <c r="D1072" s="2" t="s">
        <v>2527</v>
      </c>
      <c r="E1072" s="2" t="s">
        <v>2685</v>
      </c>
      <c r="F1072" s="2" t="s">
        <v>2861</v>
      </c>
    </row>
    <row r="1073" ht="15.75" customHeight="1">
      <c r="B1073" s="19">
        <v>2.0220404E7</v>
      </c>
      <c r="C1073" s="2" t="s">
        <v>2464</v>
      </c>
      <c r="D1073" s="2" t="s">
        <v>2582</v>
      </c>
      <c r="E1073" s="2" t="s">
        <v>2682</v>
      </c>
      <c r="F1073" s="2" t="s">
        <v>2861</v>
      </c>
    </row>
    <row r="1074" ht="15.75" customHeight="1">
      <c r="B1074" s="19">
        <v>2.0220405E7</v>
      </c>
      <c r="C1074" s="2" t="s">
        <v>2666</v>
      </c>
      <c r="D1074" s="2" t="s">
        <v>2692</v>
      </c>
      <c r="E1074" s="2" t="s">
        <v>2570</v>
      </c>
      <c r="F1074" s="2" t="s">
        <v>2861</v>
      </c>
    </row>
    <row r="1075" ht="15.75" customHeight="1">
      <c r="B1075" s="19">
        <v>2.0220406E7</v>
      </c>
      <c r="C1075" s="2" t="s">
        <v>2965</v>
      </c>
      <c r="D1075" s="2" t="s">
        <v>2647</v>
      </c>
      <c r="E1075" s="2" t="s">
        <v>2573</v>
      </c>
      <c r="F1075" s="2" t="s">
        <v>2861</v>
      </c>
    </row>
    <row r="1076" ht="15.75" customHeight="1">
      <c r="B1076" s="19">
        <v>2.0220407E7</v>
      </c>
      <c r="C1076" s="2" t="s">
        <v>2561</v>
      </c>
      <c r="D1076" s="2" t="s">
        <v>2476</v>
      </c>
      <c r="E1076" s="2" t="s">
        <v>2471</v>
      </c>
      <c r="F1076" s="2" t="s">
        <v>2861</v>
      </c>
    </row>
    <row r="1077" ht="15.75" customHeight="1">
      <c r="B1077" s="19">
        <v>2.0220408E7</v>
      </c>
      <c r="C1077" s="2" t="s">
        <v>2436</v>
      </c>
      <c r="D1077" s="2" t="s">
        <v>2618</v>
      </c>
      <c r="E1077" s="2" t="s">
        <v>2663</v>
      </c>
      <c r="F1077" s="2" t="s">
        <v>2861</v>
      </c>
    </row>
    <row r="1078" ht="15.75" customHeight="1">
      <c r="B1078" s="19">
        <v>2.0220411E7</v>
      </c>
      <c r="C1078" s="2" t="s">
        <v>2708</v>
      </c>
      <c r="D1078" s="2" t="s">
        <v>2533</v>
      </c>
      <c r="E1078" s="2" t="s">
        <v>2526</v>
      </c>
      <c r="F1078" s="2" t="s">
        <v>2861</v>
      </c>
    </row>
    <row r="1079" ht="15.75" customHeight="1">
      <c r="B1079" s="19">
        <v>2.0220412E7</v>
      </c>
      <c r="C1079" s="2" t="s">
        <v>2489</v>
      </c>
      <c r="D1079" s="2" t="s">
        <v>2486</v>
      </c>
      <c r="E1079" s="2" t="s">
        <v>2562</v>
      </c>
      <c r="F1079" s="2" t="s">
        <v>2861</v>
      </c>
    </row>
    <row r="1080" ht="15.75" customHeight="1">
      <c r="B1080" s="19">
        <v>2.0220413E7</v>
      </c>
      <c r="C1080" s="2" t="s">
        <v>2874</v>
      </c>
      <c r="D1080" s="2" t="s">
        <v>2615</v>
      </c>
      <c r="E1080" s="2" t="s">
        <v>2646</v>
      </c>
      <c r="F1080" s="2" t="s">
        <v>2861</v>
      </c>
    </row>
    <row r="1081" ht="15.75" customHeight="1">
      <c r="B1081" s="19">
        <v>2.0220414E7</v>
      </c>
      <c r="C1081" s="2" t="s">
        <v>2859</v>
      </c>
      <c r="D1081" s="2" t="s">
        <v>2484</v>
      </c>
      <c r="E1081" s="2" t="s">
        <v>2556</v>
      </c>
      <c r="F1081" s="2" t="s">
        <v>2861</v>
      </c>
    </row>
    <row r="1082" ht="15.75" customHeight="1">
      <c r="B1082" s="19">
        <v>2.0220418E7</v>
      </c>
      <c r="C1082" s="2" t="s">
        <v>2481</v>
      </c>
      <c r="D1082" s="2" t="s">
        <v>2579</v>
      </c>
      <c r="E1082" s="2" t="s">
        <v>2798</v>
      </c>
      <c r="F1082" s="2" t="s">
        <v>2861</v>
      </c>
    </row>
    <row r="1083" ht="15.75" customHeight="1">
      <c r="B1083" s="19">
        <v>2.0220419E7</v>
      </c>
      <c r="C1083" s="2" t="s">
        <v>2566</v>
      </c>
      <c r="D1083" s="2" t="s">
        <v>2435</v>
      </c>
      <c r="E1083" s="2" t="s">
        <v>2748</v>
      </c>
      <c r="F1083" s="2" t="s">
        <v>2861</v>
      </c>
    </row>
    <row r="1084" ht="15.75" customHeight="1">
      <c r="B1084" s="19">
        <v>2.022042E7</v>
      </c>
      <c r="C1084" s="2" t="s">
        <v>2678</v>
      </c>
      <c r="D1084" s="2" t="s">
        <v>2443</v>
      </c>
      <c r="E1084" s="2" t="s">
        <v>2892</v>
      </c>
      <c r="F1084" s="2" t="s">
        <v>2861</v>
      </c>
    </row>
    <row r="1085" ht="15.75" customHeight="1">
      <c r="B1085" s="19">
        <v>2.0220421E7</v>
      </c>
      <c r="C1085" s="2" t="s">
        <v>2901</v>
      </c>
      <c r="D1085" s="2" t="s">
        <v>2758</v>
      </c>
      <c r="E1085" s="2" t="s">
        <v>2544</v>
      </c>
      <c r="F1085" s="2" t="s">
        <v>2861</v>
      </c>
    </row>
    <row r="1086" ht="15.75" customHeight="1">
      <c r="B1086" s="19">
        <v>2.0220422E7</v>
      </c>
      <c r="C1086" s="2" t="s">
        <v>2913</v>
      </c>
      <c r="D1086" s="2" t="s">
        <v>2453</v>
      </c>
      <c r="E1086" s="2" t="s">
        <v>2467</v>
      </c>
      <c r="F1086" s="2" t="s">
        <v>2861</v>
      </c>
    </row>
    <row r="1087" ht="15.75" customHeight="1">
      <c r="B1087" s="19">
        <v>2.0220425E7</v>
      </c>
      <c r="C1087" s="2" t="s">
        <v>2598</v>
      </c>
      <c r="D1087" s="2" t="s">
        <v>2712</v>
      </c>
      <c r="E1087" s="2" t="s">
        <v>2870</v>
      </c>
      <c r="F1087" s="2" t="s">
        <v>2861</v>
      </c>
    </row>
    <row r="1088" ht="15.75" customHeight="1">
      <c r="B1088" s="19">
        <v>2.0220426E7</v>
      </c>
      <c r="C1088" s="2" t="s">
        <v>2966</v>
      </c>
      <c r="D1088" s="2" t="s">
        <v>2537</v>
      </c>
      <c r="E1088" s="2" t="s">
        <v>2911</v>
      </c>
      <c r="F1088" s="2" t="s">
        <v>2861</v>
      </c>
    </row>
    <row r="1089" ht="15.75" customHeight="1">
      <c r="B1089" s="19">
        <v>2.0220427E7</v>
      </c>
      <c r="C1089" s="2" t="s">
        <v>2528</v>
      </c>
      <c r="D1089" s="2" t="s">
        <v>2476</v>
      </c>
      <c r="E1089" s="2" t="s">
        <v>2650</v>
      </c>
      <c r="F1089" s="2" t="s">
        <v>2861</v>
      </c>
    </row>
    <row r="1090" ht="15.75" customHeight="1">
      <c r="B1090" s="19">
        <v>2.0220428E7</v>
      </c>
      <c r="C1090" s="2" t="s">
        <v>2967</v>
      </c>
      <c r="D1090" s="2" t="s">
        <v>2518</v>
      </c>
      <c r="E1090" s="2" t="s">
        <v>2612</v>
      </c>
      <c r="F1090" s="2" t="s">
        <v>2861</v>
      </c>
    </row>
    <row r="1091" ht="15.75" customHeight="1">
      <c r="B1091" s="19">
        <v>2.0220429E7</v>
      </c>
      <c r="C1091" s="2" t="s">
        <v>2968</v>
      </c>
      <c r="D1091" s="2" t="s">
        <v>2546</v>
      </c>
      <c r="E1091" s="2" t="s">
        <v>2435</v>
      </c>
      <c r="F1091" s="2" t="s">
        <v>2861</v>
      </c>
    </row>
    <row r="1092" ht="15.75" customHeight="1">
      <c r="B1092" s="19">
        <v>2.0220502E7</v>
      </c>
      <c r="C1092" s="2" t="s">
        <v>2752</v>
      </c>
      <c r="D1092" s="2" t="s">
        <v>2726</v>
      </c>
      <c r="E1092" s="2" t="s">
        <v>2832</v>
      </c>
      <c r="F1092" s="2" t="s">
        <v>2861</v>
      </c>
    </row>
    <row r="1093" ht="15.75" customHeight="1">
      <c r="B1093" s="19">
        <v>2.0220503E7</v>
      </c>
      <c r="C1093" s="2" t="s">
        <v>2544</v>
      </c>
      <c r="D1093" s="2" t="s">
        <v>2467</v>
      </c>
      <c r="E1093" s="2" t="s">
        <v>2671</v>
      </c>
      <c r="F1093" s="2" t="s">
        <v>2861</v>
      </c>
    </row>
    <row r="1094" ht="15.75" customHeight="1">
      <c r="B1094" s="19">
        <v>2.0220504E7</v>
      </c>
      <c r="C1094" s="2" t="s">
        <v>2969</v>
      </c>
      <c r="D1094" s="2" t="s">
        <v>2502</v>
      </c>
      <c r="E1094" s="2" t="s">
        <v>2440</v>
      </c>
      <c r="F1094" s="2" t="s">
        <v>2861</v>
      </c>
    </row>
    <row r="1095" ht="15.75" customHeight="1">
      <c r="B1095" s="19">
        <v>2.0220505E7</v>
      </c>
      <c r="C1095" s="2" t="s">
        <v>2970</v>
      </c>
      <c r="D1095" s="2" t="s">
        <v>2735</v>
      </c>
      <c r="E1095" s="2" t="s">
        <v>2971</v>
      </c>
      <c r="F1095" s="2" t="s">
        <v>2861</v>
      </c>
    </row>
    <row r="1096" ht="15.75" customHeight="1">
      <c r="B1096" s="19">
        <v>2.0220506E7</v>
      </c>
      <c r="C1096" s="2" t="s">
        <v>2589</v>
      </c>
      <c r="D1096" s="2" t="s">
        <v>2750</v>
      </c>
      <c r="E1096" s="2" t="s">
        <v>2566</v>
      </c>
      <c r="F1096" s="2" t="s">
        <v>2861</v>
      </c>
    </row>
    <row r="1097" ht="15.75" customHeight="1">
      <c r="B1097" s="19">
        <v>2.0220509E7</v>
      </c>
      <c r="C1097" s="2" t="s">
        <v>2972</v>
      </c>
      <c r="D1097" s="2" t="s">
        <v>2462</v>
      </c>
      <c r="E1097" s="2" t="s">
        <v>2738</v>
      </c>
      <c r="F1097" s="2" t="s">
        <v>2861</v>
      </c>
    </row>
    <row r="1098" ht="15.75" customHeight="1">
      <c r="B1098" s="19">
        <v>2.022051E7</v>
      </c>
      <c r="C1098" s="2" t="s">
        <v>2583</v>
      </c>
      <c r="D1098" s="2" t="s">
        <v>2551</v>
      </c>
      <c r="E1098" s="2" t="s">
        <v>2932</v>
      </c>
      <c r="F1098" s="2" t="s">
        <v>2861</v>
      </c>
    </row>
    <row r="1099" ht="15.75" customHeight="1">
      <c r="B1099" s="19">
        <v>2.0220511E7</v>
      </c>
      <c r="C1099" s="2" t="s">
        <v>2941</v>
      </c>
      <c r="D1099" s="2" t="s">
        <v>2519</v>
      </c>
      <c r="E1099" s="2" t="s">
        <v>2877</v>
      </c>
      <c r="F1099" s="2" t="s">
        <v>2861</v>
      </c>
    </row>
    <row r="1100" ht="15.75" customHeight="1">
      <c r="B1100" s="19">
        <v>2.0220512E7</v>
      </c>
      <c r="C1100" s="2" t="s">
        <v>2611</v>
      </c>
      <c r="D1100" s="2" t="s">
        <v>2673</v>
      </c>
      <c r="E1100" s="2" t="s">
        <v>2717</v>
      </c>
      <c r="F1100" s="2" t="s">
        <v>2861</v>
      </c>
    </row>
    <row r="1101" ht="15.75" customHeight="1">
      <c r="B1101" s="19">
        <v>2.0220513E7</v>
      </c>
      <c r="C1101" s="2" t="s">
        <v>2844</v>
      </c>
      <c r="D1101" s="2" t="s">
        <v>2594</v>
      </c>
      <c r="E1101" s="2" t="s">
        <v>2973</v>
      </c>
      <c r="F1101" s="2" t="s">
        <v>2861</v>
      </c>
    </row>
    <row r="1102" ht="15.75" customHeight="1">
      <c r="B1102" s="19">
        <v>2.0220516E7</v>
      </c>
      <c r="C1102" s="2" t="s">
        <v>2638</v>
      </c>
      <c r="D1102" s="2" t="s">
        <v>2481</v>
      </c>
      <c r="E1102" s="2" t="s">
        <v>2925</v>
      </c>
      <c r="F1102" s="2" t="s">
        <v>2861</v>
      </c>
    </row>
    <row r="1103" ht="15.75" customHeight="1">
      <c r="B1103" s="19">
        <v>2.0220517E7</v>
      </c>
      <c r="C1103" s="2" t="s">
        <v>2905</v>
      </c>
      <c r="D1103" s="2" t="s">
        <v>2588</v>
      </c>
      <c r="E1103" s="2" t="s">
        <v>2582</v>
      </c>
      <c r="F1103" s="2" t="s">
        <v>2861</v>
      </c>
    </row>
    <row r="1104" ht="15.75" customHeight="1">
      <c r="B1104" s="19">
        <v>2.0220518E7</v>
      </c>
      <c r="C1104" s="2" t="s">
        <v>2974</v>
      </c>
      <c r="D1104" s="2" t="s">
        <v>2497</v>
      </c>
      <c r="E1104" s="2" t="s">
        <v>2891</v>
      </c>
      <c r="F1104" s="2" t="s">
        <v>2861</v>
      </c>
    </row>
    <row r="1105" ht="15.75" customHeight="1">
      <c r="B1105" s="19">
        <v>2.0220519E7</v>
      </c>
      <c r="C1105" s="2" t="s">
        <v>2466</v>
      </c>
      <c r="D1105" s="2" t="s">
        <v>2610</v>
      </c>
      <c r="E1105" s="2" t="s">
        <v>2590</v>
      </c>
      <c r="F1105" s="2" t="s">
        <v>2861</v>
      </c>
    </row>
    <row r="1106" ht="15.75" customHeight="1">
      <c r="B1106" s="19">
        <v>2.022052E7</v>
      </c>
      <c r="C1106" s="2" t="s">
        <v>2582</v>
      </c>
      <c r="D1106" s="2" t="s">
        <v>2609</v>
      </c>
      <c r="E1106" s="2" t="s">
        <v>2518</v>
      </c>
      <c r="F1106" s="2" t="s">
        <v>2861</v>
      </c>
    </row>
    <row r="1107" ht="15.75" customHeight="1">
      <c r="B1107" s="19">
        <v>2.0220523E7</v>
      </c>
      <c r="C1107" s="2" t="s">
        <v>2975</v>
      </c>
      <c r="D1107" s="2" t="s">
        <v>2637</v>
      </c>
      <c r="E1107" s="2" t="s">
        <v>2673</v>
      </c>
      <c r="F1107" s="2" t="s">
        <v>2861</v>
      </c>
    </row>
    <row r="1108" ht="15.75" customHeight="1">
      <c r="B1108" s="19">
        <v>2.0220524E7</v>
      </c>
      <c r="C1108" s="2" t="s">
        <v>2717</v>
      </c>
      <c r="D1108" s="2" t="s">
        <v>2710</v>
      </c>
      <c r="E1108" s="2" t="s">
        <v>2857</v>
      </c>
      <c r="F1108" s="2" t="s">
        <v>2861</v>
      </c>
    </row>
    <row r="1109" ht="15.75" customHeight="1">
      <c r="B1109" s="19">
        <v>2.0220525E7</v>
      </c>
      <c r="C1109" s="2" t="s">
        <v>2655</v>
      </c>
      <c r="D1109" s="2" t="s">
        <v>2491</v>
      </c>
      <c r="E1109" s="2" t="s">
        <v>2497</v>
      </c>
      <c r="F1109" s="2" t="s">
        <v>2861</v>
      </c>
    </row>
    <row r="1110" ht="15.75" customHeight="1">
      <c r="B1110" s="19">
        <v>2.0220526E7</v>
      </c>
      <c r="C1110" s="2" t="s">
        <v>2921</v>
      </c>
      <c r="D1110" s="2" t="s">
        <v>2583</v>
      </c>
      <c r="E1110" s="2" t="s">
        <v>2478</v>
      </c>
      <c r="F1110" s="2" t="s">
        <v>2861</v>
      </c>
    </row>
    <row r="1111" ht="15.75" customHeight="1">
      <c r="B1111" s="19">
        <v>2.0220527E7</v>
      </c>
      <c r="C1111" s="2" t="s">
        <v>2976</v>
      </c>
      <c r="D1111" s="2" t="s">
        <v>2530</v>
      </c>
      <c r="E1111" s="2" t="s">
        <v>2750</v>
      </c>
      <c r="F1111" s="2" t="s">
        <v>2861</v>
      </c>
    </row>
    <row r="1112" ht="15.75" customHeight="1">
      <c r="B1112" s="19">
        <v>2.0220531E7</v>
      </c>
      <c r="C1112" s="2" t="s">
        <v>2646</v>
      </c>
      <c r="D1112" s="2" t="s">
        <v>2456</v>
      </c>
      <c r="E1112" s="2" t="s">
        <v>2547</v>
      </c>
      <c r="F1112" s="2" t="s">
        <v>2861</v>
      </c>
    </row>
    <row r="1113" ht="15.75" customHeight="1">
      <c r="B1113" s="19">
        <v>2.0220601E7</v>
      </c>
      <c r="C1113" s="2" t="s">
        <v>2707</v>
      </c>
      <c r="D1113" s="2" t="s">
        <v>2443</v>
      </c>
      <c r="E1113" s="2" t="s">
        <v>2512</v>
      </c>
      <c r="F1113" s="2" t="s">
        <v>2977</v>
      </c>
    </row>
    <row r="1114" ht="15.75" customHeight="1">
      <c r="B1114" s="19">
        <v>2.0220602E7</v>
      </c>
      <c r="C1114" s="2" t="s">
        <v>2845</v>
      </c>
      <c r="D1114" s="2" t="s">
        <v>2431</v>
      </c>
      <c r="E1114" s="2" t="s">
        <v>2903</v>
      </c>
      <c r="F1114" s="2" t="s">
        <v>2977</v>
      </c>
    </row>
    <row r="1115" ht="15.75" customHeight="1">
      <c r="B1115" s="19">
        <v>2.0220603E7</v>
      </c>
      <c r="C1115" s="2" t="s">
        <v>2886</v>
      </c>
      <c r="D1115" s="2" t="s">
        <v>2570</v>
      </c>
      <c r="E1115" s="2" t="s">
        <v>2496</v>
      </c>
      <c r="F1115" s="2" t="s">
        <v>2977</v>
      </c>
    </row>
    <row r="1116" ht="15.75" customHeight="1">
      <c r="B1116" s="19">
        <v>2.0220606E7</v>
      </c>
      <c r="C1116" s="2" t="s">
        <v>2561</v>
      </c>
      <c r="D1116" s="2" t="s">
        <v>2644</v>
      </c>
      <c r="E1116" s="2" t="s">
        <v>2555</v>
      </c>
      <c r="F1116" s="2" t="s">
        <v>2977</v>
      </c>
    </row>
    <row r="1117" ht="15.75" customHeight="1">
      <c r="B1117" s="19">
        <v>2.0220607E7</v>
      </c>
      <c r="C1117" s="2" t="s">
        <v>2721</v>
      </c>
      <c r="D1117" s="2" t="s">
        <v>2453</v>
      </c>
      <c r="E1117" s="2" t="s">
        <v>2508</v>
      </c>
      <c r="F1117" s="2" t="s">
        <v>2977</v>
      </c>
    </row>
    <row r="1118" ht="15.75" customHeight="1">
      <c r="B1118" s="19">
        <v>2.0220608E7</v>
      </c>
      <c r="C1118" s="2" t="s">
        <v>2457</v>
      </c>
      <c r="D1118" s="2" t="s">
        <v>2534</v>
      </c>
      <c r="E1118" s="2" t="s">
        <v>2538</v>
      </c>
      <c r="F1118" s="2" t="s">
        <v>2977</v>
      </c>
    </row>
    <row r="1119" ht="15.75" customHeight="1">
      <c r="B1119" s="19">
        <v>2.0220609E7</v>
      </c>
      <c r="C1119" s="2" t="s">
        <v>2854</v>
      </c>
      <c r="D1119" s="2" t="s">
        <v>2453</v>
      </c>
      <c r="E1119" s="2" t="s">
        <v>2505</v>
      </c>
      <c r="F1119" s="2" t="s">
        <v>2977</v>
      </c>
    </row>
    <row r="1120" ht="15.75" customHeight="1">
      <c r="B1120" s="19">
        <v>2.022061E7</v>
      </c>
      <c r="C1120" s="2" t="s">
        <v>2966</v>
      </c>
      <c r="D1120" s="2" t="s">
        <v>2483</v>
      </c>
      <c r="E1120" s="2" t="s">
        <v>2642</v>
      </c>
      <c r="F1120" s="2" t="s">
        <v>2977</v>
      </c>
    </row>
    <row r="1121" ht="15.75" customHeight="1">
      <c r="B1121" s="19">
        <v>2.0220613E7</v>
      </c>
      <c r="C1121" s="2" t="s">
        <v>2978</v>
      </c>
      <c r="D1121" s="2" t="s">
        <v>2722</v>
      </c>
      <c r="E1121" s="2" t="s">
        <v>2642</v>
      </c>
      <c r="F1121" s="2" t="s">
        <v>2977</v>
      </c>
    </row>
    <row r="1122" ht="15.75" customHeight="1">
      <c r="B1122" s="19">
        <v>2.0220614E7</v>
      </c>
      <c r="C1122" s="2" t="s">
        <v>2463</v>
      </c>
      <c r="D1122" s="2" t="s">
        <v>2497</v>
      </c>
      <c r="E1122" s="2" t="s">
        <v>2528</v>
      </c>
      <c r="F1122" s="2" t="s">
        <v>2977</v>
      </c>
    </row>
    <row r="1123" ht="15.75" customHeight="1">
      <c r="B1123" s="19">
        <v>2.0220615E7</v>
      </c>
      <c r="C1123" s="2" t="s">
        <v>2676</v>
      </c>
      <c r="D1123" s="2" t="s">
        <v>2533</v>
      </c>
      <c r="E1123" s="2" t="s">
        <v>2669</v>
      </c>
      <c r="F1123" s="2" t="s">
        <v>2977</v>
      </c>
    </row>
    <row r="1124" ht="15.75" customHeight="1">
      <c r="B1124" s="19">
        <v>2.0220616E7</v>
      </c>
      <c r="C1124" s="2" t="s">
        <v>2979</v>
      </c>
      <c r="D1124" s="2" t="s">
        <v>2767</v>
      </c>
      <c r="E1124" s="2" t="s">
        <v>2484</v>
      </c>
      <c r="F1124" s="2" t="s">
        <v>2977</v>
      </c>
    </row>
    <row r="1125" ht="15.75" customHeight="1">
      <c r="B1125" s="19">
        <v>2.0220617E7</v>
      </c>
      <c r="C1125" s="2" t="s">
        <v>2535</v>
      </c>
      <c r="D1125" s="2" t="s">
        <v>2475</v>
      </c>
      <c r="E1125" s="2" t="s">
        <v>2980</v>
      </c>
      <c r="F1125" s="2" t="s">
        <v>2977</v>
      </c>
    </row>
    <row r="1126" ht="15.75" customHeight="1">
      <c r="B1126" s="19">
        <v>2.0220621E7</v>
      </c>
      <c r="C1126" s="2" t="s">
        <v>2791</v>
      </c>
      <c r="D1126" s="2" t="s">
        <v>2601</v>
      </c>
      <c r="E1126" s="2" t="s">
        <v>2440</v>
      </c>
      <c r="F1126" s="2" t="s">
        <v>2977</v>
      </c>
    </row>
    <row r="1127" ht="15.75" customHeight="1">
      <c r="B1127" s="19">
        <v>2.0220622E7</v>
      </c>
      <c r="C1127" s="2" t="s">
        <v>2437</v>
      </c>
      <c r="D1127" s="2" t="s">
        <v>2443</v>
      </c>
      <c r="E1127" s="2" t="s">
        <v>2981</v>
      </c>
      <c r="F1127" s="2" t="s">
        <v>2977</v>
      </c>
    </row>
    <row r="1128" ht="15.75" customHeight="1">
      <c r="B1128" s="19">
        <v>2.0220623E7</v>
      </c>
      <c r="C1128" s="2" t="s">
        <v>2689</v>
      </c>
      <c r="D1128" s="2" t="s">
        <v>2752</v>
      </c>
      <c r="E1128" s="2" t="s">
        <v>2982</v>
      </c>
      <c r="F1128" s="2" t="s">
        <v>2977</v>
      </c>
    </row>
    <row r="1129" ht="15.75" customHeight="1">
      <c r="B1129" s="19">
        <v>2.0220624E7</v>
      </c>
      <c r="C1129" s="2" t="s">
        <v>2983</v>
      </c>
      <c r="D1129" s="2" t="s">
        <v>2571</v>
      </c>
      <c r="E1129" s="2" t="s">
        <v>2447</v>
      </c>
      <c r="F1129" s="2" t="s">
        <v>2977</v>
      </c>
    </row>
    <row r="1130" ht="15.75" customHeight="1">
      <c r="B1130" s="19">
        <v>2.0220627E7</v>
      </c>
      <c r="C1130" s="2" t="s">
        <v>2678</v>
      </c>
      <c r="D1130" s="2" t="s">
        <v>2645</v>
      </c>
      <c r="E1130" s="2" t="s">
        <v>2560</v>
      </c>
      <c r="F1130" s="2" t="s">
        <v>2977</v>
      </c>
    </row>
    <row r="1131" ht="15.75" customHeight="1">
      <c r="B1131" s="19">
        <v>2.0220628E7</v>
      </c>
      <c r="C1131" s="2" t="s">
        <v>2950</v>
      </c>
      <c r="D1131" s="2" t="s">
        <v>2442</v>
      </c>
      <c r="E1131" s="2" t="s">
        <v>2984</v>
      </c>
      <c r="F1131" s="2" t="s">
        <v>2977</v>
      </c>
    </row>
    <row r="1132" ht="15.75" customHeight="1">
      <c r="B1132" s="19">
        <v>2.0220629E7</v>
      </c>
      <c r="C1132" s="2" t="s">
        <v>2593</v>
      </c>
      <c r="D1132" s="2" t="s">
        <v>2612</v>
      </c>
      <c r="E1132" s="2" t="s">
        <v>2584</v>
      </c>
      <c r="F1132" s="2" t="s">
        <v>2977</v>
      </c>
    </row>
    <row r="1133" ht="15.75" customHeight="1">
      <c r="B1133" s="19">
        <v>2.022063E7</v>
      </c>
      <c r="C1133" s="2" t="s">
        <v>2729</v>
      </c>
      <c r="D1133" s="2" t="s">
        <v>2544</v>
      </c>
      <c r="E1133" s="2" t="s">
        <v>2444</v>
      </c>
      <c r="F1133" s="2" t="s">
        <v>2977</v>
      </c>
    </row>
    <row r="1134" ht="15.75" customHeight="1">
      <c r="B1134" s="19">
        <v>2.0220701E7</v>
      </c>
      <c r="C1134" s="2" t="s">
        <v>2452</v>
      </c>
      <c r="D1134" s="2" t="s">
        <v>2576</v>
      </c>
      <c r="E1134" s="2" t="s">
        <v>2586</v>
      </c>
      <c r="F1134" s="2" t="s">
        <v>2985</v>
      </c>
    </row>
    <row r="1135" ht="15.75" customHeight="1">
      <c r="B1135" s="19">
        <v>2.0220705E7</v>
      </c>
      <c r="C1135" s="2" t="s">
        <v>2506</v>
      </c>
      <c r="D1135" s="2" t="s">
        <v>2929</v>
      </c>
      <c r="E1135" s="2" t="s">
        <v>2986</v>
      </c>
      <c r="F1135" s="2" t="s">
        <v>2985</v>
      </c>
    </row>
    <row r="1136" ht="15.75" customHeight="1">
      <c r="B1136" s="19">
        <v>2.0220706E7</v>
      </c>
      <c r="C1136" s="2" t="s">
        <v>2611</v>
      </c>
      <c r="D1136" s="2" t="s">
        <v>2482</v>
      </c>
      <c r="E1136" s="2" t="s">
        <v>2758</v>
      </c>
      <c r="F1136" s="2" t="s">
        <v>2985</v>
      </c>
    </row>
    <row r="1137" ht="15.75" customHeight="1">
      <c r="B1137" s="19">
        <v>2.0220707E7</v>
      </c>
      <c r="C1137" s="2" t="s">
        <v>2566</v>
      </c>
      <c r="D1137" s="2" t="s">
        <v>2701</v>
      </c>
      <c r="E1137" s="2" t="s">
        <v>2692</v>
      </c>
      <c r="F1137" s="2" t="s">
        <v>2985</v>
      </c>
    </row>
    <row r="1138" ht="15.75" customHeight="1">
      <c r="B1138" s="19">
        <v>2.0220708E7</v>
      </c>
      <c r="C1138" s="2" t="s">
        <v>2448</v>
      </c>
      <c r="D1138" s="2" t="s">
        <v>2483</v>
      </c>
      <c r="E1138" s="2" t="s">
        <v>2448</v>
      </c>
      <c r="F1138" s="2" t="s">
        <v>2985</v>
      </c>
    </row>
    <row r="1139" ht="15.75" customHeight="1">
      <c r="B1139" s="19">
        <v>2.0220711E7</v>
      </c>
      <c r="C1139" s="2" t="s">
        <v>2987</v>
      </c>
      <c r="D1139" s="2" t="s">
        <v>2750</v>
      </c>
      <c r="E1139" s="2" t="s">
        <v>2806</v>
      </c>
      <c r="F1139" s="2" t="s">
        <v>2985</v>
      </c>
    </row>
    <row r="1140" ht="15.75" customHeight="1">
      <c r="B1140" s="19">
        <v>2.0220712E7</v>
      </c>
      <c r="C1140" s="2" t="s">
        <v>2661</v>
      </c>
      <c r="D1140" s="2" t="s">
        <v>2619</v>
      </c>
      <c r="E1140" s="2" t="s">
        <v>2549</v>
      </c>
      <c r="F1140" s="2" t="s">
        <v>2985</v>
      </c>
    </row>
    <row r="1141" ht="15.75" customHeight="1">
      <c r="B1141" s="19">
        <v>2.0220713E7</v>
      </c>
      <c r="C1141" s="2" t="s">
        <v>2436</v>
      </c>
      <c r="D1141" s="2" t="s">
        <v>2547</v>
      </c>
      <c r="E1141" s="2" t="s">
        <v>2495</v>
      </c>
      <c r="F1141" s="2" t="s">
        <v>2985</v>
      </c>
    </row>
    <row r="1142" ht="15.75" customHeight="1">
      <c r="B1142" s="19">
        <v>2.0220714E7</v>
      </c>
      <c r="C1142" s="2" t="s">
        <v>2514</v>
      </c>
      <c r="D1142" s="2" t="s">
        <v>2439</v>
      </c>
      <c r="E1142" s="2" t="s">
        <v>2618</v>
      </c>
      <c r="F1142" s="2" t="s">
        <v>2985</v>
      </c>
    </row>
    <row r="1143" ht="15.75" customHeight="1">
      <c r="B1143" s="19">
        <v>2.0220715E7</v>
      </c>
      <c r="C1143" s="2" t="s">
        <v>2988</v>
      </c>
      <c r="D1143" s="2" t="s">
        <v>2545</v>
      </c>
      <c r="E1143" s="2" t="s">
        <v>2562</v>
      </c>
      <c r="F1143" s="2" t="s">
        <v>2985</v>
      </c>
    </row>
    <row r="1144" ht="15.75" customHeight="1">
      <c r="B1144" s="19">
        <v>2.0220718E7</v>
      </c>
      <c r="C1144" s="2" t="s">
        <v>2646</v>
      </c>
      <c r="D1144" s="2" t="s">
        <v>2497</v>
      </c>
      <c r="E1144" s="2" t="s">
        <v>2585</v>
      </c>
      <c r="F1144" s="2" t="s">
        <v>2985</v>
      </c>
    </row>
    <row r="1145" ht="15.75" customHeight="1">
      <c r="B1145" s="19">
        <v>2.0220719E7</v>
      </c>
      <c r="C1145" s="2" t="s">
        <v>2959</v>
      </c>
      <c r="D1145" s="2" t="s">
        <v>2599</v>
      </c>
      <c r="E1145" s="2" t="s">
        <v>2723</v>
      </c>
      <c r="F1145" s="2" t="s">
        <v>2985</v>
      </c>
    </row>
    <row r="1146" ht="15.75" customHeight="1">
      <c r="B1146" s="19">
        <v>2.022072E7</v>
      </c>
      <c r="C1146" s="2" t="s">
        <v>2594</v>
      </c>
      <c r="D1146" s="2" t="s">
        <v>2910</v>
      </c>
      <c r="E1146" s="2" t="s">
        <v>2743</v>
      </c>
      <c r="F1146" s="2" t="s">
        <v>2985</v>
      </c>
    </row>
    <row r="1147" ht="15.75" customHeight="1">
      <c r="B1147" s="19">
        <v>2.0220721E7</v>
      </c>
      <c r="C1147" s="2" t="s">
        <v>2724</v>
      </c>
      <c r="D1147" s="2" t="s">
        <v>2445</v>
      </c>
      <c r="E1147" s="2" t="s">
        <v>2871</v>
      </c>
      <c r="F1147" s="2" t="s">
        <v>2985</v>
      </c>
    </row>
    <row r="1148" ht="15.75" customHeight="1">
      <c r="B1148" s="19">
        <v>2.0220722E7</v>
      </c>
      <c r="C1148" s="2" t="s">
        <v>2521</v>
      </c>
      <c r="D1148" s="2" t="s">
        <v>2686</v>
      </c>
      <c r="E1148" s="2" t="s">
        <v>2660</v>
      </c>
      <c r="F1148" s="2" t="s">
        <v>2985</v>
      </c>
    </row>
    <row r="1149" ht="15.75" customHeight="1">
      <c r="B1149" s="19">
        <v>2.0220725E7</v>
      </c>
      <c r="C1149" s="2" t="s">
        <v>2483</v>
      </c>
      <c r="D1149" s="2" t="s">
        <v>2454</v>
      </c>
      <c r="E1149" s="2" t="s">
        <v>2924</v>
      </c>
      <c r="F1149" s="2" t="s">
        <v>2985</v>
      </c>
    </row>
    <row r="1150" ht="15.75" customHeight="1">
      <c r="B1150" s="19">
        <v>2.0220726E7</v>
      </c>
      <c r="C1150" s="2" t="s">
        <v>2743</v>
      </c>
      <c r="D1150" s="2" t="s">
        <v>2640</v>
      </c>
      <c r="E1150" s="2" t="s">
        <v>2526</v>
      </c>
      <c r="F1150" s="2" t="s">
        <v>2985</v>
      </c>
    </row>
    <row r="1151" ht="15.75" customHeight="1">
      <c r="B1151" s="19">
        <v>2.0220727E7</v>
      </c>
      <c r="C1151" s="2" t="s">
        <v>2812</v>
      </c>
      <c r="D1151" s="2" t="s">
        <v>2506</v>
      </c>
      <c r="E1151" s="2" t="s">
        <v>2790</v>
      </c>
      <c r="F1151" s="2" t="s">
        <v>2985</v>
      </c>
    </row>
    <row r="1152" ht="15.75" customHeight="1">
      <c r="B1152" s="19">
        <v>2.0220728E7</v>
      </c>
      <c r="C1152" s="2" t="s">
        <v>2720</v>
      </c>
      <c r="D1152" s="2" t="s">
        <v>2449</v>
      </c>
      <c r="E1152" s="2" t="s">
        <v>2740</v>
      </c>
      <c r="F1152" s="2" t="s">
        <v>2985</v>
      </c>
    </row>
    <row r="1153" ht="15.75" customHeight="1">
      <c r="B1153" s="19">
        <v>2.0220729E7</v>
      </c>
      <c r="C1153" s="2" t="s">
        <v>2816</v>
      </c>
      <c r="D1153" s="2" t="s">
        <v>2748</v>
      </c>
      <c r="E1153" s="2" t="s">
        <v>2547</v>
      </c>
      <c r="F1153" s="2" t="s">
        <v>2985</v>
      </c>
    </row>
    <row r="1154" ht="15.75" customHeight="1">
      <c r="B1154" s="19">
        <v>2.0220801E7</v>
      </c>
      <c r="C1154" s="2" t="s">
        <v>2518</v>
      </c>
      <c r="D1154" s="2" t="s">
        <v>2561</v>
      </c>
      <c r="E1154" s="2" t="s">
        <v>2439</v>
      </c>
      <c r="F1154" s="2" t="s">
        <v>2624</v>
      </c>
    </row>
    <row r="1155" ht="15.75" customHeight="1">
      <c r="B1155" s="19">
        <v>2.0220802E7</v>
      </c>
      <c r="C1155" s="2" t="s">
        <v>2456</v>
      </c>
      <c r="D1155" s="2" t="s">
        <v>2615</v>
      </c>
      <c r="E1155" s="2" t="s">
        <v>2769</v>
      </c>
      <c r="F1155" s="2" t="s">
        <v>2624</v>
      </c>
    </row>
    <row r="1156" ht="15.75" customHeight="1">
      <c r="B1156" s="19">
        <v>2.0220803E7</v>
      </c>
      <c r="C1156" s="2" t="s">
        <v>2493</v>
      </c>
      <c r="D1156" s="2" t="s">
        <v>2465</v>
      </c>
      <c r="E1156" s="2" t="s">
        <v>2846</v>
      </c>
      <c r="F1156" s="2" t="s">
        <v>2624</v>
      </c>
    </row>
    <row r="1157" ht="15.75" customHeight="1">
      <c r="B1157" s="19">
        <v>2.0220804E7</v>
      </c>
      <c r="C1157" s="2" t="s">
        <v>2545</v>
      </c>
      <c r="D1157" s="2" t="s">
        <v>2499</v>
      </c>
      <c r="E1157" s="2" t="s">
        <v>2802</v>
      </c>
      <c r="F1157" s="2" t="s">
        <v>2624</v>
      </c>
    </row>
    <row r="1158" ht="15.75" customHeight="1">
      <c r="B1158" s="19">
        <v>2.0220805E7</v>
      </c>
      <c r="C1158" s="2" t="s">
        <v>2582</v>
      </c>
      <c r="D1158" s="2" t="s">
        <v>2594</v>
      </c>
      <c r="E1158" s="2" t="s">
        <v>2545</v>
      </c>
      <c r="F1158" s="2" t="s">
        <v>2624</v>
      </c>
    </row>
    <row r="1159" ht="15.75" customHeight="1">
      <c r="B1159" s="19">
        <v>2.0220808E7</v>
      </c>
      <c r="C1159" s="2" t="s">
        <v>2621</v>
      </c>
      <c r="D1159" s="2" t="s">
        <v>2464</v>
      </c>
      <c r="E1159" s="2" t="s">
        <v>2536</v>
      </c>
      <c r="F1159" s="2" t="s">
        <v>2624</v>
      </c>
    </row>
    <row r="1160" ht="15.75" customHeight="1">
      <c r="B1160" s="19">
        <v>2.0220809E7</v>
      </c>
      <c r="C1160" s="2" t="s">
        <v>2553</v>
      </c>
      <c r="D1160" s="2" t="s">
        <v>2989</v>
      </c>
      <c r="E1160" s="2" t="s">
        <v>2677</v>
      </c>
      <c r="F1160" s="2" t="s">
        <v>2624</v>
      </c>
    </row>
    <row r="1161" ht="15.75" customHeight="1">
      <c r="B1161" s="19">
        <v>2.022081E7</v>
      </c>
      <c r="C1161" s="2" t="s">
        <v>2984</v>
      </c>
      <c r="D1161" s="2" t="s">
        <v>2746</v>
      </c>
      <c r="E1161" s="2" t="s">
        <v>2871</v>
      </c>
      <c r="F1161" s="2" t="s">
        <v>2624</v>
      </c>
    </row>
    <row r="1162" ht="15.75" customHeight="1">
      <c r="B1162" s="19">
        <v>2.0220811E7</v>
      </c>
      <c r="C1162" s="2" t="s">
        <v>2448</v>
      </c>
      <c r="D1162" s="2" t="s">
        <v>2503</v>
      </c>
      <c r="E1162" s="2" t="s">
        <v>2873</v>
      </c>
      <c r="F1162" s="2" t="s">
        <v>2624</v>
      </c>
    </row>
    <row r="1163" ht="15.75" customHeight="1">
      <c r="B1163" s="19">
        <v>2.0220812E7</v>
      </c>
      <c r="C1163" s="2" t="s">
        <v>2907</v>
      </c>
      <c r="D1163" s="2" t="s">
        <v>2642</v>
      </c>
      <c r="E1163" s="2" t="s">
        <v>2482</v>
      </c>
      <c r="F1163" s="2" t="s">
        <v>2624</v>
      </c>
    </row>
    <row r="1164" ht="15.75" customHeight="1">
      <c r="B1164" s="19">
        <v>2.0220815E7</v>
      </c>
      <c r="C1164" s="2" t="s">
        <v>2654</v>
      </c>
      <c r="D1164" s="2" t="s">
        <v>2469</v>
      </c>
      <c r="E1164" s="2" t="s">
        <v>2509</v>
      </c>
      <c r="F1164" s="2" t="s">
        <v>2624</v>
      </c>
    </row>
    <row r="1165" ht="15.75" customHeight="1">
      <c r="B1165" s="19">
        <v>2.0220816E7</v>
      </c>
      <c r="C1165" s="2" t="s">
        <v>2443</v>
      </c>
      <c r="D1165" s="2" t="s">
        <v>2442</v>
      </c>
      <c r="E1165" s="2" t="s">
        <v>2524</v>
      </c>
      <c r="F1165" s="2" t="s">
        <v>2624</v>
      </c>
    </row>
    <row r="1166" ht="15.75" customHeight="1">
      <c r="B1166" s="19">
        <v>2.0220817E7</v>
      </c>
      <c r="C1166" s="2" t="s">
        <v>2652</v>
      </c>
      <c r="D1166" s="2" t="s">
        <v>2767</v>
      </c>
      <c r="E1166" s="2" t="s">
        <v>2732</v>
      </c>
      <c r="F1166" s="2" t="s">
        <v>2624</v>
      </c>
    </row>
    <row r="1167" ht="15.75" customHeight="1">
      <c r="B1167" s="19">
        <v>2.0220818E7</v>
      </c>
      <c r="C1167" s="2" t="s">
        <v>2617</v>
      </c>
      <c r="D1167" s="2" t="s">
        <v>2443</v>
      </c>
      <c r="E1167" s="2" t="s">
        <v>2562</v>
      </c>
      <c r="F1167" s="2" t="s">
        <v>2624</v>
      </c>
    </row>
    <row r="1168" ht="15.75" customHeight="1">
      <c r="B1168" s="19">
        <v>2.0220819E7</v>
      </c>
      <c r="C1168" s="2" t="s">
        <v>2836</v>
      </c>
      <c r="D1168" s="2" t="s">
        <v>2688</v>
      </c>
      <c r="E1168" s="2" t="s">
        <v>2724</v>
      </c>
      <c r="F1168" s="2" t="s">
        <v>2624</v>
      </c>
    </row>
    <row r="1169" ht="15.75" customHeight="1">
      <c r="B1169" s="19">
        <v>2.0220822E7</v>
      </c>
      <c r="C1169" s="2" t="s">
        <v>2990</v>
      </c>
      <c r="D1169" s="2" t="s">
        <v>2616</v>
      </c>
      <c r="E1169" s="2" t="s">
        <v>2654</v>
      </c>
      <c r="F1169" s="2" t="s">
        <v>2624</v>
      </c>
    </row>
    <row r="1170" ht="15.75" customHeight="1">
      <c r="B1170" s="19">
        <v>2.0220823E7</v>
      </c>
      <c r="C1170" s="2" t="s">
        <v>2609</v>
      </c>
      <c r="D1170" s="2" t="s">
        <v>2484</v>
      </c>
      <c r="E1170" s="2" t="s">
        <v>2540</v>
      </c>
      <c r="F1170" s="2" t="s">
        <v>2624</v>
      </c>
    </row>
    <row r="1171" ht="15.75" customHeight="1">
      <c r="B1171" s="19">
        <v>2.0220824E7</v>
      </c>
      <c r="C1171" s="2" t="s">
        <v>2567</v>
      </c>
      <c r="D1171" s="2" t="s">
        <v>2555</v>
      </c>
      <c r="E1171" s="2" t="s">
        <v>2478</v>
      </c>
      <c r="F1171" s="2" t="s">
        <v>2624</v>
      </c>
    </row>
    <row r="1172" ht="15.75" customHeight="1">
      <c r="B1172" s="19">
        <v>2.0220825E7</v>
      </c>
      <c r="C1172" s="2" t="s">
        <v>2939</v>
      </c>
      <c r="D1172" s="2" t="s">
        <v>2611</v>
      </c>
      <c r="E1172" s="2" t="s">
        <v>2644</v>
      </c>
      <c r="F1172" s="2" t="s">
        <v>2624</v>
      </c>
    </row>
    <row r="1173" ht="15.75" customHeight="1">
      <c r="B1173" s="19">
        <v>2.0220826E7</v>
      </c>
      <c r="C1173" s="2" t="s">
        <v>2768</v>
      </c>
      <c r="D1173" s="2" t="s">
        <v>2595</v>
      </c>
      <c r="E1173" s="2" t="s">
        <v>2924</v>
      </c>
      <c r="F1173" s="2" t="s">
        <v>2624</v>
      </c>
    </row>
    <row r="1174" ht="15.75" customHeight="1">
      <c r="B1174" s="19">
        <v>2.0220829E7</v>
      </c>
      <c r="C1174" s="2" t="s">
        <v>2758</v>
      </c>
      <c r="D1174" s="2" t="s">
        <v>2539</v>
      </c>
      <c r="E1174" s="2" t="s">
        <v>2712</v>
      </c>
      <c r="F1174" s="2" t="s">
        <v>2624</v>
      </c>
    </row>
    <row r="1175" ht="15.75" customHeight="1">
      <c r="B1175" s="19">
        <v>2.022083E7</v>
      </c>
      <c r="C1175" s="2" t="s">
        <v>2519</v>
      </c>
      <c r="D1175" s="2" t="s">
        <v>2503</v>
      </c>
      <c r="E1175" s="2" t="s">
        <v>2503</v>
      </c>
      <c r="F1175" s="2" t="s">
        <v>2624</v>
      </c>
    </row>
    <row r="1176" ht="15.75" customHeight="1">
      <c r="B1176" s="19">
        <v>2.0220831E7</v>
      </c>
      <c r="C1176" s="2" t="s">
        <v>2482</v>
      </c>
      <c r="D1176" s="2" t="s">
        <v>2533</v>
      </c>
      <c r="E1176" s="2" t="s">
        <v>2529</v>
      </c>
      <c r="F1176" s="2" t="s">
        <v>2624</v>
      </c>
    </row>
    <row r="1177" ht="15.75" customHeight="1">
      <c r="B1177" s="19">
        <v>2.0220901E7</v>
      </c>
      <c r="C1177" s="2" t="s">
        <v>2644</v>
      </c>
      <c r="D1177" s="2" t="s">
        <v>2519</v>
      </c>
      <c r="E1177" s="2" t="s">
        <v>2489</v>
      </c>
      <c r="F1177" s="2" t="s">
        <v>2714</v>
      </c>
    </row>
    <row r="1178" ht="15.75" customHeight="1">
      <c r="B1178" s="19">
        <v>2.0220902E7</v>
      </c>
      <c r="C1178" s="2" t="s">
        <v>2734</v>
      </c>
      <c r="D1178" s="2" t="s">
        <v>2448</v>
      </c>
      <c r="E1178" s="2" t="s">
        <v>2526</v>
      </c>
      <c r="F1178" s="2" t="s">
        <v>2714</v>
      </c>
    </row>
    <row r="1179" ht="15.75" customHeight="1">
      <c r="B1179" s="19">
        <v>2.0220906E7</v>
      </c>
      <c r="C1179" s="2" t="s">
        <v>2477</v>
      </c>
      <c r="D1179" s="2" t="s">
        <v>2529</v>
      </c>
      <c r="E1179" s="2" t="s">
        <v>2477</v>
      </c>
      <c r="F1179" s="2" t="s">
        <v>2714</v>
      </c>
    </row>
    <row r="1180" ht="15.75" customHeight="1">
      <c r="B1180" s="19">
        <v>2.0220907E7</v>
      </c>
      <c r="C1180" s="2" t="s">
        <v>2792</v>
      </c>
      <c r="D1180" s="2" t="s">
        <v>2527</v>
      </c>
      <c r="E1180" s="2" t="s">
        <v>2708</v>
      </c>
      <c r="F1180" s="2" t="s">
        <v>2714</v>
      </c>
    </row>
    <row r="1181" ht="15.75" customHeight="1">
      <c r="B1181" s="19">
        <v>2.0220908E7</v>
      </c>
      <c r="C1181" s="2" t="s">
        <v>2491</v>
      </c>
      <c r="D1181" s="2" t="s">
        <v>2536</v>
      </c>
      <c r="E1181" s="2" t="s">
        <v>2593</v>
      </c>
      <c r="F1181" s="2" t="s">
        <v>2714</v>
      </c>
    </row>
    <row r="1182" ht="15.75" customHeight="1">
      <c r="B1182" s="19">
        <v>2.0220909E7</v>
      </c>
      <c r="C1182" s="2" t="s">
        <v>2493</v>
      </c>
      <c r="D1182" s="2" t="s">
        <v>2500</v>
      </c>
      <c r="E1182" s="2" t="s">
        <v>2494</v>
      </c>
      <c r="F1182" s="2" t="s">
        <v>2714</v>
      </c>
    </row>
    <row r="1183" ht="15.75" customHeight="1">
      <c r="B1183" s="19">
        <v>2.0220912E7</v>
      </c>
      <c r="C1183" s="2" t="s">
        <v>2794</v>
      </c>
      <c r="D1183" s="2" t="s">
        <v>2617</v>
      </c>
      <c r="E1183" s="2" t="s">
        <v>2616</v>
      </c>
      <c r="F1183" s="2" t="s">
        <v>2714</v>
      </c>
    </row>
    <row r="1184" ht="15.75" customHeight="1">
      <c r="B1184" s="19">
        <v>2.0220913E7</v>
      </c>
      <c r="C1184" s="2" t="s">
        <v>2991</v>
      </c>
      <c r="D1184" s="2" t="s">
        <v>2518</v>
      </c>
      <c r="E1184" s="2" t="s">
        <v>2816</v>
      </c>
      <c r="F1184" s="2" t="s">
        <v>2714</v>
      </c>
    </row>
    <row r="1185" ht="15.75" customHeight="1">
      <c r="B1185" s="19">
        <v>2.0220914E7</v>
      </c>
      <c r="C1185" s="2" t="s">
        <v>2473</v>
      </c>
      <c r="D1185" s="2" t="s">
        <v>2447</v>
      </c>
      <c r="E1185" s="2" t="s">
        <v>2678</v>
      </c>
      <c r="F1185" s="2" t="s">
        <v>2714</v>
      </c>
    </row>
    <row r="1186" ht="15.75" customHeight="1">
      <c r="B1186" s="19">
        <v>2.0220915E7</v>
      </c>
      <c r="C1186" s="2" t="s">
        <v>2863</v>
      </c>
      <c r="D1186" s="2" t="s">
        <v>2650</v>
      </c>
      <c r="E1186" s="2" t="s">
        <v>2486</v>
      </c>
      <c r="F1186" s="2" t="s">
        <v>2714</v>
      </c>
    </row>
    <row r="1187" ht="15.75" customHeight="1">
      <c r="B1187" s="19">
        <v>2.0220916E7</v>
      </c>
      <c r="C1187" s="2" t="s">
        <v>2651</v>
      </c>
      <c r="D1187" s="2" t="s">
        <v>2472</v>
      </c>
      <c r="E1187" s="2" t="s">
        <v>2431</v>
      </c>
      <c r="F1187" s="2" t="s">
        <v>2714</v>
      </c>
    </row>
    <row r="1188" ht="15.75" customHeight="1">
      <c r="B1188" s="19">
        <v>2.0220919E7</v>
      </c>
      <c r="C1188" s="2" t="s">
        <v>2600</v>
      </c>
      <c r="D1188" s="2" t="s">
        <v>2467</v>
      </c>
      <c r="E1188" s="2" t="s">
        <v>2596</v>
      </c>
      <c r="F1188" s="2" t="s">
        <v>2714</v>
      </c>
    </row>
    <row r="1189" ht="15.75" customHeight="1">
      <c r="B1189" s="19">
        <v>2.022092E7</v>
      </c>
      <c r="C1189" s="2" t="s">
        <v>2688</v>
      </c>
      <c r="D1189" s="2" t="s">
        <v>2593</v>
      </c>
      <c r="E1189" s="2" t="s">
        <v>2580</v>
      </c>
      <c r="F1189" s="2" t="s">
        <v>2714</v>
      </c>
    </row>
    <row r="1190" ht="15.75" customHeight="1">
      <c r="B1190" s="19">
        <v>2.0220921E7</v>
      </c>
      <c r="C1190" s="2" t="s">
        <v>2926</v>
      </c>
      <c r="D1190" s="2" t="s">
        <v>2510</v>
      </c>
      <c r="E1190" s="2" t="s">
        <v>2485</v>
      </c>
      <c r="F1190" s="2" t="s">
        <v>2714</v>
      </c>
    </row>
    <row r="1191" ht="15.75" customHeight="1">
      <c r="B1191" s="19">
        <v>2.0220922E7</v>
      </c>
      <c r="C1191" s="2" t="s">
        <v>2628</v>
      </c>
      <c r="D1191" s="2" t="s">
        <v>2830</v>
      </c>
      <c r="E1191" s="2" t="s">
        <v>2438</v>
      </c>
      <c r="F1191" s="2" t="s">
        <v>2714</v>
      </c>
    </row>
    <row r="1192" ht="15.75" customHeight="1">
      <c r="B1192" s="19">
        <v>2.0220923E7</v>
      </c>
      <c r="C1192" s="2" t="s">
        <v>2684</v>
      </c>
      <c r="D1192" s="2" t="s">
        <v>2463</v>
      </c>
      <c r="E1192" s="2" t="s">
        <v>2590</v>
      </c>
      <c r="F1192" s="2" t="s">
        <v>2714</v>
      </c>
    </row>
    <row r="1193" ht="15.75" customHeight="1">
      <c r="B1193" s="19">
        <v>2.0220926E7</v>
      </c>
      <c r="C1193" s="2" t="s">
        <v>2457</v>
      </c>
      <c r="D1193" s="2" t="s">
        <v>2611</v>
      </c>
      <c r="E1193" s="2" t="s">
        <v>2707</v>
      </c>
      <c r="F1193" s="2" t="s">
        <v>2714</v>
      </c>
    </row>
    <row r="1194" ht="15.75" customHeight="1">
      <c r="B1194" s="19">
        <v>2.0220927E7</v>
      </c>
      <c r="C1194" s="2" t="s">
        <v>2582</v>
      </c>
      <c r="D1194" s="2" t="s">
        <v>2634</v>
      </c>
      <c r="E1194" s="2" t="s">
        <v>2652</v>
      </c>
      <c r="F1194" s="2" t="s">
        <v>2714</v>
      </c>
    </row>
    <row r="1195" ht="15.75" customHeight="1">
      <c r="B1195" s="19">
        <v>2.0220928E7</v>
      </c>
      <c r="C1195" s="2" t="s">
        <v>2961</v>
      </c>
      <c r="D1195" s="2" t="s">
        <v>2641</v>
      </c>
      <c r="E1195" s="2" t="s">
        <v>2587</v>
      </c>
      <c r="F1195" s="2" t="s">
        <v>2714</v>
      </c>
    </row>
    <row r="1196" ht="15.75" customHeight="1">
      <c r="B1196" s="19">
        <v>2.0220929E7</v>
      </c>
      <c r="C1196" s="2" t="s">
        <v>2699</v>
      </c>
      <c r="D1196" s="2" t="s">
        <v>2502</v>
      </c>
      <c r="E1196" s="2" t="s">
        <v>2451</v>
      </c>
      <c r="F1196" s="2" t="s">
        <v>2714</v>
      </c>
    </row>
    <row r="1197" ht="15.75" customHeight="1">
      <c r="B1197" s="19">
        <v>2.022093E7</v>
      </c>
      <c r="C1197" s="2" t="s">
        <v>2954</v>
      </c>
      <c r="D1197" s="2" t="s">
        <v>2549</v>
      </c>
      <c r="E1197" s="2" t="s">
        <v>2617</v>
      </c>
      <c r="F1197" s="2" t="s">
        <v>2714</v>
      </c>
    </row>
    <row r="1198" ht="15.75" customHeight="1">
      <c r="B1198" s="19">
        <v>2.0221003E7</v>
      </c>
      <c r="C1198" s="2" t="s">
        <v>2992</v>
      </c>
      <c r="D1198" s="2" t="s">
        <v>2630</v>
      </c>
      <c r="E1198" s="2" t="s">
        <v>2664</v>
      </c>
      <c r="F1198" s="2" t="s">
        <v>2690</v>
      </c>
    </row>
    <row r="1199" ht="15.75" customHeight="1">
      <c r="B1199" s="19">
        <v>2.0221004E7</v>
      </c>
      <c r="C1199" s="2" t="s">
        <v>2993</v>
      </c>
      <c r="D1199" s="2" t="s">
        <v>2719</v>
      </c>
      <c r="E1199" s="2" t="s">
        <v>2448</v>
      </c>
      <c r="F1199" s="2" t="s">
        <v>2690</v>
      </c>
    </row>
    <row r="1200" ht="15.75" customHeight="1">
      <c r="B1200" s="19">
        <v>2.0221005E7</v>
      </c>
      <c r="C1200" s="2" t="s">
        <v>2433</v>
      </c>
      <c r="D1200" s="2" t="s">
        <v>2442</v>
      </c>
      <c r="E1200" s="2" t="s">
        <v>2580</v>
      </c>
      <c r="F1200" s="2" t="s">
        <v>2690</v>
      </c>
    </row>
    <row r="1201" ht="15.75" customHeight="1">
      <c r="B1201" s="19">
        <v>2.0221006E7</v>
      </c>
      <c r="C1201" s="2" t="s">
        <v>2679</v>
      </c>
      <c r="D1201" s="2" t="s">
        <v>2496</v>
      </c>
      <c r="E1201" s="2" t="s">
        <v>2528</v>
      </c>
      <c r="F1201" s="2" t="s">
        <v>2690</v>
      </c>
    </row>
    <row r="1202" ht="15.75" customHeight="1">
      <c r="B1202" s="19">
        <v>2.0221007E7</v>
      </c>
      <c r="C1202" s="2" t="s">
        <v>2825</v>
      </c>
      <c r="D1202" s="2" t="s">
        <v>2509</v>
      </c>
      <c r="E1202" s="2" t="s">
        <v>2924</v>
      </c>
      <c r="F1202" s="2" t="s">
        <v>2690</v>
      </c>
    </row>
    <row r="1203" ht="15.75" customHeight="1">
      <c r="B1203" s="19">
        <v>2.022101E7</v>
      </c>
      <c r="C1203" s="2" t="s">
        <v>2579</v>
      </c>
      <c r="D1203" s="2" t="s">
        <v>2488</v>
      </c>
      <c r="E1203" s="2" t="s">
        <v>2719</v>
      </c>
      <c r="F1203" s="2" t="s">
        <v>2690</v>
      </c>
    </row>
    <row r="1204" ht="15.75" customHeight="1">
      <c r="B1204" s="19">
        <v>2.0221011E7</v>
      </c>
      <c r="C1204" s="2" t="s">
        <v>2604</v>
      </c>
      <c r="D1204" s="2" t="s">
        <v>2631</v>
      </c>
      <c r="E1204" s="2" t="s">
        <v>2540</v>
      </c>
      <c r="F1204" s="2" t="s">
        <v>2690</v>
      </c>
    </row>
    <row r="1205" ht="15.75" customHeight="1">
      <c r="B1205" s="19">
        <v>2.0221012E7</v>
      </c>
      <c r="C1205" s="2" t="s">
        <v>2630</v>
      </c>
      <c r="D1205" s="2" t="s">
        <v>2485</v>
      </c>
      <c r="E1205" s="2" t="s">
        <v>2576</v>
      </c>
      <c r="F1205" s="2" t="s">
        <v>2690</v>
      </c>
    </row>
    <row r="1206" ht="15.75" customHeight="1">
      <c r="B1206" s="19">
        <v>2.0221013E7</v>
      </c>
      <c r="C1206" s="2" t="s">
        <v>2994</v>
      </c>
      <c r="D1206" s="2" t="s">
        <v>2509</v>
      </c>
      <c r="E1206" s="2" t="s">
        <v>2636</v>
      </c>
      <c r="F1206" s="2" t="s">
        <v>2690</v>
      </c>
    </row>
    <row r="1207" ht="15.75" customHeight="1">
      <c r="B1207" s="19">
        <v>2.0221014E7</v>
      </c>
      <c r="C1207" s="2" t="s">
        <v>2995</v>
      </c>
      <c r="D1207" s="2" t="s">
        <v>2577</v>
      </c>
      <c r="E1207" s="2" t="s">
        <v>2705</v>
      </c>
      <c r="F1207" s="2" t="s">
        <v>2690</v>
      </c>
    </row>
    <row r="1208" ht="15.75" customHeight="1">
      <c r="B1208" s="19">
        <v>2.0221017E7</v>
      </c>
      <c r="C1208" s="2" t="s">
        <v>2996</v>
      </c>
      <c r="D1208" s="2" t="s">
        <v>2664</v>
      </c>
      <c r="E1208" s="2" t="s">
        <v>2665</v>
      </c>
      <c r="F1208" s="2" t="s">
        <v>2690</v>
      </c>
    </row>
    <row r="1209" ht="15.75" customHeight="1">
      <c r="B1209" s="19">
        <v>2.0221018E7</v>
      </c>
      <c r="C1209" s="2" t="s">
        <v>2720</v>
      </c>
      <c r="D1209" s="2" t="s">
        <v>2609</v>
      </c>
      <c r="E1209" s="2" t="s">
        <v>2458</v>
      </c>
      <c r="F1209" s="2" t="s">
        <v>2690</v>
      </c>
    </row>
    <row r="1210" ht="15.75" customHeight="1">
      <c r="B1210" s="19">
        <v>2.0221019E7</v>
      </c>
      <c r="C1210" s="2" t="s">
        <v>2740</v>
      </c>
      <c r="D1210" s="2" t="s">
        <v>2875</v>
      </c>
      <c r="E1210" s="2" t="s">
        <v>2507</v>
      </c>
      <c r="F1210" s="2" t="s">
        <v>2690</v>
      </c>
    </row>
    <row r="1211" ht="15.75" customHeight="1">
      <c r="B1211" s="19">
        <v>2.022102E7</v>
      </c>
      <c r="C1211" s="2" t="s">
        <v>2590</v>
      </c>
      <c r="D1211" s="2" t="s">
        <v>2439</v>
      </c>
      <c r="E1211" s="2" t="s">
        <v>2511</v>
      </c>
      <c r="F1211" s="2" t="s">
        <v>2690</v>
      </c>
    </row>
    <row r="1212" ht="15.75" customHeight="1">
      <c r="B1212" s="19">
        <v>2.0221021E7</v>
      </c>
      <c r="C1212" s="2" t="s">
        <v>2683</v>
      </c>
      <c r="D1212" s="2" t="s">
        <v>2616</v>
      </c>
      <c r="E1212" s="2" t="s">
        <v>2586</v>
      </c>
      <c r="F1212" s="2" t="s">
        <v>2690</v>
      </c>
    </row>
    <row r="1213" ht="15.75" customHeight="1">
      <c r="B1213" s="19">
        <v>2.0221024E7</v>
      </c>
      <c r="C1213" s="2" t="s">
        <v>2757</v>
      </c>
      <c r="D1213" s="2" t="s">
        <v>2482</v>
      </c>
      <c r="E1213" s="2" t="s">
        <v>2473</v>
      </c>
      <c r="F1213" s="2" t="s">
        <v>2690</v>
      </c>
    </row>
    <row r="1214" ht="15.75" customHeight="1">
      <c r="B1214" s="19">
        <v>2.0221025E7</v>
      </c>
      <c r="C1214" s="2" t="s">
        <v>2997</v>
      </c>
      <c r="D1214" s="2" t="s">
        <v>2501</v>
      </c>
      <c r="E1214" s="2" t="s">
        <v>2718</v>
      </c>
      <c r="F1214" s="2" t="s">
        <v>2690</v>
      </c>
    </row>
    <row r="1215" ht="15.75" customHeight="1">
      <c r="B1215" s="19">
        <v>2.0221026E7</v>
      </c>
      <c r="C1215" s="2" t="s">
        <v>2647</v>
      </c>
      <c r="D1215" s="2" t="s">
        <v>2712</v>
      </c>
      <c r="E1215" s="2" t="s">
        <v>2594</v>
      </c>
      <c r="F1215" s="2" t="s">
        <v>2690</v>
      </c>
    </row>
    <row r="1216" ht="15.75" customHeight="1">
      <c r="B1216" s="19">
        <v>2.0221027E7</v>
      </c>
      <c r="C1216" s="2" t="s">
        <v>2474</v>
      </c>
      <c r="D1216" s="2" t="s">
        <v>2540</v>
      </c>
      <c r="E1216" s="2" t="s">
        <v>2526</v>
      </c>
      <c r="F1216" s="2" t="s">
        <v>2690</v>
      </c>
    </row>
    <row r="1217" ht="15.75" customHeight="1">
      <c r="B1217" s="19">
        <v>2.0221028E7</v>
      </c>
      <c r="C1217" s="2" t="s">
        <v>2731</v>
      </c>
      <c r="D1217" s="2" t="s">
        <v>2447</v>
      </c>
      <c r="E1217" s="2" t="s">
        <v>2587</v>
      </c>
      <c r="F1217" s="2" t="s">
        <v>2690</v>
      </c>
    </row>
    <row r="1218" ht="15.75" customHeight="1">
      <c r="B1218" s="19">
        <v>2.0221031E7</v>
      </c>
      <c r="C1218" s="2" t="s">
        <v>2537</v>
      </c>
      <c r="D1218" s="2" t="s">
        <v>2654</v>
      </c>
      <c r="E1218" s="2" t="s">
        <v>2546</v>
      </c>
      <c r="F1218" s="2" t="s">
        <v>2690</v>
      </c>
    </row>
    <row r="1219" ht="15.75" customHeight="1">
      <c r="B1219" s="19">
        <v>2.0221101E7</v>
      </c>
      <c r="C1219" s="2" t="s">
        <v>2442</v>
      </c>
      <c r="D1219" s="2" t="s">
        <v>2455</v>
      </c>
      <c r="E1219" s="2" t="s">
        <v>2491</v>
      </c>
      <c r="F1219" s="2" t="s">
        <v>2998</v>
      </c>
    </row>
    <row r="1220" ht="15.75" customHeight="1">
      <c r="B1220" s="19">
        <v>2.0221102E7</v>
      </c>
      <c r="C1220" s="2" t="s">
        <v>2728</v>
      </c>
      <c r="D1220" s="2" t="s">
        <v>2942</v>
      </c>
      <c r="E1220" s="2" t="s">
        <v>2818</v>
      </c>
      <c r="F1220" s="2" t="s">
        <v>2998</v>
      </c>
    </row>
    <row r="1221" ht="15.75" customHeight="1">
      <c r="B1221" s="19">
        <v>2.0221103E7</v>
      </c>
      <c r="C1221" s="2" t="s">
        <v>2863</v>
      </c>
      <c r="D1221" s="2" t="s">
        <v>2565</v>
      </c>
      <c r="E1221" s="2" t="s">
        <v>2453</v>
      </c>
      <c r="F1221" s="2" t="s">
        <v>2998</v>
      </c>
    </row>
    <row r="1222" ht="15.75" customHeight="1">
      <c r="B1222" s="19">
        <v>2.0221104E7</v>
      </c>
      <c r="C1222" s="2" t="s">
        <v>2960</v>
      </c>
      <c r="D1222" s="2" t="s">
        <v>2476</v>
      </c>
      <c r="E1222" s="2" t="s">
        <v>2879</v>
      </c>
      <c r="F1222" s="2" t="s">
        <v>2998</v>
      </c>
    </row>
    <row r="1223" ht="15.75" customHeight="1">
      <c r="B1223" s="19">
        <v>2.0221107E7</v>
      </c>
      <c r="C1223" s="2" t="s">
        <v>2451</v>
      </c>
      <c r="D1223" s="2" t="s">
        <v>2456</v>
      </c>
      <c r="E1223" s="2" t="s">
        <v>2602</v>
      </c>
      <c r="F1223" s="2" t="s">
        <v>2998</v>
      </c>
    </row>
    <row r="1224" ht="15.75" customHeight="1">
      <c r="B1224" s="19">
        <v>2.0221108E7</v>
      </c>
      <c r="C1224" s="2" t="s">
        <v>2597</v>
      </c>
      <c r="D1224" s="2" t="s">
        <v>2531</v>
      </c>
      <c r="E1224" s="2" t="s">
        <v>2470</v>
      </c>
      <c r="F1224" s="2" t="s">
        <v>2998</v>
      </c>
    </row>
    <row r="1225" ht="15.75" customHeight="1">
      <c r="B1225" s="19">
        <v>2.0221109E7</v>
      </c>
      <c r="C1225" s="2" t="s">
        <v>2999</v>
      </c>
      <c r="D1225" s="2" t="s">
        <v>2653</v>
      </c>
      <c r="E1225" s="2" t="s">
        <v>2631</v>
      </c>
      <c r="F1225" s="2" t="s">
        <v>2998</v>
      </c>
    </row>
    <row r="1226" ht="15.75" customHeight="1">
      <c r="B1226" s="19">
        <v>2.022111E7</v>
      </c>
      <c r="C1226" s="2" t="s">
        <v>3000</v>
      </c>
      <c r="D1226" s="2" t="s">
        <v>2935</v>
      </c>
      <c r="E1226" s="2" t="s">
        <v>3001</v>
      </c>
      <c r="F1226" s="2" t="s">
        <v>2998</v>
      </c>
    </row>
    <row r="1227" ht="15.75" customHeight="1">
      <c r="B1227" s="19">
        <v>2.0221111E7</v>
      </c>
      <c r="C1227" s="2" t="s">
        <v>2794</v>
      </c>
      <c r="D1227" s="2" t="s">
        <v>2533</v>
      </c>
      <c r="E1227" s="2" t="s">
        <v>2711</v>
      </c>
      <c r="F1227" s="2" t="s">
        <v>2998</v>
      </c>
    </row>
    <row r="1228" ht="15.75" customHeight="1">
      <c r="B1228" s="19">
        <v>2.0221114E7</v>
      </c>
      <c r="C1228" s="2" t="s">
        <v>2748</v>
      </c>
      <c r="D1228" s="2" t="s">
        <v>2436</v>
      </c>
      <c r="E1228" s="2" t="s">
        <v>2505</v>
      </c>
      <c r="F1228" s="2" t="s">
        <v>2998</v>
      </c>
    </row>
    <row r="1229" ht="15.75" customHeight="1">
      <c r="B1229" s="19">
        <v>2.0221115E7</v>
      </c>
      <c r="C1229" s="2" t="s">
        <v>2757</v>
      </c>
      <c r="D1229" s="2" t="s">
        <v>2600</v>
      </c>
      <c r="E1229" s="2" t="s">
        <v>2604</v>
      </c>
      <c r="F1229" s="2" t="s">
        <v>2998</v>
      </c>
    </row>
    <row r="1230" ht="15.75" customHeight="1">
      <c r="B1230" s="19">
        <v>2.0221116E7</v>
      </c>
      <c r="C1230" s="2" t="s">
        <v>2863</v>
      </c>
      <c r="D1230" s="2" t="s">
        <v>2932</v>
      </c>
      <c r="E1230" s="2" t="s">
        <v>2450</v>
      </c>
      <c r="F1230" s="2" t="s">
        <v>2998</v>
      </c>
    </row>
    <row r="1231" ht="15.75" customHeight="1">
      <c r="B1231" s="19">
        <v>2.0221117E7</v>
      </c>
      <c r="C1231" s="2" t="s">
        <v>2520</v>
      </c>
      <c r="D1231" s="2" t="s">
        <v>2494</v>
      </c>
      <c r="E1231" s="2" t="s">
        <v>2581</v>
      </c>
      <c r="F1231" s="2" t="s">
        <v>2998</v>
      </c>
    </row>
    <row r="1232" ht="15.75" customHeight="1">
      <c r="B1232" s="19">
        <v>2.0221118E7</v>
      </c>
      <c r="C1232" s="2" t="s">
        <v>2567</v>
      </c>
      <c r="D1232" s="2" t="s">
        <v>2437</v>
      </c>
      <c r="E1232" s="2" t="s">
        <v>2485</v>
      </c>
      <c r="F1232" s="2" t="s">
        <v>2998</v>
      </c>
    </row>
    <row r="1233" ht="15.75" customHeight="1">
      <c r="B1233" s="19">
        <v>2.0221121E7</v>
      </c>
      <c r="C1233" s="2" t="s">
        <v>2538</v>
      </c>
      <c r="D1233" s="2" t="s">
        <v>2442</v>
      </c>
      <c r="E1233" s="2" t="s">
        <v>2721</v>
      </c>
      <c r="F1233" s="2" t="s">
        <v>2998</v>
      </c>
    </row>
    <row r="1234" ht="15.75" customHeight="1">
      <c r="B1234" s="19">
        <v>2.0221122E7</v>
      </c>
      <c r="C1234" s="2" t="s">
        <v>2674</v>
      </c>
      <c r="D1234" s="2" t="s">
        <v>2538</v>
      </c>
      <c r="E1234" s="2" t="s">
        <v>2712</v>
      </c>
      <c r="F1234" s="2" t="s">
        <v>2998</v>
      </c>
    </row>
    <row r="1235" ht="15.75" customHeight="1">
      <c r="B1235" s="19">
        <v>2.0221123E7</v>
      </c>
      <c r="C1235" s="2" t="s">
        <v>2623</v>
      </c>
      <c r="D1235" s="2" t="s">
        <v>2576</v>
      </c>
      <c r="E1235" s="2" t="s">
        <v>2710</v>
      </c>
      <c r="F1235" s="2" t="s">
        <v>2998</v>
      </c>
    </row>
    <row r="1236" ht="15.75" customHeight="1">
      <c r="B1236" s="19">
        <v>2.0221125E7</v>
      </c>
      <c r="C1236" s="2" t="s">
        <v>2479</v>
      </c>
      <c r="D1236" s="2" t="s">
        <v>2468</v>
      </c>
      <c r="E1236" s="2" t="s">
        <v>2712</v>
      </c>
      <c r="F1236" s="2" t="s">
        <v>2998</v>
      </c>
    </row>
    <row r="1237" ht="15.75" customHeight="1">
      <c r="B1237" s="19">
        <v>2.0221128E7</v>
      </c>
      <c r="C1237" s="2" t="s">
        <v>2876</v>
      </c>
      <c r="D1237" s="2" t="s">
        <v>2605</v>
      </c>
      <c r="E1237" s="2" t="s">
        <v>2593</v>
      </c>
      <c r="F1237" s="2" t="s">
        <v>2998</v>
      </c>
    </row>
    <row r="1238" ht="15.75" customHeight="1">
      <c r="B1238" s="19">
        <v>2.0221129E7</v>
      </c>
      <c r="C1238" s="2" t="s">
        <v>2437</v>
      </c>
      <c r="D1238" s="2" t="s">
        <v>2586</v>
      </c>
      <c r="E1238" s="2" t="s">
        <v>2757</v>
      </c>
      <c r="F1238" s="2" t="s">
        <v>2998</v>
      </c>
    </row>
    <row r="1239" ht="15.75" customHeight="1">
      <c r="B1239" s="19">
        <v>2.022113E7</v>
      </c>
      <c r="C1239" s="2" t="s">
        <v>3002</v>
      </c>
      <c r="D1239" s="2" t="s">
        <v>2432</v>
      </c>
      <c r="E1239" s="2" t="s">
        <v>2903</v>
      </c>
      <c r="F1239" s="2" t="s">
        <v>2998</v>
      </c>
    </row>
    <row r="1240" ht="15.75" customHeight="1">
      <c r="B1240" s="19">
        <v>2.0221201E7</v>
      </c>
      <c r="C1240" s="2" t="s">
        <v>2479</v>
      </c>
      <c r="D1240" s="2" t="s">
        <v>2505</v>
      </c>
      <c r="E1240" s="2" t="s">
        <v>2627</v>
      </c>
      <c r="F1240" s="2" t="s">
        <v>3003</v>
      </c>
    </row>
    <row r="1241" ht="15.75" customHeight="1">
      <c r="B1241" s="19">
        <v>2.0221202E7</v>
      </c>
      <c r="C1241" s="2" t="s">
        <v>2536</v>
      </c>
      <c r="D1241" s="2" t="s">
        <v>2569</v>
      </c>
      <c r="E1241" s="2" t="s">
        <v>2595</v>
      </c>
      <c r="F1241" s="2" t="s">
        <v>3003</v>
      </c>
    </row>
    <row r="1242" ht="15.75" customHeight="1">
      <c r="B1242" s="19">
        <v>2.0221205E7</v>
      </c>
      <c r="C1242" s="2" t="s">
        <v>2826</v>
      </c>
      <c r="D1242" s="2" t="s">
        <v>2685</v>
      </c>
      <c r="E1242" s="2" t="s">
        <v>2477</v>
      </c>
      <c r="F1242" s="2" t="s">
        <v>3003</v>
      </c>
    </row>
    <row r="1243" ht="15.75" customHeight="1">
      <c r="B1243" s="19">
        <v>2.0221206E7</v>
      </c>
      <c r="C1243" s="2" t="s">
        <v>2696</v>
      </c>
      <c r="D1243" s="2" t="s">
        <v>2503</v>
      </c>
      <c r="E1243" s="2" t="s">
        <v>2960</v>
      </c>
      <c r="F1243" s="2" t="s">
        <v>3003</v>
      </c>
    </row>
    <row r="1244" ht="15.75" customHeight="1">
      <c r="B1244" s="19">
        <v>2.0221207E7</v>
      </c>
      <c r="C1244" s="2" t="s">
        <v>2503</v>
      </c>
      <c r="D1244" s="2" t="s">
        <v>2471</v>
      </c>
      <c r="E1244" s="2" t="s">
        <v>2466</v>
      </c>
      <c r="F1244" s="2" t="s">
        <v>3003</v>
      </c>
    </row>
    <row r="1245" ht="15.75" customHeight="1">
      <c r="B1245" s="19">
        <v>2.0221208E7</v>
      </c>
      <c r="C1245" s="2" t="s">
        <v>2465</v>
      </c>
      <c r="D1245" s="2" t="s">
        <v>2583</v>
      </c>
      <c r="E1245" s="2" t="s">
        <v>2932</v>
      </c>
      <c r="F1245" s="2" t="s">
        <v>3003</v>
      </c>
    </row>
    <row r="1246" ht="15.75" customHeight="1">
      <c r="B1246" s="19">
        <v>2.0221209E7</v>
      </c>
      <c r="C1246" s="2" t="s">
        <v>2590</v>
      </c>
      <c r="D1246" s="2" t="s">
        <v>2595</v>
      </c>
      <c r="E1246" s="2" t="s">
        <v>2510</v>
      </c>
      <c r="F1246" s="2" t="s">
        <v>3003</v>
      </c>
    </row>
    <row r="1247" ht="15.75" customHeight="1">
      <c r="B1247" s="19">
        <v>2.0221212E7</v>
      </c>
      <c r="C1247" s="2" t="s">
        <v>2556</v>
      </c>
      <c r="D1247" s="2" t="s">
        <v>2557</v>
      </c>
      <c r="E1247" s="2" t="s">
        <v>2467</v>
      </c>
      <c r="F1247" s="2" t="s">
        <v>3003</v>
      </c>
    </row>
    <row r="1248" ht="15.75" customHeight="1">
      <c r="B1248" s="19">
        <v>2.0221213E7</v>
      </c>
      <c r="C1248" s="2" t="s">
        <v>2441</v>
      </c>
      <c r="D1248" s="2" t="s">
        <v>2443</v>
      </c>
      <c r="E1248" s="2" t="s">
        <v>2482</v>
      </c>
      <c r="F1248" s="2" t="s">
        <v>3003</v>
      </c>
    </row>
    <row r="1249" ht="15.75" customHeight="1">
      <c r="B1249" s="19">
        <v>2.0221214E7</v>
      </c>
      <c r="C1249" s="2" t="s">
        <v>2723</v>
      </c>
      <c r="D1249" s="2" t="s">
        <v>2484</v>
      </c>
      <c r="E1249" s="2" t="s">
        <v>2511</v>
      </c>
      <c r="F1249" s="2" t="s">
        <v>3003</v>
      </c>
    </row>
    <row r="1250" ht="15.75" customHeight="1">
      <c r="B1250" s="19">
        <v>2.0221215E7</v>
      </c>
      <c r="C1250" s="2" t="s">
        <v>3004</v>
      </c>
      <c r="D1250" s="2" t="s">
        <v>2436</v>
      </c>
      <c r="E1250" s="2" t="s">
        <v>2738</v>
      </c>
      <c r="F1250" s="2" t="s">
        <v>3003</v>
      </c>
    </row>
    <row r="1251" ht="15.75" customHeight="1">
      <c r="B1251" s="19">
        <v>2.0221216E7</v>
      </c>
      <c r="C1251" s="2" t="s">
        <v>2457</v>
      </c>
      <c r="D1251" s="2" t="s">
        <v>2496</v>
      </c>
      <c r="E1251" s="2" t="s">
        <v>2443</v>
      </c>
      <c r="F1251" s="2" t="s">
        <v>3003</v>
      </c>
    </row>
    <row r="1252" ht="15.75" customHeight="1">
      <c r="B1252" s="19">
        <v>2.0221219E7</v>
      </c>
      <c r="C1252" s="2" t="s">
        <v>2675</v>
      </c>
      <c r="D1252" s="2" t="s">
        <v>2735</v>
      </c>
      <c r="E1252" s="2" t="s">
        <v>2560</v>
      </c>
      <c r="F1252" s="2" t="s">
        <v>3003</v>
      </c>
    </row>
    <row r="1253" ht="15.75" customHeight="1">
      <c r="B1253" s="19">
        <v>2.022122E7</v>
      </c>
      <c r="C1253" s="2" t="s">
        <v>2575</v>
      </c>
      <c r="D1253" s="2" t="s">
        <v>2497</v>
      </c>
      <c r="E1253" s="2" t="s">
        <v>2541</v>
      </c>
      <c r="F1253" s="2" t="s">
        <v>3003</v>
      </c>
    </row>
    <row r="1254" ht="15.75" customHeight="1">
      <c r="B1254" s="19">
        <v>2.0221221E7</v>
      </c>
      <c r="C1254" s="2" t="s">
        <v>2504</v>
      </c>
      <c r="D1254" s="2" t="s">
        <v>2528</v>
      </c>
      <c r="E1254" s="2" t="s">
        <v>2471</v>
      </c>
      <c r="F1254" s="2" t="s">
        <v>3003</v>
      </c>
    </row>
    <row r="1255" ht="15.75" customHeight="1">
      <c r="B1255" s="19">
        <v>2.0221222E7</v>
      </c>
      <c r="C1255" s="2" t="s">
        <v>2718</v>
      </c>
      <c r="D1255" s="2" t="s">
        <v>2640</v>
      </c>
      <c r="E1255" s="2" t="s">
        <v>2530</v>
      </c>
      <c r="F1255" s="2" t="s">
        <v>3003</v>
      </c>
    </row>
    <row r="1256" ht="15.75" customHeight="1">
      <c r="B1256" s="19">
        <v>2.0221223E7</v>
      </c>
      <c r="C1256" s="2" t="s">
        <v>2549</v>
      </c>
      <c r="D1256" s="2" t="s">
        <v>2476</v>
      </c>
      <c r="E1256" s="2" t="s">
        <v>2960</v>
      </c>
      <c r="F1256" s="2" t="s">
        <v>3003</v>
      </c>
    </row>
    <row r="1257" ht="15.75" customHeight="1">
      <c r="B1257" s="19">
        <v>2.0221227E7</v>
      </c>
      <c r="C1257" s="2" t="s">
        <v>2477</v>
      </c>
      <c r="D1257" s="2" t="s">
        <v>2482</v>
      </c>
      <c r="E1257" s="2" t="s">
        <v>2737</v>
      </c>
      <c r="F1257" s="2" t="s">
        <v>3003</v>
      </c>
    </row>
    <row r="1258" ht="15.75" customHeight="1">
      <c r="B1258" s="19">
        <v>2.0221228E7</v>
      </c>
      <c r="C1258" s="2" t="s">
        <v>2717</v>
      </c>
      <c r="D1258" s="2" t="s">
        <v>2503</v>
      </c>
      <c r="E1258" s="2" t="s">
        <v>2489</v>
      </c>
      <c r="F1258" s="2" t="s">
        <v>3003</v>
      </c>
    </row>
    <row r="1259" ht="15.75" customHeight="1">
      <c r="B1259" s="19">
        <v>2.0221229E7</v>
      </c>
      <c r="C1259" s="2" t="s">
        <v>2852</v>
      </c>
      <c r="D1259" s="2" t="s">
        <v>2879</v>
      </c>
      <c r="E1259" s="2" t="s">
        <v>2637</v>
      </c>
      <c r="F1259" s="2" t="s">
        <v>3003</v>
      </c>
    </row>
    <row r="1260" ht="15.75" customHeight="1">
      <c r="B1260" s="19">
        <v>2.022123E7</v>
      </c>
      <c r="C1260" s="2" t="s">
        <v>2433</v>
      </c>
      <c r="D1260" s="2" t="s">
        <v>2528</v>
      </c>
      <c r="E1260" s="2" t="s">
        <v>2460</v>
      </c>
      <c r="F1260" s="2" t="s">
        <v>3003</v>
      </c>
    </row>
    <row r="1261" ht="15.75" customHeight="1">
      <c r="B1261" s="19">
        <v>2.0230103E7</v>
      </c>
      <c r="C1261" s="2" t="s">
        <v>2577</v>
      </c>
      <c r="D1261" s="2" t="s">
        <v>2449</v>
      </c>
      <c r="E1261" s="2" t="s">
        <v>2568</v>
      </c>
      <c r="F1261" s="2" t="s">
        <v>3005</v>
      </c>
    </row>
    <row r="1262" ht="15.75" customHeight="1">
      <c r="B1262" s="19">
        <v>2.0230104E7</v>
      </c>
      <c r="C1262" s="2" t="s">
        <v>2499</v>
      </c>
      <c r="D1262" s="2" t="s">
        <v>2486</v>
      </c>
      <c r="E1262" s="2" t="s">
        <v>2488</v>
      </c>
      <c r="F1262" s="2" t="s">
        <v>3005</v>
      </c>
    </row>
    <row r="1263" ht="15.75" customHeight="1">
      <c r="B1263" s="19">
        <v>2.0230105E7</v>
      </c>
      <c r="C1263" s="2" t="s">
        <v>2628</v>
      </c>
      <c r="D1263" s="2" t="s">
        <v>2437</v>
      </c>
      <c r="E1263" s="2" t="s">
        <v>2507</v>
      </c>
      <c r="F1263" s="2" t="s">
        <v>3005</v>
      </c>
    </row>
    <row r="1264" ht="15.75" customHeight="1">
      <c r="B1264" s="19">
        <v>2.0230106E7</v>
      </c>
      <c r="C1264" s="2" t="s">
        <v>3006</v>
      </c>
      <c r="D1264" s="2" t="s">
        <v>2545</v>
      </c>
      <c r="E1264" s="2" t="s">
        <v>2488</v>
      </c>
      <c r="F1264" s="2" t="s">
        <v>3005</v>
      </c>
    </row>
    <row r="1265" ht="15.75" customHeight="1">
      <c r="B1265" s="19">
        <v>2.0230109E7</v>
      </c>
      <c r="C1265" s="2" t="s">
        <v>2488</v>
      </c>
      <c r="D1265" s="2" t="s">
        <v>2631</v>
      </c>
      <c r="E1265" s="2" t="s">
        <v>2965</v>
      </c>
      <c r="F1265" s="2" t="s">
        <v>3005</v>
      </c>
    </row>
    <row r="1266" ht="15.75" customHeight="1">
      <c r="B1266" s="19">
        <v>2.023011E7</v>
      </c>
      <c r="C1266" s="2" t="s">
        <v>2752</v>
      </c>
      <c r="D1266" s="2" t="s">
        <v>2641</v>
      </c>
      <c r="E1266" s="2" t="s">
        <v>2539</v>
      </c>
      <c r="F1266" s="2" t="s">
        <v>3005</v>
      </c>
    </row>
    <row r="1267" ht="15.75" customHeight="1">
      <c r="B1267" s="19">
        <v>2.0230111E7</v>
      </c>
      <c r="C1267" s="2" t="s">
        <v>2892</v>
      </c>
      <c r="D1267" s="2" t="s">
        <v>2611</v>
      </c>
      <c r="E1267" s="2" t="s">
        <v>2635</v>
      </c>
      <c r="F1267" s="2" t="s">
        <v>3005</v>
      </c>
    </row>
    <row r="1268" ht="15.75" customHeight="1">
      <c r="B1268" s="19">
        <v>2.0230112E7</v>
      </c>
      <c r="C1268" s="2" t="s">
        <v>2562</v>
      </c>
      <c r="D1268" s="2" t="s">
        <v>2939</v>
      </c>
      <c r="E1268" s="2" t="s">
        <v>2614</v>
      </c>
      <c r="F1268" s="2" t="s">
        <v>3005</v>
      </c>
    </row>
    <row r="1269" ht="15.75" customHeight="1">
      <c r="B1269" s="19">
        <v>2.0230113E7</v>
      </c>
      <c r="C1269" s="2" t="s">
        <v>2562</v>
      </c>
      <c r="D1269" s="2" t="s">
        <v>2533</v>
      </c>
      <c r="E1269" s="2" t="s">
        <v>2489</v>
      </c>
      <c r="F1269" s="2" t="s">
        <v>3005</v>
      </c>
    </row>
    <row r="1270" ht="15.75" customHeight="1">
      <c r="B1270" s="19">
        <v>2.0230117E7</v>
      </c>
      <c r="C1270" s="2" t="s">
        <v>2437</v>
      </c>
      <c r="D1270" s="2" t="s">
        <v>2542</v>
      </c>
      <c r="E1270" s="2" t="s">
        <v>2494</v>
      </c>
      <c r="F1270" s="2" t="s">
        <v>3005</v>
      </c>
    </row>
    <row r="1271" ht="15.75" customHeight="1">
      <c r="B1271" s="19">
        <v>2.0230118E7</v>
      </c>
      <c r="C1271" s="2" t="s">
        <v>2666</v>
      </c>
      <c r="D1271" s="2" t="s">
        <v>2445</v>
      </c>
      <c r="E1271" s="2" t="s">
        <v>2604</v>
      </c>
      <c r="F1271" s="2" t="s">
        <v>3005</v>
      </c>
    </row>
    <row r="1272" ht="15.75" customHeight="1">
      <c r="B1272" s="19">
        <v>2.0230119E7</v>
      </c>
      <c r="C1272" s="2" t="s">
        <v>2679</v>
      </c>
      <c r="D1272" s="2" t="s">
        <v>2439</v>
      </c>
      <c r="E1272" s="2" t="s">
        <v>2570</v>
      </c>
      <c r="F1272" s="2" t="s">
        <v>3005</v>
      </c>
    </row>
    <row r="1273" ht="15.75" customHeight="1">
      <c r="B1273" s="19">
        <v>2.023012E7</v>
      </c>
      <c r="C1273" s="2" t="s">
        <v>2988</v>
      </c>
      <c r="D1273" s="2" t="s">
        <v>2575</v>
      </c>
      <c r="E1273" s="2" t="s">
        <v>2646</v>
      </c>
      <c r="F1273" s="2" t="s">
        <v>3005</v>
      </c>
    </row>
    <row r="1274" ht="15.75" customHeight="1">
      <c r="B1274" s="19">
        <v>2.0230123E7</v>
      </c>
      <c r="C1274" s="2" t="s">
        <v>2673</v>
      </c>
      <c r="D1274" s="2" t="s">
        <v>2542</v>
      </c>
      <c r="E1274" s="2" t="s">
        <v>2675</v>
      </c>
      <c r="F1274" s="2" t="s">
        <v>3005</v>
      </c>
    </row>
    <row r="1275" ht="15.75" customHeight="1">
      <c r="B1275" s="19">
        <v>2.0230124E7</v>
      </c>
      <c r="C1275" s="2" t="s">
        <v>2467</v>
      </c>
      <c r="D1275" s="2" t="s">
        <v>2551</v>
      </c>
      <c r="E1275" s="2" t="s">
        <v>2497</v>
      </c>
      <c r="F1275" s="2" t="s">
        <v>3005</v>
      </c>
    </row>
    <row r="1276" ht="15.75" customHeight="1">
      <c r="B1276" s="19">
        <v>2.0230125E7</v>
      </c>
      <c r="C1276" s="2" t="s">
        <v>2621</v>
      </c>
      <c r="D1276" s="2" t="s">
        <v>2447</v>
      </c>
      <c r="E1276" s="2" t="s">
        <v>2555</v>
      </c>
      <c r="F1276" s="2" t="s">
        <v>3005</v>
      </c>
    </row>
    <row r="1277" ht="15.75" customHeight="1">
      <c r="B1277" s="19">
        <v>2.0230126E7</v>
      </c>
      <c r="C1277" s="2" t="s">
        <v>2578</v>
      </c>
      <c r="D1277" s="2" t="s">
        <v>2492</v>
      </c>
      <c r="E1277" s="2" t="s">
        <v>2576</v>
      </c>
      <c r="F1277" s="2" t="s">
        <v>3005</v>
      </c>
    </row>
    <row r="1278" ht="15.75" customHeight="1">
      <c r="B1278" s="19">
        <v>2.0230127E7</v>
      </c>
      <c r="C1278" s="2" t="s">
        <v>2510</v>
      </c>
      <c r="D1278" s="2" t="s">
        <v>2623</v>
      </c>
      <c r="E1278" s="2" t="s">
        <v>2832</v>
      </c>
      <c r="F1278" s="2" t="s">
        <v>3005</v>
      </c>
    </row>
    <row r="1279" ht="15.75" customHeight="1">
      <c r="B1279" s="19">
        <v>2.023013E7</v>
      </c>
      <c r="C1279" s="2" t="s">
        <v>2543</v>
      </c>
      <c r="D1279" s="2" t="s">
        <v>2609</v>
      </c>
      <c r="E1279" s="2" t="s">
        <v>2600</v>
      </c>
      <c r="F1279" s="2" t="s">
        <v>3005</v>
      </c>
    </row>
    <row r="1280" ht="15.75" customHeight="1">
      <c r="B1280" s="19">
        <v>2.0230131E7</v>
      </c>
      <c r="C1280" s="2" t="s">
        <v>2858</v>
      </c>
      <c r="D1280" s="2" t="s">
        <v>2629</v>
      </c>
      <c r="E1280" s="2" t="s">
        <v>2536</v>
      </c>
      <c r="F1280" s="2" t="s">
        <v>3005</v>
      </c>
    </row>
    <row r="1281" ht="15.75" customHeight="1">
      <c r="B1281" s="19">
        <v>2.0230201E7</v>
      </c>
      <c r="C1281" s="2" t="s">
        <v>2720</v>
      </c>
      <c r="D1281" s="2" t="s">
        <v>2522</v>
      </c>
      <c r="E1281" s="2" t="s">
        <v>3007</v>
      </c>
      <c r="F1281" s="2" t="s">
        <v>3008</v>
      </c>
    </row>
    <row r="1282" ht="15.75" customHeight="1">
      <c r="B1282" s="19">
        <v>2.0230202E7</v>
      </c>
      <c r="C1282" s="2" t="s">
        <v>2515</v>
      </c>
      <c r="D1282" s="2" t="s">
        <v>2935</v>
      </c>
      <c r="E1282" s="2" t="s">
        <v>2903</v>
      </c>
      <c r="F1282" s="2" t="s">
        <v>3008</v>
      </c>
    </row>
    <row r="1283" ht="15.75" customHeight="1">
      <c r="B1283" s="19">
        <v>2.0230203E7</v>
      </c>
      <c r="C1283" s="2" t="s">
        <v>2711</v>
      </c>
      <c r="D1283" s="2" t="s">
        <v>2485</v>
      </c>
      <c r="E1283" s="2" t="s">
        <v>2459</v>
      </c>
      <c r="F1283" s="2" t="s">
        <v>3008</v>
      </c>
    </row>
    <row r="1284" ht="15.75" customHeight="1">
      <c r="B1284" s="19">
        <v>2.0230206E7</v>
      </c>
      <c r="C1284" s="2" t="s">
        <v>2620</v>
      </c>
      <c r="D1284" s="2" t="s">
        <v>2579</v>
      </c>
      <c r="E1284" s="2" t="s">
        <v>2544</v>
      </c>
      <c r="F1284" s="2" t="s">
        <v>3008</v>
      </c>
    </row>
    <row r="1285" ht="15.75" customHeight="1">
      <c r="B1285" s="19">
        <v>2.0230207E7</v>
      </c>
      <c r="C1285" s="2" t="s">
        <v>2560</v>
      </c>
      <c r="D1285" s="2" t="s">
        <v>2538</v>
      </c>
      <c r="E1285" s="2" t="s">
        <v>2582</v>
      </c>
      <c r="F1285" s="2" t="s">
        <v>3008</v>
      </c>
    </row>
    <row r="1286" ht="15.75" customHeight="1">
      <c r="B1286" s="19">
        <v>2.0230208E7</v>
      </c>
      <c r="C1286" s="2" t="s">
        <v>2574</v>
      </c>
      <c r="D1286" s="2" t="s">
        <v>2537</v>
      </c>
      <c r="E1286" s="2" t="s">
        <v>2600</v>
      </c>
      <c r="F1286" s="2" t="s">
        <v>3008</v>
      </c>
    </row>
    <row r="1287" ht="15.75" customHeight="1">
      <c r="B1287" s="19">
        <v>2.0230209E7</v>
      </c>
      <c r="C1287" s="2" t="s">
        <v>2748</v>
      </c>
      <c r="D1287" s="2" t="s">
        <v>2653</v>
      </c>
      <c r="E1287" s="2" t="s">
        <v>2583</v>
      </c>
      <c r="F1287" s="2" t="s">
        <v>3008</v>
      </c>
    </row>
    <row r="1288" ht="15.75" customHeight="1">
      <c r="B1288" s="19">
        <v>2.023021E7</v>
      </c>
      <c r="C1288" s="2" t="s">
        <v>2483</v>
      </c>
      <c r="D1288" s="2" t="s">
        <v>2604</v>
      </c>
      <c r="E1288" s="2" t="s">
        <v>2676</v>
      </c>
      <c r="F1288" s="2" t="s">
        <v>3008</v>
      </c>
    </row>
    <row r="1289" ht="15.75" customHeight="1">
      <c r="B1289" s="19">
        <v>2.0230213E7</v>
      </c>
      <c r="C1289" s="2" t="s">
        <v>2746</v>
      </c>
      <c r="D1289" s="2" t="s">
        <v>2583</v>
      </c>
      <c r="E1289" s="2" t="s">
        <v>2620</v>
      </c>
      <c r="F1289" s="2" t="s">
        <v>3008</v>
      </c>
    </row>
    <row r="1290" ht="15.75" customHeight="1">
      <c r="B1290" s="19">
        <v>2.0230214E7</v>
      </c>
      <c r="C1290" s="2" t="s">
        <v>2528</v>
      </c>
      <c r="D1290" s="2" t="s">
        <v>2446</v>
      </c>
      <c r="E1290" s="2" t="s">
        <v>2553</v>
      </c>
      <c r="F1290" s="2" t="s">
        <v>3008</v>
      </c>
    </row>
    <row r="1291" ht="15.75" customHeight="1">
      <c r="B1291" s="19">
        <v>2.0230215E7</v>
      </c>
      <c r="C1291" s="2" t="s">
        <v>2549</v>
      </c>
      <c r="D1291" s="2" t="s">
        <v>2757</v>
      </c>
      <c r="E1291" s="2" t="s">
        <v>2648</v>
      </c>
      <c r="F1291" s="2" t="s">
        <v>3008</v>
      </c>
    </row>
    <row r="1292" ht="15.75" customHeight="1">
      <c r="B1292" s="19">
        <v>2.0230216E7</v>
      </c>
      <c r="C1292" s="2" t="s">
        <v>2730</v>
      </c>
      <c r="D1292" s="2" t="s">
        <v>2460</v>
      </c>
      <c r="E1292" s="2" t="s">
        <v>2724</v>
      </c>
      <c r="F1292" s="2" t="s">
        <v>3008</v>
      </c>
    </row>
    <row r="1293" ht="15.75" customHeight="1">
      <c r="B1293" s="19">
        <v>2.0230217E7</v>
      </c>
      <c r="C1293" s="2" t="s">
        <v>2678</v>
      </c>
      <c r="D1293" s="2" t="s">
        <v>2664</v>
      </c>
      <c r="E1293" s="2" t="s">
        <v>2444</v>
      </c>
      <c r="F1293" s="2" t="s">
        <v>3008</v>
      </c>
    </row>
    <row r="1294" ht="15.75" customHeight="1">
      <c r="B1294" s="19">
        <v>2.0230221E7</v>
      </c>
      <c r="C1294" s="2" t="s">
        <v>3009</v>
      </c>
      <c r="D1294" s="2" t="s">
        <v>2517</v>
      </c>
      <c r="E1294" s="2" t="s">
        <v>2641</v>
      </c>
      <c r="F1294" s="2" t="s">
        <v>3008</v>
      </c>
    </row>
    <row r="1295" ht="15.75" customHeight="1">
      <c r="B1295" s="19">
        <v>2.0230222E7</v>
      </c>
      <c r="C1295" s="2" t="s">
        <v>2447</v>
      </c>
      <c r="D1295" s="2" t="s">
        <v>2631</v>
      </c>
      <c r="E1295" s="2" t="s">
        <v>2511</v>
      </c>
      <c r="F1295" s="2" t="s">
        <v>3008</v>
      </c>
    </row>
    <row r="1296" ht="15.75" customHeight="1">
      <c r="B1296" s="19">
        <v>2.0230223E7</v>
      </c>
      <c r="C1296" s="2" t="s">
        <v>2562</v>
      </c>
      <c r="D1296" s="2" t="s">
        <v>2468</v>
      </c>
      <c r="E1296" s="2" t="s">
        <v>2503</v>
      </c>
      <c r="F1296" s="2" t="s">
        <v>3008</v>
      </c>
    </row>
    <row r="1297" ht="15.75" customHeight="1">
      <c r="B1297" s="19">
        <v>2.0230224E7</v>
      </c>
      <c r="C1297" s="2" t="s">
        <v>2686</v>
      </c>
      <c r="D1297" s="2" t="s">
        <v>2494</v>
      </c>
      <c r="E1297" s="2" t="s">
        <v>2856</v>
      </c>
      <c r="F1297" s="2" t="s">
        <v>3008</v>
      </c>
    </row>
    <row r="1298" ht="15.75" customHeight="1">
      <c r="B1298" s="19">
        <v>2.0230227E7</v>
      </c>
      <c r="C1298" s="2" t="s">
        <v>2453</v>
      </c>
      <c r="D1298" s="2" t="s">
        <v>2455</v>
      </c>
      <c r="E1298" s="2" t="s">
        <v>2489</v>
      </c>
      <c r="F1298" s="2" t="s">
        <v>3008</v>
      </c>
    </row>
    <row r="1299" ht="15.75" customHeight="1">
      <c r="B1299" s="19">
        <v>2.0230228E7</v>
      </c>
      <c r="C1299" s="2" t="s">
        <v>2439</v>
      </c>
      <c r="D1299" s="2" t="s">
        <v>2642</v>
      </c>
      <c r="E1299" s="2" t="s">
        <v>2646</v>
      </c>
      <c r="F1299" s="2" t="s">
        <v>3008</v>
      </c>
    </row>
    <row r="1300" ht="15.75" customHeight="1">
      <c r="B1300" s="19">
        <v>2.0230301E7</v>
      </c>
      <c r="C1300" s="2" t="s">
        <v>2520</v>
      </c>
      <c r="D1300" s="2" t="s">
        <v>2497</v>
      </c>
      <c r="E1300" s="2" t="s">
        <v>2642</v>
      </c>
      <c r="F1300" s="2" t="s">
        <v>3003</v>
      </c>
    </row>
    <row r="1301" ht="15.75" customHeight="1">
      <c r="B1301" s="19">
        <v>2.0230302E7</v>
      </c>
      <c r="C1301" s="2" t="s">
        <v>2596</v>
      </c>
      <c r="D1301" s="2" t="s">
        <v>2466</v>
      </c>
      <c r="E1301" s="2" t="s">
        <v>2514</v>
      </c>
      <c r="F1301" s="2" t="s">
        <v>3003</v>
      </c>
    </row>
    <row r="1302" ht="15.75" customHeight="1">
      <c r="B1302" s="19">
        <v>2.0230303E7</v>
      </c>
      <c r="C1302" s="2" t="s">
        <v>2818</v>
      </c>
      <c r="D1302" s="2" t="s">
        <v>2621</v>
      </c>
      <c r="E1302" s="2" t="s">
        <v>2494</v>
      </c>
      <c r="F1302" s="2" t="s">
        <v>3003</v>
      </c>
    </row>
    <row r="1303" ht="15.75" customHeight="1">
      <c r="B1303" s="19">
        <v>2.0230306E7</v>
      </c>
      <c r="C1303" s="2" t="s">
        <v>2471</v>
      </c>
      <c r="D1303" s="2" t="s">
        <v>2669</v>
      </c>
      <c r="E1303" s="2" t="s">
        <v>2534</v>
      </c>
      <c r="F1303" s="2" t="s">
        <v>3003</v>
      </c>
    </row>
    <row r="1304" ht="15.75" customHeight="1">
      <c r="B1304" s="19">
        <v>2.0230307E7</v>
      </c>
      <c r="C1304" s="2" t="s">
        <v>2895</v>
      </c>
      <c r="D1304" s="2" t="s">
        <v>2643</v>
      </c>
      <c r="E1304" s="2" t="s">
        <v>2647</v>
      </c>
      <c r="F1304" s="2" t="s">
        <v>3003</v>
      </c>
    </row>
    <row r="1305" ht="15.75" customHeight="1">
      <c r="B1305" s="19">
        <v>2.0230308E7</v>
      </c>
      <c r="C1305" s="2" t="s">
        <v>2485</v>
      </c>
      <c r="D1305" s="2" t="s">
        <v>2443</v>
      </c>
      <c r="E1305" s="2" t="s">
        <v>2436</v>
      </c>
      <c r="F1305" s="2" t="s">
        <v>3003</v>
      </c>
    </row>
    <row r="1306" ht="15.75" customHeight="1">
      <c r="B1306" s="19">
        <v>2.0230309E7</v>
      </c>
      <c r="C1306" s="2" t="s">
        <v>2826</v>
      </c>
      <c r="D1306" s="2" t="s">
        <v>2509</v>
      </c>
      <c r="E1306" s="2" t="s">
        <v>2647</v>
      </c>
      <c r="F1306" s="2" t="s">
        <v>3003</v>
      </c>
    </row>
    <row r="1307" ht="15.75" customHeight="1">
      <c r="B1307" s="19">
        <v>2.023031E7</v>
      </c>
      <c r="C1307" s="2" t="s">
        <v>2926</v>
      </c>
      <c r="D1307" s="2" t="s">
        <v>2713</v>
      </c>
      <c r="E1307" s="2" t="s">
        <v>2752</v>
      </c>
      <c r="F1307" s="2" t="s">
        <v>3003</v>
      </c>
    </row>
    <row r="1308" ht="15.75" customHeight="1">
      <c r="B1308" s="19">
        <v>2.0230313E7</v>
      </c>
      <c r="C1308" s="2" t="s">
        <v>2466</v>
      </c>
      <c r="D1308" s="2" t="s">
        <v>2478</v>
      </c>
      <c r="E1308" s="2" t="s">
        <v>2979</v>
      </c>
      <c r="F1308" s="2" t="s">
        <v>3003</v>
      </c>
    </row>
    <row r="1309" ht="15.75" customHeight="1">
      <c r="B1309" s="19">
        <v>2.0230314E7</v>
      </c>
      <c r="C1309" s="2" t="s">
        <v>2917</v>
      </c>
      <c r="D1309" s="2" t="s">
        <v>2528</v>
      </c>
      <c r="E1309" s="2" t="s">
        <v>2605</v>
      </c>
      <c r="F1309" s="2" t="s">
        <v>3003</v>
      </c>
    </row>
    <row r="1310" ht="15.75" customHeight="1">
      <c r="B1310" s="19">
        <v>2.0230315E7</v>
      </c>
      <c r="C1310" s="2" t="s">
        <v>2735</v>
      </c>
      <c r="D1310" s="2" t="s">
        <v>2536</v>
      </c>
      <c r="E1310" s="2" t="s">
        <v>3010</v>
      </c>
      <c r="F1310" s="2" t="s">
        <v>3003</v>
      </c>
    </row>
    <row r="1311" ht="15.75" customHeight="1">
      <c r="B1311" s="19">
        <v>2.0230316E7</v>
      </c>
      <c r="C1311" s="2" t="s">
        <v>2907</v>
      </c>
      <c r="D1311" s="2" t="s">
        <v>2542</v>
      </c>
      <c r="E1311" s="2" t="s">
        <v>2518</v>
      </c>
      <c r="F1311" s="2" t="s">
        <v>3003</v>
      </c>
    </row>
    <row r="1312" ht="15.75" customHeight="1">
      <c r="B1312" s="19">
        <v>2.0230317E7</v>
      </c>
      <c r="C1312" s="2" t="s">
        <v>2942</v>
      </c>
      <c r="D1312" s="2" t="s">
        <v>2579</v>
      </c>
      <c r="E1312" s="2" t="s">
        <v>2876</v>
      </c>
      <c r="F1312" s="2" t="s">
        <v>3003</v>
      </c>
    </row>
    <row r="1313" ht="15.75" customHeight="1">
      <c r="B1313" s="19">
        <v>2.023032E7</v>
      </c>
      <c r="C1313" s="2" t="s">
        <v>2570</v>
      </c>
      <c r="D1313" s="2" t="s">
        <v>2478</v>
      </c>
      <c r="E1313" s="2" t="s">
        <v>2546</v>
      </c>
      <c r="F1313" s="2" t="s">
        <v>3003</v>
      </c>
    </row>
    <row r="1314" ht="15.75" customHeight="1">
      <c r="B1314" s="19">
        <v>2.0230321E7</v>
      </c>
      <c r="C1314" s="2" t="s">
        <v>2716</v>
      </c>
      <c r="D1314" s="2" t="s">
        <v>2547</v>
      </c>
      <c r="E1314" s="2" t="s">
        <v>2596</v>
      </c>
      <c r="F1314" s="2" t="s">
        <v>3003</v>
      </c>
    </row>
    <row r="1315" ht="15.75" customHeight="1">
      <c r="B1315" s="19">
        <v>2.0230322E7</v>
      </c>
      <c r="C1315" s="2" t="s">
        <v>2662</v>
      </c>
      <c r="D1315" s="2" t="s">
        <v>2590</v>
      </c>
      <c r="E1315" s="2" t="s">
        <v>2577</v>
      </c>
      <c r="F1315" s="2" t="s">
        <v>3003</v>
      </c>
    </row>
    <row r="1316" ht="15.75" customHeight="1">
      <c r="B1316" s="19">
        <v>2.0230323E7</v>
      </c>
      <c r="C1316" s="2" t="s">
        <v>2497</v>
      </c>
      <c r="D1316" s="2" t="s">
        <v>2616</v>
      </c>
      <c r="E1316" s="2" t="s">
        <v>2876</v>
      </c>
      <c r="F1316" s="2" t="s">
        <v>3003</v>
      </c>
    </row>
    <row r="1317" ht="15.75" customHeight="1">
      <c r="B1317" s="19">
        <v>2.0230324E7</v>
      </c>
      <c r="C1317" s="2" t="s">
        <v>2562</v>
      </c>
      <c r="D1317" s="2" t="s">
        <v>2483</v>
      </c>
      <c r="E1317" s="2" t="s">
        <v>2600</v>
      </c>
      <c r="F1317" s="2" t="s">
        <v>3003</v>
      </c>
    </row>
    <row r="1318" ht="15.75" customHeight="1">
      <c r="B1318" s="19">
        <v>2.0230327E7</v>
      </c>
      <c r="C1318" s="2" t="s">
        <v>2617</v>
      </c>
      <c r="D1318" s="2" t="s">
        <v>2468</v>
      </c>
      <c r="E1318" s="2" t="s">
        <v>2522</v>
      </c>
      <c r="F1318" s="2" t="s">
        <v>3003</v>
      </c>
    </row>
    <row r="1319" ht="15.75" customHeight="1">
      <c r="B1319" s="19">
        <v>2.0230328E7</v>
      </c>
      <c r="C1319" s="2" t="s">
        <v>2616</v>
      </c>
      <c r="D1319" s="2" t="s">
        <v>2616</v>
      </c>
      <c r="E1319" s="2" t="s">
        <v>2546</v>
      </c>
      <c r="F1319" s="2" t="s">
        <v>3003</v>
      </c>
    </row>
    <row r="1320" ht="15.75" customHeight="1">
      <c r="B1320" s="19">
        <v>2.0230329E7</v>
      </c>
      <c r="C1320" s="2" t="s">
        <v>2754</v>
      </c>
      <c r="D1320" s="2" t="s">
        <v>2614</v>
      </c>
      <c r="E1320" s="2" t="s">
        <v>2474</v>
      </c>
      <c r="F1320" s="2" t="s">
        <v>3003</v>
      </c>
    </row>
    <row r="1321" ht="15.75" customHeight="1">
      <c r="B1321" s="19">
        <v>2.023033E7</v>
      </c>
      <c r="C1321" s="2" t="s">
        <v>2597</v>
      </c>
      <c r="D1321" s="2" t="s">
        <v>2474</v>
      </c>
      <c r="E1321" s="2" t="s">
        <v>2492</v>
      </c>
      <c r="F1321" s="2" t="s">
        <v>3003</v>
      </c>
    </row>
    <row r="1322" ht="15.75" customHeight="1">
      <c r="B1322" s="19">
        <v>2.0230331E7</v>
      </c>
      <c r="C1322" s="2" t="s">
        <v>2891</v>
      </c>
      <c r="D1322" s="2" t="s">
        <v>2527</v>
      </c>
      <c r="E1322" s="2" t="s">
        <v>2670</v>
      </c>
      <c r="F1322" s="2" t="s">
        <v>3003</v>
      </c>
    </row>
    <row r="1323" ht="15.75" customHeight="1">
      <c r="B1323" s="19">
        <v>2.0230403E7</v>
      </c>
      <c r="C1323" s="2" t="s">
        <v>2533</v>
      </c>
      <c r="D1323" s="2" t="s">
        <v>2577</v>
      </c>
      <c r="E1323" s="2" t="s">
        <v>2491</v>
      </c>
      <c r="F1323" s="2" t="s">
        <v>3008</v>
      </c>
    </row>
    <row r="1324" ht="15.75" customHeight="1">
      <c r="B1324" s="19">
        <v>2.0230404E7</v>
      </c>
      <c r="C1324" s="2" t="s">
        <v>2758</v>
      </c>
      <c r="D1324" s="2" t="s">
        <v>2692</v>
      </c>
      <c r="E1324" s="2" t="s">
        <v>2758</v>
      </c>
      <c r="F1324" s="2" t="s">
        <v>3008</v>
      </c>
    </row>
    <row r="1325" ht="15.75" customHeight="1">
      <c r="B1325" s="19">
        <v>2.0230405E7</v>
      </c>
      <c r="C1325" s="2" t="s">
        <v>2605</v>
      </c>
      <c r="D1325" s="2" t="s">
        <v>2769</v>
      </c>
      <c r="E1325" s="2" t="s">
        <v>2874</v>
      </c>
      <c r="F1325" s="2" t="s">
        <v>3008</v>
      </c>
    </row>
    <row r="1326" ht="15.75" customHeight="1">
      <c r="B1326" s="19">
        <v>2.0230406E7</v>
      </c>
      <c r="C1326" s="2" t="s">
        <v>2650</v>
      </c>
      <c r="D1326" s="2" t="s">
        <v>2580</v>
      </c>
      <c r="E1326" s="2" t="s">
        <v>2538</v>
      </c>
      <c r="F1326" s="2" t="s">
        <v>3008</v>
      </c>
    </row>
    <row r="1327" ht="15.75" customHeight="1">
      <c r="B1327" s="19">
        <v>2.023041E7</v>
      </c>
      <c r="C1327" s="2" t="s">
        <v>2583</v>
      </c>
      <c r="D1327" s="2" t="s">
        <v>2512</v>
      </c>
      <c r="E1327" s="2" t="s">
        <v>2617</v>
      </c>
      <c r="F1327" s="2" t="s">
        <v>3008</v>
      </c>
    </row>
    <row r="1328" ht="15.75" customHeight="1">
      <c r="B1328" s="19">
        <v>2.0230411E7</v>
      </c>
      <c r="C1328" s="2" t="s">
        <v>2580</v>
      </c>
      <c r="D1328" s="2" t="s">
        <v>2535</v>
      </c>
      <c r="E1328" s="2" t="s">
        <v>2581</v>
      </c>
      <c r="F1328" s="2" t="s">
        <v>3008</v>
      </c>
    </row>
    <row r="1329" ht="15.75" customHeight="1">
      <c r="B1329" s="19">
        <v>2.0230412E7</v>
      </c>
      <c r="C1329" s="2" t="s">
        <v>2477</v>
      </c>
      <c r="D1329" s="2" t="s">
        <v>2474</v>
      </c>
      <c r="E1329" s="2" t="s">
        <v>2530</v>
      </c>
      <c r="F1329" s="2" t="s">
        <v>3008</v>
      </c>
    </row>
    <row r="1330" ht="15.75" customHeight="1">
      <c r="B1330" s="19">
        <v>2.0230413E7</v>
      </c>
      <c r="C1330" s="2" t="s">
        <v>2754</v>
      </c>
      <c r="D1330" s="2" t="s">
        <v>2510</v>
      </c>
      <c r="E1330" s="2" t="s">
        <v>2767</v>
      </c>
      <c r="F1330" s="2" t="s">
        <v>3008</v>
      </c>
    </row>
    <row r="1331" ht="15.75" customHeight="1">
      <c r="B1331" s="19">
        <v>2.0230414E7</v>
      </c>
      <c r="C1331" s="2" t="s">
        <v>2551</v>
      </c>
      <c r="D1331" s="2" t="s">
        <v>2748</v>
      </c>
      <c r="E1331" s="2" t="s">
        <v>2583</v>
      </c>
      <c r="F1331" s="2" t="s">
        <v>3008</v>
      </c>
    </row>
    <row r="1332" ht="15.75" customHeight="1">
      <c r="B1332" s="19">
        <v>2.0230417E7</v>
      </c>
      <c r="C1332" s="2" t="s">
        <v>2561</v>
      </c>
      <c r="D1332" s="2" t="s">
        <v>2512</v>
      </c>
      <c r="E1332" s="2" t="s">
        <v>2593</v>
      </c>
      <c r="F1332" s="2" t="s">
        <v>3008</v>
      </c>
    </row>
    <row r="1333" ht="15.75" customHeight="1">
      <c r="B1333" s="19">
        <v>2.0230418E7</v>
      </c>
      <c r="C1333" s="2" t="s">
        <v>2488</v>
      </c>
      <c r="D1333" s="2" t="s">
        <v>2511</v>
      </c>
      <c r="E1333" s="2" t="s">
        <v>2614</v>
      </c>
      <c r="F1333" s="2" t="s">
        <v>3008</v>
      </c>
    </row>
    <row r="1334" ht="15.75" customHeight="1">
      <c r="B1334" s="19">
        <v>2.0230419E7</v>
      </c>
      <c r="C1334" s="2" t="s">
        <v>2447</v>
      </c>
      <c r="D1334" s="2" t="s">
        <v>2533</v>
      </c>
      <c r="E1334" s="2" t="s">
        <v>2567</v>
      </c>
      <c r="F1334" s="2" t="s">
        <v>3008</v>
      </c>
    </row>
    <row r="1335" ht="15.75" customHeight="1">
      <c r="B1335" s="19">
        <v>2.023042E7</v>
      </c>
      <c r="C1335" s="2" t="s">
        <v>2476</v>
      </c>
      <c r="D1335" s="2" t="s">
        <v>2640</v>
      </c>
      <c r="E1335" s="2" t="s">
        <v>2439</v>
      </c>
      <c r="F1335" s="2" t="s">
        <v>3008</v>
      </c>
    </row>
    <row r="1336" ht="15.75" customHeight="1">
      <c r="B1336" s="19">
        <v>2.0230421E7</v>
      </c>
      <c r="C1336" s="2" t="s">
        <v>2485</v>
      </c>
      <c r="D1336" s="2" t="s">
        <v>2505</v>
      </c>
      <c r="E1336" s="2" t="s">
        <v>2639</v>
      </c>
      <c r="F1336" s="2" t="s">
        <v>3008</v>
      </c>
    </row>
    <row r="1337" ht="15.75" customHeight="1">
      <c r="B1337" s="19">
        <v>2.0230424E7</v>
      </c>
      <c r="C1337" s="2" t="s">
        <v>2621</v>
      </c>
      <c r="D1337" s="2" t="s">
        <v>2605</v>
      </c>
      <c r="E1337" s="2" t="s">
        <v>2535</v>
      </c>
      <c r="F1337" s="2" t="s">
        <v>3008</v>
      </c>
    </row>
    <row r="1338" ht="15.75" customHeight="1">
      <c r="B1338" s="19">
        <v>2.0230425E7</v>
      </c>
      <c r="C1338" s="2" t="s">
        <v>2878</v>
      </c>
      <c r="D1338" s="2" t="s">
        <v>2734</v>
      </c>
      <c r="E1338" s="2" t="s">
        <v>2483</v>
      </c>
      <c r="F1338" s="2" t="s">
        <v>3008</v>
      </c>
    </row>
    <row r="1339" ht="15.75" customHeight="1">
      <c r="B1339" s="19">
        <v>2.0230426E7</v>
      </c>
      <c r="C1339" s="2" t="s">
        <v>2514</v>
      </c>
      <c r="D1339" s="2" t="s">
        <v>2469</v>
      </c>
      <c r="E1339" s="2" t="s">
        <v>2707</v>
      </c>
      <c r="F1339" s="2" t="s">
        <v>3008</v>
      </c>
    </row>
    <row r="1340" ht="15.75" customHeight="1">
      <c r="B1340" s="19">
        <v>2.0230427E7</v>
      </c>
      <c r="C1340" s="2" t="s">
        <v>2857</v>
      </c>
      <c r="D1340" s="2" t="s">
        <v>2723</v>
      </c>
      <c r="E1340" s="2" t="s">
        <v>2458</v>
      </c>
      <c r="F1340" s="2" t="s">
        <v>3008</v>
      </c>
    </row>
    <row r="1341" ht="15.75" customHeight="1">
      <c r="B1341" s="19">
        <v>2.0230428E7</v>
      </c>
      <c r="C1341" s="2" t="s">
        <v>2465</v>
      </c>
      <c r="D1341" s="2" t="s">
        <v>2446</v>
      </c>
      <c r="E1341" s="2" t="s">
        <v>2611</v>
      </c>
      <c r="F1341" s="2" t="s">
        <v>3008</v>
      </c>
    </row>
    <row r="1342" ht="15.75" customHeight="1">
      <c r="B1342" s="19">
        <v>2.0230501E7</v>
      </c>
      <c r="C1342" s="2" t="s">
        <v>2479</v>
      </c>
      <c r="D1342" s="2" t="s">
        <v>2565</v>
      </c>
      <c r="E1342" s="2" t="s">
        <v>2626</v>
      </c>
      <c r="F1342" s="2" t="s">
        <v>3003</v>
      </c>
    </row>
    <row r="1343" ht="15.75" customHeight="1">
      <c r="B1343" s="19">
        <v>2.0230502E7</v>
      </c>
      <c r="C1343" s="2" t="s">
        <v>2859</v>
      </c>
      <c r="D1343" s="2" t="s">
        <v>2538</v>
      </c>
      <c r="E1343" s="2" t="s">
        <v>2987</v>
      </c>
      <c r="F1343" s="2" t="s">
        <v>3003</v>
      </c>
    </row>
    <row r="1344" ht="15.75" customHeight="1">
      <c r="B1344" s="19">
        <v>2.0230503E7</v>
      </c>
      <c r="C1344" s="2" t="s">
        <v>2723</v>
      </c>
      <c r="D1344" s="2" t="s">
        <v>2526</v>
      </c>
      <c r="E1344" s="2" t="s">
        <v>2457</v>
      </c>
      <c r="F1344" s="2" t="s">
        <v>3003</v>
      </c>
    </row>
    <row r="1345" ht="15.75" customHeight="1">
      <c r="B1345" s="19">
        <v>2.0230504E7</v>
      </c>
      <c r="C1345" s="2" t="s">
        <v>2626</v>
      </c>
      <c r="D1345" s="2" t="s">
        <v>2489</v>
      </c>
      <c r="E1345" s="2" t="s">
        <v>2734</v>
      </c>
      <c r="F1345" s="2" t="s">
        <v>3003</v>
      </c>
    </row>
    <row r="1346" ht="15.75" customHeight="1">
      <c r="B1346" s="19">
        <v>2.0230505E7</v>
      </c>
      <c r="C1346" s="2" t="s">
        <v>2827</v>
      </c>
      <c r="D1346" s="2" t="s">
        <v>2567</v>
      </c>
      <c r="E1346" s="2" t="s">
        <v>2726</v>
      </c>
      <c r="F1346" s="2" t="s">
        <v>3003</v>
      </c>
    </row>
    <row r="1347" ht="15.75" customHeight="1">
      <c r="B1347" s="19">
        <v>2.0230508E7</v>
      </c>
      <c r="C1347" s="2" t="s">
        <v>2485</v>
      </c>
      <c r="D1347" s="2" t="s">
        <v>2454</v>
      </c>
      <c r="E1347" s="2" t="s">
        <v>2630</v>
      </c>
      <c r="F1347" s="2" t="s">
        <v>3003</v>
      </c>
    </row>
    <row r="1348" ht="15.75" customHeight="1">
      <c r="B1348" s="19">
        <v>2.0230509E7</v>
      </c>
      <c r="C1348" s="2" t="s">
        <v>2511</v>
      </c>
      <c r="D1348" s="2" t="s">
        <v>2483</v>
      </c>
      <c r="E1348" s="2" t="s">
        <v>2582</v>
      </c>
      <c r="F1348" s="2" t="s">
        <v>3003</v>
      </c>
    </row>
    <row r="1349" ht="15.75" customHeight="1">
      <c r="B1349" s="19">
        <v>2.023051E7</v>
      </c>
      <c r="C1349" s="2" t="s">
        <v>2712</v>
      </c>
      <c r="D1349" s="2" t="s">
        <v>2547</v>
      </c>
      <c r="E1349" s="2" t="s">
        <v>2750</v>
      </c>
      <c r="F1349" s="2" t="s">
        <v>3003</v>
      </c>
    </row>
    <row r="1350" ht="15.75" customHeight="1">
      <c r="B1350" s="19">
        <v>2.0230511E7</v>
      </c>
      <c r="C1350" s="2" t="s">
        <v>2481</v>
      </c>
      <c r="D1350" s="2" t="s">
        <v>2531</v>
      </c>
      <c r="E1350" s="2" t="s">
        <v>2536</v>
      </c>
      <c r="F1350" s="2" t="s">
        <v>3003</v>
      </c>
    </row>
    <row r="1351" ht="15.75" customHeight="1">
      <c r="B1351" s="19">
        <v>2.0230512E7</v>
      </c>
      <c r="C1351" s="2" t="s">
        <v>2433</v>
      </c>
      <c r="D1351" s="2" t="s">
        <v>2518</v>
      </c>
      <c r="E1351" s="2" t="s">
        <v>2432</v>
      </c>
      <c r="F1351" s="2" t="s">
        <v>3003</v>
      </c>
    </row>
    <row r="1352" ht="15.75" customHeight="1">
      <c r="B1352" s="19">
        <v>2.0230515E7</v>
      </c>
      <c r="C1352" s="2" t="s">
        <v>2535</v>
      </c>
      <c r="D1352" s="2" t="s">
        <v>2570</v>
      </c>
      <c r="E1352" s="2" t="s">
        <v>2458</v>
      </c>
      <c r="F1352" s="2" t="s">
        <v>3003</v>
      </c>
    </row>
    <row r="1353" ht="15.75" customHeight="1">
      <c r="B1353" s="19">
        <v>2.0230516E7</v>
      </c>
      <c r="C1353" s="2" t="s">
        <v>2758</v>
      </c>
      <c r="D1353" s="2" t="s">
        <v>2587</v>
      </c>
      <c r="E1353" s="2" t="s">
        <v>2502</v>
      </c>
      <c r="F1353" s="2" t="s">
        <v>3003</v>
      </c>
    </row>
    <row r="1354" ht="15.75" customHeight="1">
      <c r="B1354" s="19">
        <v>2.0230517E7</v>
      </c>
      <c r="C1354" s="2" t="s">
        <v>2695</v>
      </c>
      <c r="D1354" s="2" t="s">
        <v>2451</v>
      </c>
      <c r="E1354" s="2" t="s">
        <v>2681</v>
      </c>
      <c r="F1354" s="2" t="s">
        <v>3003</v>
      </c>
    </row>
    <row r="1355" ht="15.75" customHeight="1">
      <c r="B1355" s="19">
        <v>2.0230518E7</v>
      </c>
      <c r="C1355" s="2" t="s">
        <v>2721</v>
      </c>
      <c r="D1355" s="2" t="s">
        <v>2536</v>
      </c>
      <c r="E1355" s="2" t="s">
        <v>2495</v>
      </c>
      <c r="F1355" s="2" t="s">
        <v>3003</v>
      </c>
    </row>
    <row r="1356" ht="15.75" customHeight="1">
      <c r="B1356" s="19">
        <v>2.0230519E7</v>
      </c>
      <c r="C1356" s="2" t="s">
        <v>2439</v>
      </c>
      <c r="D1356" s="2" t="s">
        <v>2612</v>
      </c>
      <c r="E1356" s="2" t="s">
        <v>2614</v>
      </c>
      <c r="F1356" s="2" t="s">
        <v>3003</v>
      </c>
    </row>
    <row r="1357" ht="15.75" customHeight="1">
      <c r="B1357" s="19">
        <v>2.0230522E7</v>
      </c>
      <c r="C1357" s="2" t="s">
        <v>2611</v>
      </c>
      <c r="D1357" s="2" t="s">
        <v>2892</v>
      </c>
      <c r="E1357" s="2" t="s">
        <v>2433</v>
      </c>
      <c r="F1357" s="2" t="s">
        <v>3003</v>
      </c>
    </row>
    <row r="1358" ht="15.75" customHeight="1">
      <c r="B1358" s="19">
        <v>2.0230523E7</v>
      </c>
      <c r="C1358" s="2" t="s">
        <v>2686</v>
      </c>
      <c r="D1358" s="2" t="s">
        <v>2564</v>
      </c>
      <c r="E1358" s="2" t="s">
        <v>2760</v>
      </c>
      <c r="F1358" s="2" t="s">
        <v>3003</v>
      </c>
    </row>
    <row r="1359" ht="15.75" customHeight="1">
      <c r="B1359" s="19">
        <v>2.0230524E7</v>
      </c>
      <c r="C1359" s="2" t="s">
        <v>2758</v>
      </c>
      <c r="D1359" s="2" t="s">
        <v>2557</v>
      </c>
      <c r="E1359" s="2" t="s">
        <v>2518</v>
      </c>
      <c r="F1359" s="2" t="s">
        <v>3003</v>
      </c>
    </row>
    <row r="1360" ht="15.75" customHeight="1">
      <c r="B1360" s="19">
        <v>2.0230525E7</v>
      </c>
      <c r="C1360" s="2" t="s">
        <v>2634</v>
      </c>
      <c r="D1360" s="2" t="s">
        <v>2646</v>
      </c>
      <c r="E1360" s="2" t="s">
        <v>2711</v>
      </c>
      <c r="F1360" s="2" t="s">
        <v>3003</v>
      </c>
    </row>
    <row r="1361" ht="15.75" customHeight="1">
      <c r="B1361" s="19">
        <v>2.0230526E7</v>
      </c>
      <c r="C1361" s="2" t="s">
        <v>2695</v>
      </c>
      <c r="D1361" s="2" t="s">
        <v>2488</v>
      </c>
      <c r="E1361" s="2" t="s">
        <v>2740</v>
      </c>
      <c r="F1361" s="2" t="s">
        <v>3003</v>
      </c>
    </row>
    <row r="1362" ht="15.75" customHeight="1">
      <c r="B1362" s="19">
        <v>2.023053E7</v>
      </c>
      <c r="C1362" s="2" t="s">
        <v>2644</v>
      </c>
      <c r="D1362" s="2" t="s">
        <v>2444</v>
      </c>
      <c r="E1362" s="2" t="s">
        <v>2514</v>
      </c>
      <c r="F1362" s="2" t="s">
        <v>3003</v>
      </c>
    </row>
    <row r="1363" ht="15.75" customHeight="1">
      <c r="B1363" s="19">
        <v>2.0230531E7</v>
      </c>
      <c r="C1363" s="2" t="s">
        <v>2638</v>
      </c>
      <c r="D1363" s="2" t="s">
        <v>2461</v>
      </c>
      <c r="E1363" s="2" t="s">
        <v>2736</v>
      </c>
      <c r="F1363" s="2" t="s">
        <v>3003</v>
      </c>
    </row>
    <row r="1364" ht="15.75" customHeight="1">
      <c r="B1364" s="19">
        <v>2.0230601E7</v>
      </c>
      <c r="C1364" s="2" t="s">
        <v>2522</v>
      </c>
      <c r="D1364" s="2" t="s">
        <v>2469</v>
      </c>
      <c r="E1364" s="2" t="s">
        <v>2448</v>
      </c>
      <c r="F1364" s="2" t="s">
        <v>3011</v>
      </c>
    </row>
    <row r="1365" ht="15.75" customHeight="1">
      <c r="B1365" s="19">
        <v>2.0230602E7</v>
      </c>
      <c r="C1365" s="2" t="s">
        <v>2671</v>
      </c>
      <c r="D1365" s="2" t="s">
        <v>2676</v>
      </c>
      <c r="E1365" s="2" t="s">
        <v>2935</v>
      </c>
      <c r="F1365" s="2" t="s">
        <v>3011</v>
      </c>
    </row>
    <row r="1366" ht="15.75" customHeight="1">
      <c r="B1366" s="19">
        <v>2.0230605E7</v>
      </c>
      <c r="C1366" s="2" t="s">
        <v>2439</v>
      </c>
      <c r="D1366" s="2" t="s">
        <v>2618</v>
      </c>
      <c r="E1366" s="2" t="s">
        <v>2620</v>
      </c>
      <c r="F1366" s="2" t="s">
        <v>3011</v>
      </c>
    </row>
    <row r="1367" ht="15.75" customHeight="1">
      <c r="B1367" s="19">
        <v>2.0230606E7</v>
      </c>
      <c r="C1367" s="2" t="s">
        <v>2535</v>
      </c>
      <c r="D1367" s="2" t="s">
        <v>3012</v>
      </c>
      <c r="E1367" s="2" t="s">
        <v>2695</v>
      </c>
      <c r="F1367" s="2" t="s">
        <v>3011</v>
      </c>
    </row>
    <row r="1368" ht="15.75" customHeight="1">
      <c r="B1368" s="19">
        <v>2.0230607E7</v>
      </c>
      <c r="C1368" s="2" t="s">
        <v>2470</v>
      </c>
      <c r="D1368" s="2" t="s">
        <v>2925</v>
      </c>
      <c r="E1368" s="2" t="s">
        <v>2663</v>
      </c>
      <c r="F1368" s="2" t="s">
        <v>3011</v>
      </c>
    </row>
    <row r="1369" ht="15.75" customHeight="1">
      <c r="B1369" s="19">
        <v>2.0230608E7</v>
      </c>
      <c r="C1369" s="2" t="s">
        <v>2435</v>
      </c>
      <c r="D1369" s="2" t="s">
        <v>2456</v>
      </c>
      <c r="E1369" s="2" t="s">
        <v>2832</v>
      </c>
      <c r="F1369" s="2" t="s">
        <v>3011</v>
      </c>
    </row>
    <row r="1370" ht="15.75" customHeight="1">
      <c r="B1370" s="19">
        <v>2.0230609E7</v>
      </c>
      <c r="C1370" s="2" t="s">
        <v>2484</v>
      </c>
      <c r="D1370" s="2" t="s">
        <v>2646</v>
      </c>
      <c r="E1370" s="2" t="s">
        <v>2605</v>
      </c>
      <c r="F1370" s="2" t="s">
        <v>3011</v>
      </c>
    </row>
    <row r="1371" ht="15.75" customHeight="1">
      <c r="B1371" s="19">
        <v>2.0230612E7</v>
      </c>
      <c r="C1371" s="2" t="s">
        <v>2464</v>
      </c>
      <c r="D1371" s="2" t="s">
        <v>2488</v>
      </c>
      <c r="E1371" s="2" t="s">
        <v>2769</v>
      </c>
      <c r="F1371" s="2" t="s">
        <v>3011</v>
      </c>
    </row>
    <row r="1372" ht="15.75" customHeight="1">
      <c r="B1372" s="19">
        <v>2.0230613E7</v>
      </c>
      <c r="C1372" s="2" t="s">
        <v>2643</v>
      </c>
      <c r="D1372" s="2" t="s">
        <v>2450</v>
      </c>
      <c r="E1372" s="2" t="s">
        <v>2449</v>
      </c>
      <c r="F1372" s="2" t="s">
        <v>3011</v>
      </c>
    </row>
    <row r="1373" ht="15.75" customHeight="1">
      <c r="B1373" s="19">
        <v>2.0230614E7</v>
      </c>
      <c r="C1373" s="2" t="s">
        <v>2447</v>
      </c>
      <c r="D1373" s="2" t="s">
        <v>2753</v>
      </c>
      <c r="E1373" s="2" t="s">
        <v>2659</v>
      </c>
      <c r="F1373" s="2" t="s">
        <v>3011</v>
      </c>
    </row>
    <row r="1374" ht="15.75" customHeight="1">
      <c r="B1374" s="19">
        <v>2.0230615E7</v>
      </c>
      <c r="C1374" s="2" t="s">
        <v>2655</v>
      </c>
      <c r="D1374" s="2" t="s">
        <v>2442</v>
      </c>
      <c r="E1374" s="2" t="s">
        <v>2580</v>
      </c>
      <c r="F1374" s="2" t="s">
        <v>3011</v>
      </c>
    </row>
    <row r="1375" ht="15.75" customHeight="1">
      <c r="B1375" s="19">
        <v>2.0230616E7</v>
      </c>
      <c r="C1375" s="2" t="s">
        <v>2612</v>
      </c>
      <c r="D1375" s="2" t="s">
        <v>2595</v>
      </c>
      <c r="E1375" s="2" t="s">
        <v>2497</v>
      </c>
      <c r="F1375" s="2" t="s">
        <v>3011</v>
      </c>
    </row>
    <row r="1376" ht="15.75" customHeight="1">
      <c r="B1376" s="19">
        <v>2.023062E7</v>
      </c>
      <c r="C1376" s="2" t="s">
        <v>2531</v>
      </c>
      <c r="D1376" s="2" t="s">
        <v>2712</v>
      </c>
      <c r="E1376" s="2" t="s">
        <v>2647</v>
      </c>
      <c r="F1376" s="2" t="s">
        <v>3011</v>
      </c>
    </row>
    <row r="1377" ht="15.75" customHeight="1">
      <c r="B1377" s="19">
        <v>2.0230621E7</v>
      </c>
      <c r="C1377" s="2" t="s">
        <v>2723</v>
      </c>
      <c r="D1377" s="2" t="s">
        <v>2484</v>
      </c>
      <c r="E1377" s="2" t="s">
        <v>2486</v>
      </c>
      <c r="F1377" s="2" t="s">
        <v>3011</v>
      </c>
    </row>
    <row r="1378" ht="15.75" customHeight="1">
      <c r="B1378" s="19">
        <v>2.0230622E7</v>
      </c>
      <c r="C1378" s="2" t="s">
        <v>2540</v>
      </c>
      <c r="D1378" s="2" t="s">
        <v>2537</v>
      </c>
      <c r="E1378" s="2" t="s">
        <v>2717</v>
      </c>
      <c r="F1378" s="2" t="s">
        <v>3011</v>
      </c>
    </row>
    <row r="1379" ht="15.75" customHeight="1">
      <c r="B1379" s="19">
        <v>2.0230623E7</v>
      </c>
      <c r="C1379" s="2" t="s">
        <v>2472</v>
      </c>
      <c r="D1379" s="2" t="s">
        <v>2509</v>
      </c>
      <c r="E1379" s="2" t="s">
        <v>2449</v>
      </c>
      <c r="F1379" s="2" t="s">
        <v>3011</v>
      </c>
    </row>
    <row r="1380" ht="15.75" customHeight="1">
      <c r="B1380" s="19">
        <v>2.0230626E7</v>
      </c>
      <c r="C1380" s="2" t="s">
        <v>2531</v>
      </c>
      <c r="D1380" s="2" t="s">
        <v>2557</v>
      </c>
      <c r="E1380" s="2" t="s">
        <v>2592</v>
      </c>
      <c r="F1380" s="2" t="s">
        <v>3011</v>
      </c>
    </row>
    <row r="1381" ht="15.75" customHeight="1">
      <c r="B1381" s="19">
        <v>2.0230627E7</v>
      </c>
      <c r="C1381" s="2" t="s">
        <v>2507</v>
      </c>
      <c r="D1381" s="2" t="s">
        <v>2535</v>
      </c>
      <c r="E1381" s="2" t="s">
        <v>2494</v>
      </c>
      <c r="F1381" s="2" t="s">
        <v>3011</v>
      </c>
    </row>
    <row r="1382" ht="15.75" customHeight="1">
      <c r="B1382" s="19">
        <v>2.0230628E7</v>
      </c>
      <c r="C1382" s="2" t="s">
        <v>2488</v>
      </c>
      <c r="D1382" s="2" t="s">
        <v>2486</v>
      </c>
      <c r="E1382" s="2" t="s">
        <v>2520</v>
      </c>
      <c r="F1382" s="2" t="s">
        <v>3011</v>
      </c>
    </row>
    <row r="1383" ht="15.75" customHeight="1">
      <c r="B1383" s="19">
        <v>2.0230629E7</v>
      </c>
      <c r="C1383" s="2" t="s">
        <v>2473</v>
      </c>
      <c r="D1383" s="2" t="s">
        <v>2500</v>
      </c>
      <c r="E1383" s="2" t="s">
        <v>2719</v>
      </c>
      <c r="F1383" s="2" t="s">
        <v>3011</v>
      </c>
    </row>
    <row r="1384" ht="15.75" customHeight="1">
      <c r="B1384" s="19">
        <v>2.023063E7</v>
      </c>
      <c r="C1384" s="2" t="s">
        <v>2746</v>
      </c>
      <c r="D1384" s="2" t="s">
        <v>2509</v>
      </c>
      <c r="E1384" s="2" t="s">
        <v>2670</v>
      </c>
      <c r="F1384" s="2" t="s">
        <v>3011</v>
      </c>
    </row>
    <row r="1385" ht="15.75" customHeight="1">
      <c r="B1385" s="19">
        <v>2.0230703E7</v>
      </c>
      <c r="C1385" s="2" t="s">
        <v>2446</v>
      </c>
      <c r="D1385" s="2" t="s">
        <v>2621</v>
      </c>
      <c r="E1385" s="2" t="s">
        <v>2578</v>
      </c>
      <c r="F1385" s="2" t="s">
        <v>3013</v>
      </c>
    </row>
    <row r="1386" ht="15.75" customHeight="1">
      <c r="B1386" s="19">
        <v>2.0230705E7</v>
      </c>
      <c r="C1386" s="2" t="s">
        <v>2489</v>
      </c>
      <c r="D1386" s="2" t="s">
        <v>2748</v>
      </c>
      <c r="E1386" s="2" t="s">
        <v>2439</v>
      </c>
      <c r="F1386" s="2" t="s">
        <v>3013</v>
      </c>
    </row>
    <row r="1387" ht="15.75" customHeight="1">
      <c r="B1387" s="19">
        <v>2.0230706E7</v>
      </c>
      <c r="C1387" s="2" t="s">
        <v>2748</v>
      </c>
      <c r="D1387" s="2" t="s">
        <v>2477</v>
      </c>
      <c r="E1387" s="2" t="s">
        <v>2553</v>
      </c>
      <c r="F1387" s="2" t="s">
        <v>3013</v>
      </c>
    </row>
    <row r="1388" ht="15.75" customHeight="1">
      <c r="B1388" s="19">
        <v>2.0230707E7</v>
      </c>
      <c r="C1388" s="2" t="s">
        <v>2568</v>
      </c>
      <c r="D1388" s="2" t="s">
        <v>2526</v>
      </c>
      <c r="E1388" s="2" t="s">
        <v>2856</v>
      </c>
      <c r="F1388" s="2" t="s">
        <v>3013</v>
      </c>
    </row>
    <row r="1389" ht="15.75" customHeight="1">
      <c r="B1389" s="19">
        <v>2.023071E7</v>
      </c>
      <c r="C1389" s="2" t="s">
        <v>2530</v>
      </c>
      <c r="D1389" s="2" t="s">
        <v>2673</v>
      </c>
      <c r="E1389" s="2" t="s">
        <v>2644</v>
      </c>
      <c r="F1389" s="2" t="s">
        <v>3013</v>
      </c>
    </row>
    <row r="1390" ht="15.75" customHeight="1">
      <c r="B1390" s="19">
        <v>2.0230711E7</v>
      </c>
      <c r="C1390" s="2" t="s">
        <v>2546</v>
      </c>
      <c r="D1390" s="2" t="s">
        <v>2488</v>
      </c>
      <c r="E1390" s="2" t="s">
        <v>2506</v>
      </c>
      <c r="F1390" s="2" t="s">
        <v>3013</v>
      </c>
    </row>
    <row r="1391" ht="15.75" customHeight="1">
      <c r="B1391" s="19">
        <v>2.0230712E7</v>
      </c>
      <c r="C1391" s="2" t="s">
        <v>2643</v>
      </c>
      <c r="D1391" s="2" t="s">
        <v>2565</v>
      </c>
      <c r="E1391" s="2" t="s">
        <v>2712</v>
      </c>
      <c r="F1391" s="2" t="s">
        <v>3013</v>
      </c>
    </row>
    <row r="1392" ht="15.75" customHeight="1">
      <c r="B1392" s="19">
        <v>2.0230713E7</v>
      </c>
      <c r="C1392" s="2" t="s">
        <v>2599</v>
      </c>
      <c r="D1392" s="2" t="s">
        <v>2445</v>
      </c>
      <c r="E1392" s="2" t="s">
        <v>2461</v>
      </c>
      <c r="F1392" s="2" t="s">
        <v>3013</v>
      </c>
    </row>
    <row r="1393" ht="15.75" customHeight="1">
      <c r="B1393" s="19">
        <v>2.0230714E7</v>
      </c>
      <c r="C1393" s="2" t="s">
        <v>2463</v>
      </c>
      <c r="D1393" s="2" t="s">
        <v>2614</v>
      </c>
      <c r="E1393" s="2" t="s">
        <v>2696</v>
      </c>
      <c r="F1393" s="2" t="s">
        <v>3013</v>
      </c>
    </row>
    <row r="1394" ht="15.75" customHeight="1">
      <c r="B1394" s="19">
        <v>2.0230717E7</v>
      </c>
      <c r="C1394" s="2" t="s">
        <v>2506</v>
      </c>
      <c r="D1394" s="2" t="s">
        <v>2719</v>
      </c>
      <c r="E1394" s="2" t="s">
        <v>2630</v>
      </c>
      <c r="F1394" s="2" t="s">
        <v>3013</v>
      </c>
    </row>
    <row r="1395" ht="15.75" customHeight="1">
      <c r="B1395" s="19">
        <v>2.0230718E7</v>
      </c>
      <c r="C1395" s="2" t="s">
        <v>2491</v>
      </c>
      <c r="D1395" s="2" t="s">
        <v>2468</v>
      </c>
      <c r="E1395" s="2" t="s">
        <v>2573</v>
      </c>
      <c r="F1395" s="2" t="s">
        <v>3013</v>
      </c>
    </row>
    <row r="1396" ht="15.75" customHeight="1">
      <c r="B1396" s="19">
        <v>2.0230719E7</v>
      </c>
      <c r="C1396" s="2" t="s">
        <v>2541</v>
      </c>
      <c r="D1396" s="2" t="s">
        <v>2448</v>
      </c>
      <c r="E1396" s="2" t="s">
        <v>2695</v>
      </c>
      <c r="F1396" s="2" t="s">
        <v>3013</v>
      </c>
    </row>
    <row r="1397" ht="15.75" customHeight="1">
      <c r="B1397" s="19">
        <v>2.023072E7</v>
      </c>
      <c r="C1397" s="2" t="s">
        <v>2579</v>
      </c>
      <c r="D1397" s="2" t="s">
        <v>2492</v>
      </c>
      <c r="E1397" s="2" t="s">
        <v>2555</v>
      </c>
      <c r="F1397" s="2" t="s">
        <v>3013</v>
      </c>
    </row>
    <row r="1398" ht="15.75" customHeight="1">
      <c r="B1398" s="19">
        <v>2.0230721E7</v>
      </c>
      <c r="C1398" s="2" t="s">
        <v>2582</v>
      </c>
      <c r="D1398" s="2" t="s">
        <v>2587</v>
      </c>
      <c r="E1398" s="2" t="s">
        <v>2571</v>
      </c>
      <c r="F1398" s="2" t="s">
        <v>3013</v>
      </c>
    </row>
    <row r="1399" ht="15.75" customHeight="1">
      <c r="B1399" s="19">
        <v>2.0230724E7</v>
      </c>
      <c r="C1399" s="2" t="s">
        <v>2453</v>
      </c>
      <c r="D1399" s="2" t="s">
        <v>2630</v>
      </c>
      <c r="E1399" s="2" t="s">
        <v>2491</v>
      </c>
      <c r="F1399" s="2" t="s">
        <v>3013</v>
      </c>
    </row>
    <row r="1400" ht="15.75" customHeight="1">
      <c r="B1400" s="19">
        <v>2.0230725E7</v>
      </c>
      <c r="C1400" s="2" t="s">
        <v>2541</v>
      </c>
      <c r="D1400" s="2" t="s">
        <v>2447</v>
      </c>
      <c r="E1400" s="2" t="s">
        <v>2735</v>
      </c>
      <c r="F1400" s="2" t="s">
        <v>3013</v>
      </c>
    </row>
    <row r="1401" ht="15.75" customHeight="1">
      <c r="B1401" s="19">
        <v>2.0230726E7</v>
      </c>
      <c r="C1401" s="2" t="s">
        <v>2576</v>
      </c>
      <c r="D1401" s="2" t="s">
        <v>2664</v>
      </c>
      <c r="E1401" s="2" t="s">
        <v>2585</v>
      </c>
      <c r="F1401" s="2" t="s">
        <v>3013</v>
      </c>
    </row>
    <row r="1402" ht="15.75" customHeight="1">
      <c r="B1402" s="19">
        <v>2.0230727E7</v>
      </c>
      <c r="C1402" s="2" t="s">
        <v>2707</v>
      </c>
      <c r="D1402" s="2" t="s">
        <v>2639</v>
      </c>
      <c r="E1402" s="2" t="s">
        <v>2505</v>
      </c>
      <c r="F1402" s="2" t="s">
        <v>3013</v>
      </c>
    </row>
    <row r="1403" ht="15.75" customHeight="1">
      <c r="B1403" s="19">
        <v>2.0230728E7</v>
      </c>
      <c r="C1403" s="2" t="s">
        <v>2746</v>
      </c>
      <c r="D1403" s="2" t="s">
        <v>2486</v>
      </c>
      <c r="E1403" s="2" t="s">
        <v>2557</v>
      </c>
      <c r="F1403" s="2" t="s">
        <v>3013</v>
      </c>
    </row>
    <row r="1404" ht="15.75" customHeight="1">
      <c r="B1404" s="19">
        <v>2.0230731E7</v>
      </c>
      <c r="C1404" s="2" t="s">
        <v>2505</v>
      </c>
      <c r="D1404" s="2" t="s">
        <v>2578</v>
      </c>
      <c r="E1404" s="2" t="s">
        <v>2534</v>
      </c>
      <c r="F1404" s="2" t="s">
        <v>3013</v>
      </c>
    </row>
    <row r="1405" ht="15.75" customHeight="1">
      <c r="B1405" s="19">
        <v>2.0230801E7</v>
      </c>
      <c r="C1405" s="2" t="s">
        <v>2442</v>
      </c>
      <c r="D1405" s="2" t="s">
        <v>2467</v>
      </c>
      <c r="E1405" s="2" t="s">
        <v>2453</v>
      </c>
      <c r="F1405" s="2" t="s">
        <v>3014</v>
      </c>
    </row>
    <row r="1406" ht="15.75" customHeight="1">
      <c r="B1406" s="19">
        <v>2.0230802E7</v>
      </c>
      <c r="C1406" s="2" t="s">
        <v>2771</v>
      </c>
      <c r="D1406" s="2" t="s">
        <v>2437</v>
      </c>
      <c r="E1406" s="2" t="s">
        <v>2435</v>
      </c>
      <c r="F1406" s="2" t="s">
        <v>3014</v>
      </c>
    </row>
    <row r="1407" ht="15.75" customHeight="1">
      <c r="B1407" s="19">
        <v>2.0230803E7</v>
      </c>
      <c r="C1407" s="2" t="s">
        <v>2593</v>
      </c>
      <c r="D1407" s="2" t="s">
        <v>2582</v>
      </c>
      <c r="E1407" s="2" t="s">
        <v>2485</v>
      </c>
      <c r="F1407" s="2" t="s">
        <v>3014</v>
      </c>
    </row>
    <row r="1408" ht="15.75" customHeight="1">
      <c r="B1408" s="19">
        <v>2.0230804E7</v>
      </c>
      <c r="C1408" s="2" t="s">
        <v>2456</v>
      </c>
      <c r="D1408" s="2" t="s">
        <v>2488</v>
      </c>
      <c r="E1408" s="2" t="s">
        <v>2465</v>
      </c>
      <c r="F1408" s="2" t="s">
        <v>3014</v>
      </c>
    </row>
    <row r="1409" ht="15.75" customHeight="1">
      <c r="B1409" s="19">
        <v>2.0230807E7</v>
      </c>
      <c r="C1409" s="2" t="s">
        <v>2465</v>
      </c>
      <c r="D1409" s="2" t="s">
        <v>2832</v>
      </c>
      <c r="E1409" s="2" t="s">
        <v>2450</v>
      </c>
      <c r="F1409" s="2" t="s">
        <v>3014</v>
      </c>
    </row>
    <row r="1410" ht="15.75" customHeight="1">
      <c r="B1410" s="19">
        <v>2.0230808E7</v>
      </c>
      <c r="C1410" s="2" t="s">
        <v>2577</v>
      </c>
      <c r="D1410" s="2" t="s">
        <v>2445</v>
      </c>
      <c r="E1410" s="2" t="s">
        <v>2528</v>
      </c>
      <c r="F1410" s="2" t="s">
        <v>3014</v>
      </c>
    </row>
    <row r="1411" ht="15.75" customHeight="1">
      <c r="B1411" s="19">
        <v>2.0230809E7</v>
      </c>
      <c r="C1411" s="2" t="s">
        <v>2626</v>
      </c>
      <c r="D1411" s="2" t="s">
        <v>2536</v>
      </c>
      <c r="E1411" s="2" t="s">
        <v>2447</v>
      </c>
      <c r="F1411" s="2" t="s">
        <v>3014</v>
      </c>
    </row>
    <row r="1412" ht="15.75" customHeight="1">
      <c r="B1412" s="19">
        <v>2.023081E7</v>
      </c>
      <c r="C1412" s="2" t="s">
        <v>2458</v>
      </c>
      <c r="D1412" s="2" t="s">
        <v>2557</v>
      </c>
      <c r="E1412" s="2" t="s">
        <v>2537</v>
      </c>
      <c r="F1412" s="2" t="s">
        <v>3014</v>
      </c>
    </row>
    <row r="1413" ht="15.75" customHeight="1">
      <c r="B1413" s="19">
        <v>2.0230811E7</v>
      </c>
      <c r="C1413" s="2" t="s">
        <v>2609</v>
      </c>
      <c r="D1413" s="2" t="s">
        <v>2575</v>
      </c>
      <c r="E1413" s="2" t="s">
        <v>2535</v>
      </c>
      <c r="F1413" s="2" t="s">
        <v>3014</v>
      </c>
    </row>
    <row r="1414" ht="15.75" customHeight="1">
      <c r="B1414" s="19">
        <v>2.0230814E7</v>
      </c>
      <c r="C1414" s="2" t="s">
        <v>2549</v>
      </c>
      <c r="D1414" s="2" t="s">
        <v>2722</v>
      </c>
      <c r="E1414" s="2" t="s">
        <v>2735</v>
      </c>
      <c r="F1414" s="2" t="s">
        <v>3014</v>
      </c>
    </row>
    <row r="1415" ht="15.75" customHeight="1">
      <c r="B1415" s="19">
        <v>2.0230815E7</v>
      </c>
      <c r="C1415" s="2" t="s">
        <v>2574</v>
      </c>
      <c r="D1415" s="2" t="s">
        <v>2440</v>
      </c>
      <c r="E1415" s="2" t="s">
        <v>2606</v>
      </c>
      <c r="F1415" s="2" t="s">
        <v>3014</v>
      </c>
    </row>
    <row r="1416" ht="15.75" customHeight="1">
      <c r="B1416" s="19">
        <v>2.0230816E7</v>
      </c>
      <c r="C1416" s="2" t="s">
        <v>2579</v>
      </c>
      <c r="D1416" s="2" t="s">
        <v>2514</v>
      </c>
      <c r="E1416" s="2" t="s">
        <v>2508</v>
      </c>
      <c r="F1416" s="2" t="s">
        <v>3014</v>
      </c>
    </row>
    <row r="1417" ht="15.75" customHeight="1">
      <c r="B1417" s="19">
        <v>2.0230817E7</v>
      </c>
      <c r="C1417" s="2" t="s">
        <v>2740</v>
      </c>
      <c r="D1417" s="2" t="s">
        <v>2587</v>
      </c>
      <c r="E1417" s="2" t="s">
        <v>2597</v>
      </c>
      <c r="F1417" s="2" t="s">
        <v>3014</v>
      </c>
    </row>
    <row r="1418" ht="15.75" customHeight="1">
      <c r="B1418" s="19">
        <v>2.0230818E7</v>
      </c>
      <c r="C1418" s="2" t="s">
        <v>2488</v>
      </c>
      <c r="D1418" s="2" t="s">
        <v>2544</v>
      </c>
      <c r="E1418" s="2" t="s">
        <v>2433</v>
      </c>
      <c r="F1418" s="2" t="s">
        <v>3014</v>
      </c>
    </row>
    <row r="1419" ht="15.75" customHeight="1">
      <c r="B1419" s="19">
        <v>2.0230821E7</v>
      </c>
      <c r="C1419" s="2" t="s">
        <v>2634</v>
      </c>
      <c r="D1419" s="2" t="s">
        <v>2627</v>
      </c>
      <c r="E1419" s="2" t="s">
        <v>2492</v>
      </c>
      <c r="F1419" s="2" t="s">
        <v>3014</v>
      </c>
    </row>
    <row r="1420" ht="15.75" customHeight="1">
      <c r="B1420" s="19">
        <v>2.0230822E7</v>
      </c>
      <c r="C1420" s="2" t="s">
        <v>2557</v>
      </c>
      <c r="D1420" s="2" t="s">
        <v>2513</v>
      </c>
      <c r="E1420" s="2" t="s">
        <v>2693</v>
      </c>
      <c r="F1420" s="2" t="s">
        <v>3014</v>
      </c>
    </row>
    <row r="1421" ht="15.75" customHeight="1">
      <c r="B1421" s="19">
        <v>2.0230823E7</v>
      </c>
      <c r="C1421" s="2" t="s">
        <v>2578</v>
      </c>
      <c r="D1421" s="2" t="s">
        <v>2461</v>
      </c>
      <c r="E1421" s="2" t="s">
        <v>2609</v>
      </c>
      <c r="F1421" s="2" t="s">
        <v>3014</v>
      </c>
    </row>
    <row r="1422" ht="15.75" customHeight="1">
      <c r="B1422" s="19">
        <v>2.0230824E7</v>
      </c>
      <c r="C1422" s="2" t="s">
        <v>2665</v>
      </c>
      <c r="D1422" s="2" t="s">
        <v>2593</v>
      </c>
      <c r="E1422" s="2" t="s">
        <v>2642</v>
      </c>
      <c r="F1422" s="2" t="s">
        <v>3014</v>
      </c>
    </row>
    <row r="1423" ht="15.75" customHeight="1">
      <c r="B1423" s="19">
        <v>2.0230825E7</v>
      </c>
      <c r="C1423" s="2" t="s">
        <v>2555</v>
      </c>
      <c r="D1423" s="2" t="s">
        <v>2448</v>
      </c>
      <c r="E1423" s="2" t="s">
        <v>2492</v>
      </c>
      <c r="F1423" s="2" t="s">
        <v>3014</v>
      </c>
    </row>
    <row r="1424" ht="15.75" customHeight="1">
      <c r="B1424" s="19">
        <v>2.0230828E7</v>
      </c>
      <c r="C1424" s="2" t="s">
        <v>2623</v>
      </c>
      <c r="D1424" s="2" t="s">
        <v>2644</v>
      </c>
      <c r="E1424" s="2" t="s">
        <v>2544</v>
      </c>
      <c r="F1424" s="2" t="s">
        <v>3014</v>
      </c>
    </row>
    <row r="1425" ht="15.75" customHeight="1">
      <c r="B1425" s="19">
        <v>2.0230829E7</v>
      </c>
      <c r="C1425" s="2" t="s">
        <v>3015</v>
      </c>
      <c r="D1425" s="2" t="s">
        <v>2458</v>
      </c>
      <c r="E1425" s="2" t="s">
        <v>2609</v>
      </c>
      <c r="F1425" s="2" t="s">
        <v>3014</v>
      </c>
    </row>
    <row r="1426" ht="15.75" customHeight="1">
      <c r="B1426" s="19">
        <v>2.023083E7</v>
      </c>
      <c r="C1426" s="2" t="s">
        <v>2544</v>
      </c>
      <c r="D1426" s="2" t="s">
        <v>2440</v>
      </c>
      <c r="E1426" s="2" t="s">
        <v>2612</v>
      </c>
      <c r="F1426" s="2" t="s">
        <v>3014</v>
      </c>
    </row>
    <row r="1427" ht="15.75" customHeight="1">
      <c r="B1427" s="19">
        <v>2.0230831E7</v>
      </c>
      <c r="C1427" s="2" t="s">
        <v>2536</v>
      </c>
      <c r="D1427" s="2" t="s">
        <v>2481</v>
      </c>
      <c r="E1427" s="2" t="s">
        <v>2497</v>
      </c>
      <c r="F1427" s="2" t="s">
        <v>3014</v>
      </c>
    </row>
    <row r="1428" ht="15.75" customHeight="1">
      <c r="B1428" s="19">
        <v>2.0230901E7</v>
      </c>
      <c r="C1428" s="2" t="s">
        <v>2505</v>
      </c>
      <c r="D1428" s="2" t="s">
        <v>2441</v>
      </c>
      <c r="E1428" s="2" t="s">
        <v>2435</v>
      </c>
      <c r="F1428" s="2" t="s">
        <v>3016</v>
      </c>
    </row>
    <row r="1429" ht="15.75" customHeight="1">
      <c r="B1429" s="19">
        <v>2.0230905E7</v>
      </c>
      <c r="C1429" s="2" t="s">
        <v>2474</v>
      </c>
      <c r="D1429" s="2" t="s">
        <v>2730</v>
      </c>
      <c r="E1429" s="2" t="s">
        <v>2589</v>
      </c>
      <c r="F1429" s="2" t="s">
        <v>3016</v>
      </c>
    </row>
    <row r="1430" ht="15.75" customHeight="1">
      <c r="B1430" s="19">
        <v>2.0230906E7</v>
      </c>
      <c r="C1430" s="2" t="s">
        <v>2646</v>
      </c>
      <c r="D1430" s="2" t="s">
        <v>2621</v>
      </c>
      <c r="E1430" s="2" t="s">
        <v>2437</v>
      </c>
      <c r="F1430" s="2" t="s">
        <v>3016</v>
      </c>
    </row>
    <row r="1431" ht="15.75" customHeight="1">
      <c r="B1431" s="19">
        <v>2.0230907E7</v>
      </c>
      <c r="C1431" s="2" t="s">
        <v>2605</v>
      </c>
      <c r="D1431" s="2" t="s">
        <v>2509</v>
      </c>
      <c r="E1431" s="2" t="s">
        <v>2484</v>
      </c>
      <c r="F1431" s="2" t="s">
        <v>3016</v>
      </c>
    </row>
    <row r="1432" ht="15.75" customHeight="1">
      <c r="B1432" s="19">
        <v>2.0230908E7</v>
      </c>
      <c r="C1432" s="2" t="s">
        <v>2528</v>
      </c>
      <c r="D1432" s="2" t="s">
        <v>2478</v>
      </c>
      <c r="E1432" s="2" t="s">
        <v>2564</v>
      </c>
      <c r="F1432" s="2" t="s">
        <v>3016</v>
      </c>
    </row>
    <row r="1433" ht="15.75" customHeight="1">
      <c r="B1433" s="19">
        <v>2.0230911E7</v>
      </c>
      <c r="C1433" s="2" t="s">
        <v>2441</v>
      </c>
      <c r="D1433" s="2" t="s">
        <v>2439</v>
      </c>
      <c r="E1433" s="2" t="s">
        <v>2538</v>
      </c>
      <c r="F1433" s="2" t="s">
        <v>3016</v>
      </c>
    </row>
    <row r="1434" ht="15.75" customHeight="1">
      <c r="B1434" s="19">
        <v>2.0230912E7</v>
      </c>
      <c r="C1434" s="2" t="s">
        <v>2685</v>
      </c>
      <c r="D1434" s="2" t="s">
        <v>2463</v>
      </c>
      <c r="E1434" s="2" t="s">
        <v>2585</v>
      </c>
      <c r="F1434" s="2" t="s">
        <v>3016</v>
      </c>
    </row>
    <row r="1435" ht="15.75" customHeight="1">
      <c r="B1435" s="19">
        <v>2.0230913E7</v>
      </c>
      <c r="C1435" s="2" t="s">
        <v>2484</v>
      </c>
      <c r="D1435" s="2" t="s">
        <v>2735</v>
      </c>
      <c r="E1435" s="2" t="s">
        <v>2433</v>
      </c>
      <c r="F1435" s="2" t="s">
        <v>3016</v>
      </c>
    </row>
    <row r="1436" ht="15.75" customHeight="1">
      <c r="B1436" s="19">
        <v>2.0230914E7</v>
      </c>
      <c r="C1436" s="2" t="s">
        <v>2570</v>
      </c>
      <c r="D1436" s="2" t="s">
        <v>2468</v>
      </c>
      <c r="E1436" s="2" t="s">
        <v>2613</v>
      </c>
      <c r="F1436" s="2" t="s">
        <v>3016</v>
      </c>
    </row>
    <row r="1437" ht="15.75" customHeight="1">
      <c r="B1437" s="19">
        <v>2.0230915E7</v>
      </c>
      <c r="C1437" s="2" t="s">
        <v>2942</v>
      </c>
      <c r="D1437" s="2" t="s">
        <v>2446</v>
      </c>
      <c r="E1437" s="2" t="s">
        <v>2541</v>
      </c>
      <c r="F1437" s="2" t="s">
        <v>3016</v>
      </c>
    </row>
    <row r="1438" ht="15.75" customHeight="1">
      <c r="B1438" s="19">
        <v>2.0230918E7</v>
      </c>
      <c r="C1438" s="2" t="s">
        <v>2447</v>
      </c>
      <c r="D1438" s="2" t="s">
        <v>2579</v>
      </c>
      <c r="E1438" s="2" t="s">
        <v>2518</v>
      </c>
      <c r="F1438" s="2" t="s">
        <v>3016</v>
      </c>
    </row>
    <row r="1439" ht="15.75" customHeight="1">
      <c r="B1439" s="19">
        <v>2.0230919E7</v>
      </c>
      <c r="C1439" s="2" t="s">
        <v>2630</v>
      </c>
      <c r="D1439" s="2" t="s">
        <v>2568</v>
      </c>
      <c r="E1439" s="2" t="s">
        <v>2644</v>
      </c>
      <c r="F1439" s="2" t="s">
        <v>3016</v>
      </c>
    </row>
    <row r="1440" ht="15.75" customHeight="1">
      <c r="B1440" s="19">
        <v>2.023092E7</v>
      </c>
      <c r="C1440" s="2" t="s">
        <v>2748</v>
      </c>
      <c r="D1440" s="2" t="s">
        <v>2461</v>
      </c>
      <c r="E1440" s="2" t="s">
        <v>2617</v>
      </c>
      <c r="F1440" s="2" t="s">
        <v>3016</v>
      </c>
    </row>
    <row r="1441" ht="15.75" customHeight="1">
      <c r="B1441" s="19">
        <v>2.0230921E7</v>
      </c>
      <c r="C1441" s="2" t="s">
        <v>2727</v>
      </c>
      <c r="D1441" s="2" t="s">
        <v>2443</v>
      </c>
      <c r="E1441" s="2" t="s">
        <v>2654</v>
      </c>
      <c r="F1441" s="2" t="s">
        <v>3016</v>
      </c>
    </row>
    <row r="1442" ht="15.75" customHeight="1">
      <c r="B1442" s="19">
        <v>2.0230922E7</v>
      </c>
      <c r="C1442" s="2" t="s">
        <v>2463</v>
      </c>
      <c r="D1442" s="2" t="s">
        <v>2576</v>
      </c>
      <c r="E1442" s="2" t="s">
        <v>2462</v>
      </c>
      <c r="F1442" s="2" t="s">
        <v>3016</v>
      </c>
    </row>
    <row r="1443" ht="15.75" customHeight="1">
      <c r="B1443" s="19">
        <v>2.0230925E7</v>
      </c>
      <c r="C1443" s="2" t="s">
        <v>2564</v>
      </c>
      <c r="D1443" s="2" t="s">
        <v>2609</v>
      </c>
      <c r="E1443" s="2" t="s">
        <v>2432</v>
      </c>
      <c r="F1443" s="2" t="s">
        <v>3016</v>
      </c>
    </row>
    <row r="1444" ht="15.75" customHeight="1">
      <c r="B1444" s="19">
        <v>2.0230926E7</v>
      </c>
      <c r="C1444" s="2" t="s">
        <v>2948</v>
      </c>
      <c r="D1444" s="2" t="s">
        <v>2564</v>
      </c>
      <c r="E1444" s="2" t="s">
        <v>2462</v>
      </c>
      <c r="F1444" s="2" t="s">
        <v>3016</v>
      </c>
    </row>
    <row r="1445" ht="15.75" customHeight="1">
      <c r="B1445" s="19">
        <v>2.0230927E7</v>
      </c>
      <c r="C1445" s="2" t="s">
        <v>2575</v>
      </c>
      <c r="D1445" s="2" t="s">
        <v>2527</v>
      </c>
      <c r="E1445" s="2" t="s">
        <v>2528</v>
      </c>
      <c r="F1445" s="2" t="s">
        <v>3016</v>
      </c>
    </row>
    <row r="1446" ht="15.75" customHeight="1">
      <c r="B1446" s="19">
        <v>2.0230928E7</v>
      </c>
      <c r="C1446" s="2" t="s">
        <v>2555</v>
      </c>
      <c r="D1446" s="2" t="s">
        <v>2455</v>
      </c>
      <c r="E1446" s="2" t="s">
        <v>2484</v>
      </c>
      <c r="F1446" s="2" t="s">
        <v>3016</v>
      </c>
    </row>
    <row r="1447" ht="15.75" customHeight="1">
      <c r="B1447" s="19">
        <v>2.0230929E7</v>
      </c>
      <c r="C1447" s="2" t="s">
        <v>2630</v>
      </c>
      <c r="D1447" s="2" t="s">
        <v>2460</v>
      </c>
      <c r="E1447" s="2" t="s">
        <v>2565</v>
      </c>
      <c r="F1447" s="2" t="s">
        <v>3016</v>
      </c>
    </row>
    <row r="1448" ht="15.75" customHeight="1">
      <c r="B1448" s="19">
        <v>2.0231002E7</v>
      </c>
      <c r="C1448" s="2" t="s">
        <v>2508</v>
      </c>
      <c r="D1448" s="2" t="s">
        <v>2659</v>
      </c>
      <c r="E1448" s="2" t="s">
        <v>2693</v>
      </c>
      <c r="F1448" s="2" t="s">
        <v>3016</v>
      </c>
    </row>
    <row r="1449" ht="15.75" customHeight="1">
      <c r="B1449" s="19">
        <v>2.0231003E7</v>
      </c>
      <c r="C1449" s="2" t="s">
        <v>2836</v>
      </c>
      <c r="D1449" s="2" t="s">
        <v>2587</v>
      </c>
      <c r="E1449" s="2" t="s">
        <v>2508</v>
      </c>
      <c r="F1449" s="2" t="s">
        <v>3016</v>
      </c>
    </row>
    <row r="1450" ht="15.75" customHeight="1">
      <c r="B1450" s="19">
        <v>2.0231004E7</v>
      </c>
      <c r="C1450" s="2" t="s">
        <v>2465</v>
      </c>
      <c r="D1450" s="2" t="s">
        <v>2678</v>
      </c>
      <c r="E1450" s="2" t="s">
        <v>2436</v>
      </c>
      <c r="F1450" s="2" t="s">
        <v>3016</v>
      </c>
    </row>
    <row r="1451" ht="15.75" customHeight="1">
      <c r="B1451" s="19">
        <v>2.0231005E7</v>
      </c>
      <c r="C1451" s="2" t="s">
        <v>2444</v>
      </c>
      <c r="D1451" s="2" t="s">
        <v>2453</v>
      </c>
      <c r="E1451" s="2" t="s">
        <v>2485</v>
      </c>
      <c r="F1451" s="2" t="s">
        <v>3016</v>
      </c>
    </row>
    <row r="1452" ht="15.75" customHeight="1">
      <c r="B1452" s="19">
        <v>2.0231006E7</v>
      </c>
      <c r="C1452" s="2" t="s">
        <v>2507</v>
      </c>
      <c r="D1452" s="2" t="s">
        <v>2489</v>
      </c>
      <c r="E1452" s="2" t="s">
        <v>2595</v>
      </c>
      <c r="F1452" s="2" t="s">
        <v>3016</v>
      </c>
    </row>
    <row r="1453" ht="15.75" customHeight="1">
      <c r="B1453" s="19">
        <v>2.0231009E7</v>
      </c>
      <c r="C1453" s="2" t="s">
        <v>2581</v>
      </c>
      <c r="D1453" s="2" t="s">
        <v>2557</v>
      </c>
      <c r="E1453" s="2" t="s">
        <v>2505</v>
      </c>
      <c r="F1453" s="2" t="s">
        <v>3016</v>
      </c>
    </row>
    <row r="1454" ht="15.75" customHeight="1">
      <c r="B1454" s="19">
        <v>2.023101E7</v>
      </c>
      <c r="C1454" s="2" t="s">
        <v>2602</v>
      </c>
      <c r="D1454" s="2" t="s">
        <v>2446</v>
      </c>
      <c r="E1454" s="2" t="s">
        <v>2634</v>
      </c>
      <c r="F1454" s="2" t="s">
        <v>3016</v>
      </c>
    </row>
    <row r="1455" ht="15.75" customHeight="1">
      <c r="B1455" s="19">
        <v>2.0231011E7</v>
      </c>
      <c r="C1455" s="2" t="s">
        <v>2540</v>
      </c>
      <c r="D1455" s="2" t="s">
        <v>2537</v>
      </c>
      <c r="E1455" s="2" t="s">
        <v>2564</v>
      </c>
      <c r="F1455" s="2" t="s">
        <v>3016</v>
      </c>
    </row>
    <row r="1456" ht="15.75" customHeight="1">
      <c r="B1456" s="19">
        <v>2.0231012E7</v>
      </c>
      <c r="C1456" s="2" t="s">
        <v>2579</v>
      </c>
      <c r="D1456" s="2" t="s">
        <v>2713</v>
      </c>
      <c r="E1456" s="2" t="s">
        <v>2528</v>
      </c>
      <c r="F1456" s="2" t="s">
        <v>3016</v>
      </c>
    </row>
    <row r="1457" ht="15.75" customHeight="1">
      <c r="B1457" s="19">
        <v>2.0231013E7</v>
      </c>
      <c r="C1457" s="2" t="s">
        <v>2685</v>
      </c>
      <c r="D1457" s="2" t="s">
        <v>2577</v>
      </c>
      <c r="E1457" s="2" t="s">
        <v>2580</v>
      </c>
      <c r="F1457" s="2" t="s">
        <v>3016</v>
      </c>
    </row>
    <row r="1458" ht="15.75" customHeight="1">
      <c r="B1458" s="19">
        <v>2.0231016E7</v>
      </c>
      <c r="C1458" s="2" t="s">
        <v>2746</v>
      </c>
      <c r="D1458" s="2" t="s">
        <v>2602</v>
      </c>
      <c r="E1458" s="2" t="s">
        <v>2534</v>
      </c>
      <c r="F1458" s="2" t="s">
        <v>3016</v>
      </c>
    </row>
    <row r="1459" ht="15.75" customHeight="1">
      <c r="B1459" s="19">
        <v>2.0231017E7</v>
      </c>
      <c r="C1459" s="2" t="s">
        <v>2640</v>
      </c>
      <c r="D1459" s="2" t="s">
        <v>2625</v>
      </c>
      <c r="E1459" s="2" t="s">
        <v>2524</v>
      </c>
      <c r="F1459" s="2" t="s">
        <v>3016</v>
      </c>
    </row>
    <row r="1460" ht="15.75" customHeight="1">
      <c r="B1460" s="19">
        <v>2.0231018E7</v>
      </c>
      <c r="C1460" s="2" t="s">
        <v>2713</v>
      </c>
      <c r="D1460" s="2" t="s">
        <v>2509</v>
      </c>
      <c r="E1460" s="2" t="s">
        <v>2616</v>
      </c>
      <c r="F1460" s="2" t="s">
        <v>3016</v>
      </c>
    </row>
    <row r="1461" ht="15.75" customHeight="1">
      <c r="B1461" s="19">
        <v>2.0231019E7</v>
      </c>
      <c r="C1461" s="2" t="s">
        <v>2659</v>
      </c>
      <c r="D1461" s="2" t="s">
        <v>2462</v>
      </c>
      <c r="E1461" s="2" t="s">
        <v>2433</v>
      </c>
      <c r="F1461" s="2" t="s">
        <v>3016</v>
      </c>
    </row>
    <row r="1462" ht="15.75" customHeight="1">
      <c r="B1462" s="19">
        <v>2.023102E7</v>
      </c>
      <c r="C1462" s="2" t="s">
        <v>2743</v>
      </c>
      <c r="D1462" s="2" t="s">
        <v>2580</v>
      </c>
      <c r="E1462" s="2" t="s">
        <v>2444</v>
      </c>
      <c r="F1462" s="2" t="s">
        <v>3016</v>
      </c>
    </row>
    <row r="1463" ht="15.75" customHeight="1">
      <c r="B1463" s="19">
        <v>2.0231023E7</v>
      </c>
      <c r="C1463" s="2" t="s">
        <v>2551</v>
      </c>
      <c r="D1463" s="2" t="s">
        <v>2439</v>
      </c>
      <c r="E1463" s="2" t="s">
        <v>2626</v>
      </c>
      <c r="F1463" s="2" t="s">
        <v>3016</v>
      </c>
    </row>
    <row r="1464" ht="15.75" customHeight="1">
      <c r="B1464" s="19">
        <v>2.0231024E7</v>
      </c>
      <c r="C1464" s="2" t="s">
        <v>2598</v>
      </c>
      <c r="D1464" s="2" t="s">
        <v>2541</v>
      </c>
      <c r="E1464" s="2" t="s">
        <v>2492</v>
      </c>
      <c r="F1464" s="2" t="s">
        <v>3016</v>
      </c>
    </row>
    <row r="1465" ht="15.75" customHeight="1">
      <c r="B1465" s="19">
        <v>2.0231025E7</v>
      </c>
      <c r="C1465" s="2" t="s">
        <v>2698</v>
      </c>
      <c r="D1465" s="2" t="s">
        <v>2614</v>
      </c>
      <c r="E1465" s="2" t="s">
        <v>2570</v>
      </c>
      <c r="F1465" s="2" t="s">
        <v>3016</v>
      </c>
    </row>
    <row r="1466" ht="15.75" customHeight="1">
      <c r="B1466" s="19">
        <v>2.0231026E7</v>
      </c>
      <c r="C1466" s="2" t="s">
        <v>2832</v>
      </c>
      <c r="D1466" s="2" t="s">
        <v>2431</v>
      </c>
      <c r="E1466" s="2" t="s">
        <v>2672</v>
      </c>
      <c r="F1466" s="2" t="s">
        <v>3016</v>
      </c>
    </row>
    <row r="1467" ht="15.75" customHeight="1">
      <c r="B1467" s="19">
        <v>2.0231027E7</v>
      </c>
      <c r="C1467" s="2" t="s">
        <v>2538</v>
      </c>
      <c r="D1467" s="2" t="s">
        <v>2442</v>
      </c>
      <c r="E1467" s="2" t="s">
        <v>2539</v>
      </c>
      <c r="F1467" s="2" t="s">
        <v>3016</v>
      </c>
    </row>
    <row r="1468" ht="15.75" customHeight="1">
      <c r="B1468" s="19">
        <v>2.023103E7</v>
      </c>
      <c r="C1468" s="2" t="s">
        <v>2452</v>
      </c>
      <c r="D1468" s="2" t="s">
        <v>2436</v>
      </c>
      <c r="E1468" s="2" t="s">
        <v>2533</v>
      </c>
      <c r="F1468" s="2" t="s">
        <v>3016</v>
      </c>
    </row>
    <row r="1469" ht="15.75" customHeight="1">
      <c r="B1469" s="19">
        <v>2.0231031E7</v>
      </c>
      <c r="C1469" s="2" t="s">
        <v>2623</v>
      </c>
      <c r="D1469" s="2" t="s">
        <v>2445</v>
      </c>
      <c r="E1469" s="2" t="s">
        <v>2536</v>
      </c>
      <c r="F1469" s="2" t="s">
        <v>3016</v>
      </c>
    </row>
    <row r="1470" ht="15.75" customHeight="1">
      <c r="B1470" s="19">
        <v>2.0231101E7</v>
      </c>
      <c r="C1470" s="2" t="s">
        <v>2615</v>
      </c>
      <c r="D1470" s="2" t="s">
        <v>2509</v>
      </c>
      <c r="E1470" s="2" t="s">
        <v>2460</v>
      </c>
      <c r="F1470" s="2" t="s">
        <v>3016</v>
      </c>
    </row>
    <row r="1471" ht="15.75" customHeight="1">
      <c r="B1471" s="19">
        <v>2.0231102E7</v>
      </c>
      <c r="C1471" s="2" t="s">
        <v>2988</v>
      </c>
      <c r="D1471" s="2" t="s">
        <v>2610</v>
      </c>
      <c r="E1471" s="2" t="s">
        <v>2873</v>
      </c>
      <c r="F1471" s="2" t="s">
        <v>3016</v>
      </c>
    </row>
    <row r="1472" ht="15.75" customHeight="1">
      <c r="B1472" s="19">
        <v>2.0231103E7</v>
      </c>
      <c r="C1472" s="2" t="s">
        <v>2657</v>
      </c>
      <c r="D1472" s="2" t="s">
        <v>2818</v>
      </c>
      <c r="E1472" s="2" t="s">
        <v>2435</v>
      </c>
      <c r="F1472" s="2" t="s">
        <v>3016</v>
      </c>
    </row>
    <row r="1473" ht="15.75" customHeight="1">
      <c r="B1473" s="19">
        <v>2.0231106E7</v>
      </c>
      <c r="C1473" s="2" t="s">
        <v>2458</v>
      </c>
      <c r="D1473" s="2" t="s">
        <v>2480</v>
      </c>
      <c r="E1473" s="2" t="s">
        <v>2722</v>
      </c>
      <c r="F1473" s="2" t="s">
        <v>3016</v>
      </c>
    </row>
    <row r="1474" ht="15.75" customHeight="1">
      <c r="B1474" s="19">
        <v>2.0231107E7</v>
      </c>
      <c r="C1474" s="2" t="s">
        <v>2432</v>
      </c>
      <c r="D1474" s="2" t="s">
        <v>2479</v>
      </c>
      <c r="E1474" s="2" t="s">
        <v>2942</v>
      </c>
      <c r="F1474" s="2" t="s">
        <v>3016</v>
      </c>
    </row>
    <row r="1475" ht="15.75" customHeight="1">
      <c r="B1475" s="19">
        <v>2.0231108E7</v>
      </c>
      <c r="C1475" s="2" t="s">
        <v>2447</v>
      </c>
      <c r="D1475" s="2" t="s">
        <v>2635</v>
      </c>
      <c r="E1475" s="2" t="s">
        <v>2529</v>
      </c>
      <c r="F1475" s="2" t="s">
        <v>3016</v>
      </c>
    </row>
    <row r="1476" ht="15.75" customHeight="1">
      <c r="B1476" s="19">
        <v>2.0231109E7</v>
      </c>
      <c r="C1476" s="2" t="s">
        <v>2753</v>
      </c>
      <c r="D1476" s="2" t="s">
        <v>2711</v>
      </c>
      <c r="E1476" s="2" t="s">
        <v>2506</v>
      </c>
      <c r="F1476" s="2" t="s">
        <v>3016</v>
      </c>
    </row>
    <row r="1477" ht="15.75" customHeight="1">
      <c r="B1477" s="19">
        <v>2.023111E7</v>
      </c>
      <c r="C1477" s="2" t="s">
        <v>2716</v>
      </c>
      <c r="D1477" s="2" t="s">
        <v>2539</v>
      </c>
      <c r="E1477" s="2" t="s">
        <v>2529</v>
      </c>
      <c r="F1477" s="2" t="s">
        <v>3016</v>
      </c>
    </row>
    <row r="1478" ht="15.75" customHeight="1">
      <c r="B1478" s="19">
        <v>2.0231113E7</v>
      </c>
      <c r="C1478" s="2" t="s">
        <v>2582</v>
      </c>
      <c r="D1478" s="2" t="s">
        <v>2446</v>
      </c>
      <c r="E1478" s="2" t="s">
        <v>2630</v>
      </c>
      <c r="F1478" s="2" t="s">
        <v>3016</v>
      </c>
    </row>
    <row r="1479" ht="15.75" customHeight="1">
      <c r="B1479" s="19">
        <v>2.0231114E7</v>
      </c>
      <c r="C1479" s="2" t="s">
        <v>2921</v>
      </c>
      <c r="D1479" s="2" t="s">
        <v>3017</v>
      </c>
      <c r="E1479" s="2" t="s">
        <v>2681</v>
      </c>
      <c r="F1479" s="2" t="s">
        <v>3016</v>
      </c>
    </row>
    <row r="1480" ht="15.75" customHeight="1">
      <c r="B1480" s="19">
        <v>2.0231115E7</v>
      </c>
      <c r="C1480" s="2" t="s">
        <v>2542</v>
      </c>
      <c r="D1480" s="2" t="s">
        <v>2447</v>
      </c>
      <c r="E1480" s="2" t="s">
        <v>2506</v>
      </c>
      <c r="F1480" s="2" t="s">
        <v>3016</v>
      </c>
    </row>
    <row r="1481" ht="15.75" customHeight="1">
      <c r="B1481" s="19">
        <v>2.0231116E7</v>
      </c>
      <c r="C1481" s="2" t="s">
        <v>2609</v>
      </c>
      <c r="D1481" s="2" t="s">
        <v>2769</v>
      </c>
      <c r="E1481" s="2" t="s">
        <v>2454</v>
      </c>
      <c r="F1481" s="2" t="s">
        <v>3016</v>
      </c>
    </row>
    <row r="1482" ht="15.75" customHeight="1">
      <c r="B1482" s="19">
        <v>2.0231117E7</v>
      </c>
      <c r="C1482" s="2" t="s">
        <v>2541</v>
      </c>
      <c r="D1482" s="2" t="s">
        <v>2721</v>
      </c>
      <c r="E1482" s="2" t="s">
        <v>2642</v>
      </c>
      <c r="F1482" s="2" t="s">
        <v>3016</v>
      </c>
    </row>
    <row r="1483" ht="15.75" customHeight="1">
      <c r="B1483" s="19">
        <v>2.023112E7</v>
      </c>
      <c r="C1483" s="2" t="s">
        <v>2619</v>
      </c>
      <c r="D1483" s="2" t="s">
        <v>2621</v>
      </c>
      <c r="E1483" s="2" t="s">
        <v>2678</v>
      </c>
      <c r="F1483" s="2" t="s">
        <v>3016</v>
      </c>
    </row>
    <row r="1484" ht="15.75" customHeight="1">
      <c r="B1484" s="19">
        <v>2.0231121E7</v>
      </c>
      <c r="C1484" s="2" t="s">
        <v>2557</v>
      </c>
      <c r="D1484" s="2" t="s">
        <v>2735</v>
      </c>
      <c r="E1484" s="2" t="s">
        <v>2476</v>
      </c>
      <c r="F1484" s="2" t="s">
        <v>3016</v>
      </c>
    </row>
    <row r="1485" ht="15.75" customHeight="1">
      <c r="B1485" s="19">
        <v>2.0231122E7</v>
      </c>
      <c r="C1485" s="2" t="s">
        <v>2438</v>
      </c>
      <c r="D1485" s="2" t="s">
        <v>2497</v>
      </c>
      <c r="E1485" s="2" t="s">
        <v>2582</v>
      </c>
      <c r="F1485" s="2" t="s">
        <v>3016</v>
      </c>
    </row>
    <row r="1486" ht="15.75" customHeight="1">
      <c r="B1486" s="19">
        <v>2.0231124E7</v>
      </c>
      <c r="C1486" s="2" t="s">
        <v>2483</v>
      </c>
      <c r="D1486" s="2" t="s">
        <v>2435</v>
      </c>
      <c r="E1486" s="2" t="s">
        <v>2443</v>
      </c>
      <c r="F1486" s="2" t="s">
        <v>3016</v>
      </c>
    </row>
    <row r="1487" ht="15.75" customHeight="1">
      <c r="B1487" s="19">
        <v>2.0231127E7</v>
      </c>
      <c r="C1487" s="2" t="s">
        <v>2551</v>
      </c>
      <c r="D1487" s="2" t="s">
        <v>2609</v>
      </c>
      <c r="E1487" s="2" t="s">
        <v>2536</v>
      </c>
      <c r="F1487" s="2" t="s">
        <v>3016</v>
      </c>
    </row>
    <row r="1488" ht="15.75" customHeight="1">
      <c r="B1488" s="19">
        <v>2.0231128E7</v>
      </c>
      <c r="C1488" s="2" t="s">
        <v>2580</v>
      </c>
      <c r="D1488" s="2" t="s">
        <v>2489</v>
      </c>
      <c r="E1488" s="2" t="s">
        <v>2445</v>
      </c>
      <c r="F1488" s="2" t="s">
        <v>3016</v>
      </c>
    </row>
    <row r="1489" ht="15.75" customHeight="1">
      <c r="B1489" s="19">
        <v>2.0231129E7</v>
      </c>
      <c r="C1489" s="2" t="s">
        <v>2576</v>
      </c>
      <c r="D1489" s="2" t="s">
        <v>2473</v>
      </c>
      <c r="E1489" s="2" t="s">
        <v>2527</v>
      </c>
      <c r="F1489" s="2" t="s">
        <v>3016</v>
      </c>
    </row>
    <row r="1490" ht="15.75" customHeight="1">
      <c r="B1490" s="19">
        <v>2.023113E7</v>
      </c>
      <c r="C1490" s="2" t="s">
        <v>2432</v>
      </c>
      <c r="D1490" s="2" t="s">
        <v>2612</v>
      </c>
      <c r="E1490" s="2" t="s">
        <v>2576</v>
      </c>
      <c r="F1490" s="2" t="s">
        <v>3016</v>
      </c>
    </row>
    <row r="1491" ht="15.75" customHeight="1">
      <c r="B1491" s="19">
        <v>2.0231201E7</v>
      </c>
      <c r="C1491" s="2" t="s">
        <v>2572</v>
      </c>
      <c r="D1491" s="2" t="s">
        <v>3018</v>
      </c>
      <c r="E1491" s="2" t="s">
        <v>2526</v>
      </c>
      <c r="F1491" s="2" t="s">
        <v>3016</v>
      </c>
    </row>
    <row r="1492" ht="15.75" customHeight="1">
      <c r="B1492" s="19">
        <v>2.0231204E7</v>
      </c>
      <c r="C1492" s="2" t="s">
        <v>2529</v>
      </c>
      <c r="D1492" s="2" t="s">
        <v>2556</v>
      </c>
      <c r="E1492" s="2" t="s">
        <v>2597</v>
      </c>
      <c r="F1492" s="2" t="s">
        <v>3016</v>
      </c>
    </row>
    <row r="1493" ht="15.75" customHeight="1">
      <c r="B1493" s="19">
        <v>2.0231205E7</v>
      </c>
      <c r="C1493" s="2" t="s">
        <v>2481</v>
      </c>
      <c r="D1493" s="2" t="s">
        <v>2725</v>
      </c>
      <c r="E1493" s="2" t="s">
        <v>2725</v>
      </c>
      <c r="F1493" s="2" t="s">
        <v>3016</v>
      </c>
    </row>
    <row r="1494" ht="15.75" customHeight="1">
      <c r="B1494" s="19">
        <v>2.0231206E7</v>
      </c>
      <c r="C1494" s="2" t="s">
        <v>2436</v>
      </c>
      <c r="D1494" s="2" t="s">
        <v>2565</v>
      </c>
      <c r="E1494" s="2" t="s">
        <v>2453</v>
      </c>
      <c r="F1494" s="2" t="s">
        <v>3016</v>
      </c>
    </row>
    <row r="1495" ht="15.75" customHeight="1">
      <c r="B1495" s="19">
        <v>2.0231207E7</v>
      </c>
      <c r="C1495" s="2" t="s">
        <v>2499</v>
      </c>
      <c r="D1495" s="2" t="s">
        <v>2445</v>
      </c>
      <c r="E1495" s="2" t="s">
        <v>2535</v>
      </c>
      <c r="F1495" s="2" t="s">
        <v>3016</v>
      </c>
    </row>
    <row r="1496" ht="15.75" customHeight="1">
      <c r="B1496" s="19">
        <v>2.0231208E7</v>
      </c>
      <c r="C1496" s="2" t="s">
        <v>2473</v>
      </c>
      <c r="D1496" s="2" t="s">
        <v>2576</v>
      </c>
      <c r="E1496" s="2" t="s">
        <v>2496</v>
      </c>
      <c r="F1496" s="2" t="s">
        <v>3016</v>
      </c>
    </row>
    <row r="1497" ht="15.75" customHeight="1">
      <c r="B1497" s="19">
        <v>2.0231211E7</v>
      </c>
      <c r="C1497" s="2" t="s">
        <v>2650</v>
      </c>
      <c r="D1497" s="2" t="s">
        <v>2436</v>
      </c>
      <c r="E1497" s="2" t="s">
        <v>2568</v>
      </c>
      <c r="F1497" s="2" t="s">
        <v>3016</v>
      </c>
    </row>
    <row r="1498" ht="15.75" customHeight="1">
      <c r="B1498" s="19">
        <v>2.0231212E7</v>
      </c>
      <c r="C1498" s="2" t="s">
        <v>2650</v>
      </c>
      <c r="D1498" s="2" t="s">
        <v>2511</v>
      </c>
      <c r="E1498" s="2" t="s">
        <v>2661</v>
      </c>
      <c r="F1498" s="2" t="s">
        <v>3016</v>
      </c>
    </row>
    <row r="1499" ht="15.75" customHeight="1">
      <c r="B1499" s="19">
        <v>2.0231213E7</v>
      </c>
      <c r="C1499" s="2" t="s">
        <v>2676</v>
      </c>
      <c r="D1499" s="2" t="s">
        <v>2888</v>
      </c>
      <c r="E1499" s="2" t="s">
        <v>2674</v>
      </c>
      <c r="F1499" s="2" t="s">
        <v>3016</v>
      </c>
    </row>
    <row r="1500" ht="15.75" customHeight="1">
      <c r="B1500" s="19">
        <v>2.0231214E7</v>
      </c>
      <c r="C1500" s="2" t="s">
        <v>2549</v>
      </c>
      <c r="D1500" s="2" t="s">
        <v>2516</v>
      </c>
      <c r="E1500" s="2" t="s">
        <v>3018</v>
      </c>
      <c r="F1500" s="2" t="s">
        <v>3016</v>
      </c>
    </row>
    <row r="1501" ht="15.75" customHeight="1">
      <c r="B1501" s="19">
        <v>2.0231215E7</v>
      </c>
      <c r="C1501" s="2" t="s">
        <v>2545</v>
      </c>
      <c r="D1501" s="2" t="s">
        <v>2605</v>
      </c>
      <c r="E1501" s="2" t="s">
        <v>2539</v>
      </c>
      <c r="F1501" s="2" t="s">
        <v>3016</v>
      </c>
    </row>
    <row r="1502" ht="15.75" customHeight="1">
      <c r="B1502" s="19">
        <v>2.0231218E7</v>
      </c>
      <c r="C1502" s="2" t="s">
        <v>2438</v>
      </c>
      <c r="D1502" s="2" t="s">
        <v>2495</v>
      </c>
      <c r="E1502" s="2" t="s">
        <v>2495</v>
      </c>
      <c r="F1502" s="2" t="s">
        <v>3016</v>
      </c>
    </row>
    <row r="1503" ht="15.75" customHeight="1">
      <c r="B1503" s="19">
        <v>2.0231219E7</v>
      </c>
      <c r="C1503" s="2" t="s">
        <v>2600</v>
      </c>
      <c r="D1503" s="2" t="s">
        <v>2674</v>
      </c>
      <c r="E1503" s="2" t="s">
        <v>2524</v>
      </c>
      <c r="F1503" s="2" t="s">
        <v>3016</v>
      </c>
    </row>
    <row r="1504" ht="15.75" customHeight="1">
      <c r="B1504" s="19">
        <v>2.023122E7</v>
      </c>
      <c r="C1504" s="2" t="s">
        <v>2759</v>
      </c>
      <c r="D1504" s="2" t="s">
        <v>2571</v>
      </c>
      <c r="E1504" s="2" t="s">
        <v>2575</v>
      </c>
      <c r="F1504" s="2" t="s">
        <v>3016</v>
      </c>
    </row>
    <row r="1505" ht="15.75" customHeight="1">
      <c r="B1505" s="19">
        <v>2.0231221E7</v>
      </c>
      <c r="C1505" s="2" t="s">
        <v>2573</v>
      </c>
      <c r="D1505" s="2" t="s">
        <v>2643</v>
      </c>
      <c r="E1505" s="2" t="s">
        <v>2460</v>
      </c>
      <c r="F1505" s="2" t="s">
        <v>3016</v>
      </c>
    </row>
    <row r="1506" ht="15.75" customHeight="1">
      <c r="B1506" s="19">
        <v>2.0231222E7</v>
      </c>
      <c r="C1506" s="2" t="s">
        <v>2497</v>
      </c>
      <c r="D1506" s="2" t="s">
        <v>2634</v>
      </c>
      <c r="E1506" s="2" t="s">
        <v>2640</v>
      </c>
      <c r="F1506" s="2" t="s">
        <v>3016</v>
      </c>
    </row>
    <row r="1507" ht="15.75" customHeight="1">
      <c r="B1507" s="19">
        <v>2.0231226E7</v>
      </c>
      <c r="C1507" s="2" t="s">
        <v>2610</v>
      </c>
      <c r="D1507" s="2" t="s">
        <v>2527</v>
      </c>
      <c r="E1507" s="2" t="s">
        <v>2562</v>
      </c>
      <c r="F1507" s="2" t="s">
        <v>3016</v>
      </c>
    </row>
    <row r="1508" ht="15.75" customHeight="1">
      <c r="B1508" s="19">
        <v>2.0231227E7</v>
      </c>
      <c r="C1508" s="2" t="s">
        <v>2455</v>
      </c>
      <c r="D1508" s="2" t="s">
        <v>2469</v>
      </c>
      <c r="E1508" s="2" t="s">
        <v>2528</v>
      </c>
      <c r="F1508" s="2" t="s">
        <v>3016</v>
      </c>
    </row>
    <row r="1509" ht="15.75" customHeight="1">
      <c r="B1509" s="19">
        <v>2.0231228E7</v>
      </c>
      <c r="C1509" s="2" t="s">
        <v>2644</v>
      </c>
      <c r="D1509" s="2" t="s">
        <v>2470</v>
      </c>
      <c r="E1509" s="2" t="s">
        <v>2484</v>
      </c>
      <c r="F1509" s="2" t="s">
        <v>3016</v>
      </c>
    </row>
    <row r="1510" ht="15.75" customHeight="1">
      <c r="B1510" s="19">
        <v>2.0231229E7</v>
      </c>
      <c r="C1510" s="2" t="s">
        <v>2511</v>
      </c>
      <c r="D1510" s="2" t="s">
        <v>2912</v>
      </c>
      <c r="E1510" s="2" t="s">
        <v>2571</v>
      </c>
      <c r="F1510" s="2" t="s">
        <v>3016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Héctor Pérez Ledesma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5fde9-74cf-49ff-9960-41566d3a7fed_Enabled">
    <vt:lpwstr>true</vt:lpwstr>
  </property>
  <property fmtid="{D5CDD505-2E9C-101B-9397-08002B2CF9AE}" pid="3" name="MSIP_Label_3c45fde9-74cf-49ff-9960-41566d3a7fed_SetDate">
    <vt:lpwstr>2024-03-13T10:41:02Z</vt:lpwstr>
  </property>
  <property fmtid="{D5CDD505-2E9C-101B-9397-08002B2CF9AE}" pid="4" name="MSIP_Label_3c45fde9-74cf-49ff-9960-41566d3a7fed_Method">
    <vt:lpwstr>Standard</vt:lpwstr>
  </property>
  <property fmtid="{D5CDD505-2E9C-101B-9397-08002B2CF9AE}" pid="5" name="MSIP_Label_3c45fde9-74cf-49ff-9960-41566d3a7fed_Name">
    <vt:lpwstr>Confidencial</vt:lpwstr>
  </property>
  <property fmtid="{D5CDD505-2E9C-101B-9397-08002B2CF9AE}" pid="6" name="MSIP_Label_3c45fde9-74cf-49ff-9960-41566d3a7fed_SiteId">
    <vt:lpwstr>2dae7158-6067-4a93-a649-046ad8031e8a</vt:lpwstr>
  </property>
  <property fmtid="{D5CDD505-2E9C-101B-9397-08002B2CF9AE}" pid="7" name="MSIP_Label_3c45fde9-74cf-49ff-9960-41566d3a7fed_ActionId">
    <vt:lpwstr>5d070872-15be-41b5-8633-e820f710fad9</vt:lpwstr>
  </property>
  <property fmtid="{D5CDD505-2E9C-101B-9397-08002B2CF9AE}" pid="8" name="MSIP_Label_3c45fde9-74cf-49ff-9960-41566d3a7fed_ContentBits">
    <vt:lpwstr>0</vt:lpwstr>
  </property>
</Properties>
</file>