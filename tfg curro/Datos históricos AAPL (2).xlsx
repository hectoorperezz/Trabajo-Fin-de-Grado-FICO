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cbdomadoutlook-my.sharepoint.com/personal/hector_perez_bdo_es/Documents/Escritorio/TFG/"/>
    </mc:Choice>
  </mc:AlternateContent>
  <xr:revisionPtr revIDLastSave="0" documentId="13_ncr:40009_{E7047F53-F78A-42F9-BC94-9A288545366F}" xr6:coauthVersionLast="47" xr6:coauthVersionMax="47" xr10:uidLastSave="{00000000-0000-0000-0000-000000000000}"/>
  <bookViews>
    <workbookView xWindow="-120" yWindow="-120" windowWidth="29040" windowHeight="15960"/>
  </bookViews>
  <sheets>
    <sheet name="Datos históricos AAPL (2)" sheetId="1" r:id="rId1"/>
  </sheets>
  <calcPr calcId="0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" i="1"/>
  <c r="C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" i="1"/>
  <c r="D3" i="1"/>
</calcChain>
</file>

<file path=xl/sharedStrings.xml><?xml version="1.0" encoding="utf-8"?>
<sst xmlns="http://schemas.openxmlformats.org/spreadsheetml/2006/main" count="4" uniqueCount="4">
  <si>
    <t>Fecha</t>
  </si>
  <si>
    <t>Último</t>
  </si>
  <si>
    <t>rendimientos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</si>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</sst>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006100"/>
      <name val="Trebuchet MS"/>
      <family val="2"/>
    </font>
    <font>
      <sz val="10"/>
      <color rgb="FF9C0006"/>
      <name val="Trebuchet MS"/>
      <family val="2"/>
    </font>
    <font>
      <sz val="10"/>
      <color rgb="FF9C5700"/>
      <name val="Trebuchet MS"/>
      <family val="2"/>
    </font>
    <font>
      <sz val="10"/>
      <color rgb="FF3F3F76"/>
      <name val="Trebuchet MS"/>
      <family val="2"/>
    </font>
    <font>
      <b/>
      <sz val="10"/>
      <color rgb="FF3F3F3F"/>
      <name val="Trebuchet MS"/>
      <family val="2"/>
    </font>
    <font>
      <b/>
      <sz val="10"/>
      <color rgb="FFFA7D00"/>
      <name val="Trebuchet MS"/>
      <family val="2"/>
    </font>
    <font>
      <sz val="10"/>
      <color rgb="FFFA7D00"/>
      <name val="Trebuchet MS"/>
      <family val="2"/>
    </font>
    <font>
      <b/>
      <sz val="10"/>
      <color theme="0"/>
      <name val="Trebuchet MS"/>
      <family val="2"/>
    </font>
    <font>
      <sz val="10"/>
      <color rgb="FFFF0000"/>
      <name val="Trebuchet MS"/>
      <family val="2"/>
    </font>
    <font>
      <i/>
      <sz val="10"/>
      <color rgb="FF7F7F7F"/>
      <name val="Trebuchet MS"/>
      <family val="2"/>
    </font>
    <font>
      <b/>
      <sz val="10"/>
      <color theme="1"/>
      <name val="Trebuchet MS"/>
      <family val="2"/>
    </font>
    <font>
      <sz val="10"/>
      <color theme="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9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"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90" totalsRowShown="0">
  <autoFilter ref="A1:D290"/>
  <sortState xmlns:xlrd2="http://schemas.microsoft.com/office/spreadsheetml/2017/richdata2" ref="A2:B290">
    <sortCondition ref="A1:A290"/>
  </sortState>
  <tableColumns count="4">
    <tableColumn id="1" name="Fecha"/>
    <tableColumn id="2" name="Último"/>
    <tableColumn id="3" name="rendimientos" dataDxfId="0">
      <calculatedColumnFormula>LN(Tabla1[[#This Row],[Último]]/B1)</calculatedColumnFormula>
    </tableColumn>
    <tableColumn id="4" name="Columna1" dataDxfId="1">
      <calculatedColumnFormula>(Tabla1[[#This Row],[Último]]-B1)/B1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"/>
  <sheetViews>
    <sheetView tabSelected="1" workbookViewId="0">
      <selection activeCell="I19" sqref="I19"/>
    </sheetView>
  </sheetViews>
  <sheetFormatPr baseColWidth="10" defaultRowHeight="15" x14ac:dyDescent="0.3"/>
  <cols>
    <col min="3" max="3" width="18.2851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36526</v>
      </c>
      <c r="B2">
        <v>0.93</v>
      </c>
      <c r="C2" s="3" t="e">
        <f>LN(Tabla1[[#This Row],[Último]]/B1)</f>
        <v>#VALUE!</v>
      </c>
      <c r="D2" t="e">
        <f>(Tabla1[[#This Row],[Último]]-B1)/B1</f>
        <v>#VALUE!</v>
      </c>
    </row>
    <row r="3" spans="1:4" x14ac:dyDescent="0.3">
      <c r="A3" s="1">
        <v>36557</v>
      </c>
      <c r="B3">
        <v>1.02</v>
      </c>
      <c r="C3" s="2">
        <f>LN(Tabla1[[#This Row],[Último]]/B2)</f>
        <v>9.2373320131015069E-2</v>
      </c>
      <c r="D3" s="2">
        <f>(Tabla1[[#This Row],[Último]]-B2)/B2</f>
        <v>9.6774193548387052E-2</v>
      </c>
    </row>
    <row r="4" spans="1:4" x14ac:dyDescent="0.3">
      <c r="A4" s="1">
        <v>36586</v>
      </c>
      <c r="B4">
        <v>1.21</v>
      </c>
      <c r="C4" s="2">
        <f>LN(Tabla1[[#This Row],[Último]]/B3)</f>
        <v>0.17081773231247002</v>
      </c>
      <c r="D4" s="2">
        <f>(Tabla1[[#This Row],[Último]]-B3)/B3</f>
        <v>0.18627450980392152</v>
      </c>
    </row>
    <row r="5" spans="1:4" x14ac:dyDescent="0.3">
      <c r="A5" s="1">
        <v>36617</v>
      </c>
      <c r="B5">
        <v>1.1100000000000001</v>
      </c>
      <c r="C5" s="2">
        <f>LN(Tabla1[[#This Row],[Último]]/B4)</f>
        <v>-8.626034428440689E-2</v>
      </c>
      <c r="D5" s="2">
        <f>(Tabla1[[#This Row],[Último]]-B4)/B4</f>
        <v>-8.2644628099173445E-2</v>
      </c>
    </row>
    <row r="6" spans="1:4" x14ac:dyDescent="0.3">
      <c r="A6" s="1">
        <v>36647</v>
      </c>
      <c r="B6">
        <v>0.75</v>
      </c>
      <c r="C6" s="2">
        <f>LN(Tabla1[[#This Row],[Último]]/B5)</f>
        <v>-0.39204208777602373</v>
      </c>
      <c r="D6" s="2">
        <f>(Tabla1[[#This Row],[Último]]-B5)/B5</f>
        <v>-0.3243243243243244</v>
      </c>
    </row>
    <row r="7" spans="1:4" x14ac:dyDescent="0.3">
      <c r="A7" s="1">
        <v>36678</v>
      </c>
      <c r="B7">
        <v>0.94</v>
      </c>
      <c r="C7" s="2">
        <f>LN(Tabla1[[#This Row],[Último]]/B6)</f>
        <v>0.22580666873369334</v>
      </c>
      <c r="D7" s="2">
        <f>(Tabla1[[#This Row],[Último]]-B6)/B6</f>
        <v>0.25333333333333324</v>
      </c>
    </row>
    <row r="8" spans="1:4" x14ac:dyDescent="0.3">
      <c r="A8" s="1">
        <v>36708</v>
      </c>
      <c r="B8">
        <v>0.91</v>
      </c>
      <c r="C8" s="2">
        <f>LN(Tabla1[[#This Row],[Último]]/B7)</f>
        <v>-3.2435275753153733E-2</v>
      </c>
      <c r="D8" s="2">
        <f>(Tabla1[[#This Row],[Último]]-B7)/B7</f>
        <v>-3.1914893617021191E-2</v>
      </c>
    </row>
    <row r="9" spans="1:4" x14ac:dyDescent="0.3">
      <c r="A9" s="1">
        <v>36739</v>
      </c>
      <c r="B9">
        <v>1.0900000000000001</v>
      </c>
      <c r="C9" s="2">
        <f>LN(Tabla1[[#This Row],[Último]]/B8)</f>
        <v>0.18048837571229362</v>
      </c>
      <c r="D9" s="2">
        <f>(Tabla1[[#This Row],[Último]]-B8)/B8</f>
        <v>0.19780219780219785</v>
      </c>
    </row>
    <row r="10" spans="1:4" x14ac:dyDescent="0.3">
      <c r="A10" s="1">
        <v>36770</v>
      </c>
      <c r="B10">
        <v>0.46</v>
      </c>
      <c r="C10" s="2">
        <f>LN(Tabla1[[#This Row],[Último]]/B9)</f>
        <v>-0.86270648574004882</v>
      </c>
      <c r="D10" s="2">
        <f>(Tabla1[[#This Row],[Último]]-B9)/B9</f>
        <v>-0.57798165137614688</v>
      </c>
    </row>
    <row r="11" spans="1:4" x14ac:dyDescent="0.3">
      <c r="A11" s="1">
        <v>36800</v>
      </c>
      <c r="B11">
        <v>0.35</v>
      </c>
      <c r="C11" s="2">
        <f>LN(Tabla1[[#This Row],[Último]]/B10)</f>
        <v>-0.27329333499968139</v>
      </c>
      <c r="D11" s="2">
        <f>(Tabla1[[#This Row],[Último]]-B10)/B10</f>
        <v>-0.23913043478260879</v>
      </c>
    </row>
    <row r="12" spans="1:4" x14ac:dyDescent="0.3">
      <c r="A12" s="1">
        <v>36831</v>
      </c>
      <c r="B12">
        <v>0.28999999999999998</v>
      </c>
      <c r="C12" s="2">
        <f>LN(Tabla1[[#This Row],[Último]]/B11)</f>
        <v>-0.18805223150293973</v>
      </c>
      <c r="D12" s="2">
        <f>(Tabla1[[#This Row],[Último]]-B11)/B11</f>
        <v>-0.17142857142857143</v>
      </c>
    </row>
    <row r="13" spans="1:4" x14ac:dyDescent="0.3">
      <c r="A13" s="1">
        <v>36861</v>
      </c>
      <c r="B13">
        <v>0.27</v>
      </c>
      <c r="C13" s="2">
        <f>LN(Tabla1[[#This Row],[Último]]/B12)</f>
        <v>-7.1458963982144866E-2</v>
      </c>
      <c r="D13" s="2">
        <f>(Tabla1[[#This Row],[Último]]-B12)/B12</f>
        <v>-6.8965517241379184E-2</v>
      </c>
    </row>
    <row r="14" spans="1:4" x14ac:dyDescent="0.3">
      <c r="A14" s="1">
        <v>36892</v>
      </c>
      <c r="B14">
        <v>0.39</v>
      </c>
      <c r="C14" s="2">
        <f>LN(Tabla1[[#This Row],[Último]]/B13)</f>
        <v>0.36772478012531734</v>
      </c>
      <c r="D14" s="2">
        <f>(Tabla1[[#This Row],[Último]]-B13)/B13</f>
        <v>0.44444444444444442</v>
      </c>
    </row>
    <row r="15" spans="1:4" x14ac:dyDescent="0.3">
      <c r="A15" s="1">
        <v>36923</v>
      </c>
      <c r="B15">
        <v>0.33</v>
      </c>
      <c r="C15" s="2">
        <f>LN(Tabla1[[#This Row],[Último]]/B14)</f>
        <v>-0.16705408466316621</v>
      </c>
      <c r="D15" s="2">
        <f>(Tabla1[[#This Row],[Último]]-B14)/B14</f>
        <v>-0.15384615384615383</v>
      </c>
    </row>
    <row r="16" spans="1:4" x14ac:dyDescent="0.3">
      <c r="A16" s="1">
        <v>36951</v>
      </c>
      <c r="B16">
        <v>0.39</v>
      </c>
      <c r="C16" s="2">
        <f>LN(Tabla1[[#This Row],[Último]]/B15)</f>
        <v>0.16705408466316624</v>
      </c>
      <c r="D16" s="2">
        <f>(Tabla1[[#This Row],[Último]]-B15)/B15</f>
        <v>0.1818181818181818</v>
      </c>
    </row>
    <row r="17" spans="1:4" x14ac:dyDescent="0.3">
      <c r="A17" s="1">
        <v>36982</v>
      </c>
      <c r="B17">
        <v>0.46</v>
      </c>
      <c r="C17" s="2">
        <f>LN(Tabla1[[#This Row],[Último]]/B16)</f>
        <v>0.16507975035944861</v>
      </c>
      <c r="D17" s="2">
        <f>(Tabla1[[#This Row],[Último]]-B16)/B16</f>
        <v>0.17948717948717949</v>
      </c>
    </row>
    <row r="18" spans="1:4" x14ac:dyDescent="0.3">
      <c r="A18" s="1">
        <v>37012</v>
      </c>
      <c r="B18">
        <v>0.36</v>
      </c>
      <c r="C18" s="2">
        <f>LN(Tabla1[[#This Row],[Último]]/B17)</f>
        <v>-0.2451224580329851</v>
      </c>
      <c r="D18" s="2">
        <f>(Tabla1[[#This Row],[Último]]-B17)/B17</f>
        <v>-0.21739130434782614</v>
      </c>
    </row>
    <row r="19" spans="1:4" x14ac:dyDescent="0.3">
      <c r="A19" s="1">
        <v>37043</v>
      </c>
      <c r="B19">
        <v>0.42</v>
      </c>
      <c r="C19" s="2">
        <f>LN(Tabla1[[#This Row],[Último]]/B18)</f>
        <v>0.15415067982725836</v>
      </c>
      <c r="D19" s="2">
        <f>(Tabla1[[#This Row],[Último]]-B18)/B18</f>
        <v>0.16666666666666666</v>
      </c>
    </row>
    <row r="20" spans="1:4" x14ac:dyDescent="0.3">
      <c r="A20" s="1">
        <v>37073</v>
      </c>
      <c r="B20">
        <v>0.34</v>
      </c>
      <c r="C20" s="2">
        <f>LN(Tabla1[[#This Row],[Último]]/B19)</f>
        <v>-0.21130909366720677</v>
      </c>
      <c r="D20" s="2">
        <f>(Tabla1[[#This Row],[Último]]-B19)/B19</f>
        <v>-0.19047619047619038</v>
      </c>
    </row>
    <row r="21" spans="1:4" x14ac:dyDescent="0.3">
      <c r="A21" s="1">
        <v>37104</v>
      </c>
      <c r="B21">
        <v>0.33</v>
      </c>
      <c r="C21" s="2">
        <f>LN(Tabla1[[#This Row],[Último]]/B20)</f>
        <v>-2.985296314968116E-2</v>
      </c>
      <c r="D21" s="2">
        <f>(Tabla1[[#This Row],[Último]]-B20)/B20</f>
        <v>-2.9411764705882377E-2</v>
      </c>
    </row>
    <row r="22" spans="1:4" x14ac:dyDescent="0.3">
      <c r="A22" s="1">
        <v>37135</v>
      </c>
      <c r="B22">
        <v>0.28000000000000003</v>
      </c>
      <c r="C22" s="2">
        <f>LN(Tabla1[[#This Row],[Último]]/B21)</f>
        <v>-0.16430305129127629</v>
      </c>
      <c r="D22" s="2">
        <f>(Tabla1[[#This Row],[Último]]-B21)/B21</f>
        <v>-0.15151515151515146</v>
      </c>
    </row>
    <row r="23" spans="1:4" x14ac:dyDescent="0.3">
      <c r="A23" s="1">
        <v>37165</v>
      </c>
      <c r="B23">
        <v>0.31</v>
      </c>
      <c r="C23" s="2">
        <f>LN(Tabla1[[#This Row],[Último]]/B22)</f>
        <v>0.10178269430994218</v>
      </c>
      <c r="D23" s="2">
        <f>(Tabla1[[#This Row],[Último]]-B22)/B22</f>
        <v>0.10714285714285703</v>
      </c>
    </row>
    <row r="24" spans="1:4" x14ac:dyDescent="0.3">
      <c r="A24" s="1">
        <v>37196</v>
      </c>
      <c r="B24">
        <v>0.38</v>
      </c>
      <c r="C24" s="2">
        <f>LN(Tabla1[[#This Row],[Último]]/B23)</f>
        <v>0.20359895524123955</v>
      </c>
      <c r="D24" s="2">
        <f>(Tabla1[[#This Row],[Último]]-B23)/B23</f>
        <v>0.22580645161290325</v>
      </c>
    </row>
    <row r="25" spans="1:4" x14ac:dyDescent="0.3">
      <c r="A25" s="1">
        <v>37226</v>
      </c>
      <c r="B25">
        <v>0.39</v>
      </c>
      <c r="C25" s="2">
        <f>LN(Tabla1[[#This Row],[Último]]/B24)</f>
        <v>2.5975486403260736E-2</v>
      </c>
      <c r="D25" s="2">
        <f>(Tabla1[[#This Row],[Último]]-B24)/B24</f>
        <v>2.6315789473684233E-2</v>
      </c>
    </row>
    <row r="26" spans="1:4" x14ac:dyDescent="0.3">
      <c r="A26" s="1">
        <v>37257</v>
      </c>
      <c r="B26">
        <v>0.44</v>
      </c>
      <c r="C26" s="2">
        <f>LN(Tabla1[[#This Row],[Último]]/B25)</f>
        <v>0.12062798778861472</v>
      </c>
      <c r="D26" s="2">
        <f>(Tabla1[[#This Row],[Último]]-B25)/B25</f>
        <v>0.12820512820512817</v>
      </c>
    </row>
    <row r="27" spans="1:4" x14ac:dyDescent="0.3">
      <c r="A27" s="1">
        <v>37288</v>
      </c>
      <c r="B27">
        <v>0.39</v>
      </c>
      <c r="C27" s="2">
        <f>LN(Tabla1[[#This Row],[Último]]/B26)</f>
        <v>-0.12062798778861475</v>
      </c>
      <c r="D27" s="2">
        <f>(Tabla1[[#This Row],[Último]]-B26)/B26</f>
        <v>-0.1136363636363636</v>
      </c>
    </row>
    <row r="28" spans="1:4" x14ac:dyDescent="0.3">
      <c r="A28" s="1">
        <v>37316</v>
      </c>
      <c r="B28">
        <v>0.42</v>
      </c>
      <c r="C28" s="2">
        <f>LN(Tabla1[[#This Row],[Último]]/B27)</f>
        <v>7.4107972153721835E-2</v>
      </c>
      <c r="D28" s="2">
        <f>(Tabla1[[#This Row],[Último]]-B27)/B27</f>
        <v>7.6923076923076844E-2</v>
      </c>
    </row>
    <row r="29" spans="1:4" x14ac:dyDescent="0.3">
      <c r="A29" s="1">
        <v>37347</v>
      </c>
      <c r="B29">
        <v>0.43</v>
      </c>
      <c r="C29" s="2">
        <f>LN(Tabla1[[#This Row],[Último]]/B28)</f>
        <v>2.3530497410194036E-2</v>
      </c>
      <c r="D29" s="2">
        <f>(Tabla1[[#This Row],[Último]]-B28)/B28</f>
        <v>2.3809523809523832E-2</v>
      </c>
    </row>
    <row r="30" spans="1:4" x14ac:dyDescent="0.3">
      <c r="A30" s="1">
        <v>37377</v>
      </c>
      <c r="B30">
        <v>0.42</v>
      </c>
      <c r="C30" s="2">
        <f>LN(Tabla1[[#This Row],[Último]]/B29)</f>
        <v>-2.3530497410194161E-2</v>
      </c>
      <c r="D30" s="2">
        <f>(Tabla1[[#This Row],[Último]]-B29)/B29</f>
        <v>-2.3255813953488393E-2</v>
      </c>
    </row>
    <row r="31" spans="1:4" x14ac:dyDescent="0.3">
      <c r="A31" s="1">
        <v>37408</v>
      </c>
      <c r="B31">
        <v>0.32</v>
      </c>
      <c r="C31" s="2">
        <f>LN(Tabla1[[#This Row],[Último]]/B30)</f>
        <v>-0.27193371548364165</v>
      </c>
      <c r="D31" s="2">
        <f>(Tabla1[[#This Row],[Último]]-B30)/B30</f>
        <v>-0.23809523809523805</v>
      </c>
    </row>
    <row r="32" spans="1:4" x14ac:dyDescent="0.3">
      <c r="A32" s="1">
        <v>37438</v>
      </c>
      <c r="B32">
        <v>0.27</v>
      </c>
      <c r="C32" s="2">
        <f>LN(Tabla1[[#This Row],[Último]]/B31)</f>
        <v>-0.16989903679539747</v>
      </c>
      <c r="D32" s="2">
        <f>(Tabla1[[#This Row],[Último]]-B31)/B31</f>
        <v>-0.15624999999999997</v>
      </c>
    </row>
    <row r="33" spans="1:4" x14ac:dyDescent="0.3">
      <c r="A33" s="1">
        <v>37469</v>
      </c>
      <c r="B33">
        <v>0.26</v>
      </c>
      <c r="C33" s="2">
        <f>LN(Tabla1[[#This Row],[Último]]/B32)</f>
        <v>-3.7740327982847086E-2</v>
      </c>
      <c r="D33" s="2">
        <f>(Tabla1[[#This Row],[Último]]-B32)/B32</f>
        <v>-3.703703703703707E-2</v>
      </c>
    </row>
    <row r="34" spans="1:4" x14ac:dyDescent="0.3">
      <c r="A34" s="1">
        <v>37500</v>
      </c>
      <c r="B34">
        <v>0.26</v>
      </c>
      <c r="C34" s="2">
        <f>LN(Tabla1[[#This Row],[Último]]/B33)</f>
        <v>0</v>
      </c>
      <c r="D34" s="2">
        <f>(Tabla1[[#This Row],[Último]]-B33)/B33</f>
        <v>0</v>
      </c>
    </row>
    <row r="35" spans="1:4" x14ac:dyDescent="0.3">
      <c r="A35" s="1">
        <v>37530</v>
      </c>
      <c r="B35">
        <v>0.28999999999999998</v>
      </c>
      <c r="C35" s="2">
        <f>LN(Tabla1[[#This Row],[Último]]/B34)</f>
        <v>0.10919929196499181</v>
      </c>
      <c r="D35" s="2">
        <f>(Tabla1[[#This Row],[Último]]-B34)/B34</f>
        <v>0.11538461538461527</v>
      </c>
    </row>
    <row r="36" spans="1:4" x14ac:dyDescent="0.3">
      <c r="A36" s="1">
        <v>37561</v>
      </c>
      <c r="B36">
        <v>0.28000000000000003</v>
      </c>
      <c r="C36" s="2">
        <f>LN(Tabla1[[#This Row],[Último]]/B35)</f>
        <v>-3.5091319811269943E-2</v>
      </c>
      <c r="D36" s="2">
        <f>(Tabla1[[#This Row],[Último]]-B35)/B35</f>
        <v>-3.4482758620689495E-2</v>
      </c>
    </row>
    <row r="37" spans="1:4" x14ac:dyDescent="0.3">
      <c r="A37" s="1">
        <v>37591</v>
      </c>
      <c r="B37">
        <v>0.26</v>
      </c>
      <c r="C37" s="2">
        <f>LN(Tabla1[[#This Row],[Último]]/B36)</f>
        <v>-7.410797215372196E-2</v>
      </c>
      <c r="D37" s="2">
        <f>(Tabla1[[#This Row],[Último]]-B36)/B36</f>
        <v>-7.142857142857148E-2</v>
      </c>
    </row>
    <row r="38" spans="1:4" x14ac:dyDescent="0.3">
      <c r="A38" s="1">
        <v>37622</v>
      </c>
      <c r="B38">
        <v>0.26</v>
      </c>
      <c r="C38" s="2">
        <f>LN(Tabla1[[#This Row],[Último]]/B37)</f>
        <v>0</v>
      </c>
      <c r="D38" s="2">
        <f>(Tabla1[[#This Row],[Último]]-B37)/B37</f>
        <v>0</v>
      </c>
    </row>
    <row r="39" spans="1:4" x14ac:dyDescent="0.3">
      <c r="A39" s="1">
        <v>37653</v>
      </c>
      <c r="B39">
        <v>0.27</v>
      </c>
      <c r="C39" s="2">
        <f>LN(Tabla1[[#This Row],[Último]]/B38)</f>
        <v>3.7740327982847113E-2</v>
      </c>
      <c r="D39" s="2">
        <f>(Tabla1[[#This Row],[Último]]-B38)/B38</f>
        <v>3.8461538461538491E-2</v>
      </c>
    </row>
    <row r="40" spans="1:4" x14ac:dyDescent="0.3">
      <c r="A40" s="1">
        <v>37681</v>
      </c>
      <c r="B40">
        <v>0.25</v>
      </c>
      <c r="C40" s="2">
        <f>LN(Tabla1[[#This Row],[Último]]/B39)</f>
        <v>-7.6961041136128436E-2</v>
      </c>
      <c r="D40" s="2">
        <f>(Tabla1[[#This Row],[Último]]-B39)/B39</f>
        <v>-7.4074074074074139E-2</v>
      </c>
    </row>
    <row r="41" spans="1:4" x14ac:dyDescent="0.3">
      <c r="A41" s="1">
        <v>37712</v>
      </c>
      <c r="B41">
        <v>0.25</v>
      </c>
      <c r="C41" s="2">
        <f>LN(Tabla1[[#This Row],[Último]]/B40)</f>
        <v>0</v>
      </c>
      <c r="D41" s="2">
        <f>(Tabla1[[#This Row],[Último]]-B40)/B40</f>
        <v>0</v>
      </c>
    </row>
    <row r="42" spans="1:4" x14ac:dyDescent="0.3">
      <c r="A42" s="1">
        <v>37742</v>
      </c>
      <c r="B42">
        <v>0.32</v>
      </c>
      <c r="C42" s="2">
        <f>LN(Tabla1[[#This Row],[Último]]/B41)</f>
        <v>0.24686007793152581</v>
      </c>
      <c r="D42" s="2">
        <f>(Tabla1[[#This Row],[Último]]-B41)/B41</f>
        <v>0.28000000000000003</v>
      </c>
    </row>
    <row r="43" spans="1:4" x14ac:dyDescent="0.3">
      <c r="A43" s="1">
        <v>37773</v>
      </c>
      <c r="B43">
        <v>0.34</v>
      </c>
      <c r="C43" s="2">
        <f>LN(Tabla1[[#This Row],[Último]]/B42)</f>
        <v>6.062462181643484E-2</v>
      </c>
      <c r="D43" s="2">
        <f>(Tabla1[[#This Row],[Último]]-B42)/B42</f>
        <v>6.2500000000000056E-2</v>
      </c>
    </row>
    <row r="44" spans="1:4" x14ac:dyDescent="0.3">
      <c r="A44" s="1">
        <v>37803</v>
      </c>
      <c r="B44">
        <v>0.38</v>
      </c>
      <c r="C44" s="2">
        <f>LN(Tabla1[[#This Row],[Último]]/B43)</f>
        <v>0.1112256351102244</v>
      </c>
      <c r="D44" s="2">
        <f>(Tabla1[[#This Row],[Último]]-B43)/B43</f>
        <v>0.11764705882352934</v>
      </c>
    </row>
    <row r="45" spans="1:4" x14ac:dyDescent="0.3">
      <c r="A45" s="1">
        <v>37834</v>
      </c>
      <c r="B45">
        <v>0.4</v>
      </c>
      <c r="C45" s="2">
        <f>LN(Tabla1[[#This Row],[Último]]/B44)</f>
        <v>5.1293294387550481E-2</v>
      </c>
      <c r="D45" s="2">
        <f>(Tabla1[[#This Row],[Último]]-B44)/B44</f>
        <v>5.2631578947368467E-2</v>
      </c>
    </row>
    <row r="46" spans="1:4" x14ac:dyDescent="0.3">
      <c r="A46" s="1">
        <v>37865</v>
      </c>
      <c r="B46">
        <v>0.37</v>
      </c>
      <c r="C46" s="2">
        <f>LN(Tabla1[[#This Row],[Último]]/B45)</f>
        <v>-7.7961541469711931E-2</v>
      </c>
      <c r="D46" s="2">
        <f>(Tabla1[[#This Row],[Último]]-B45)/B45</f>
        <v>-7.5000000000000067E-2</v>
      </c>
    </row>
    <row r="47" spans="1:4" x14ac:dyDescent="0.3">
      <c r="A47" s="1">
        <v>37895</v>
      </c>
      <c r="B47">
        <v>0.41</v>
      </c>
      <c r="C47" s="2">
        <f>LN(Tabla1[[#This Row],[Último]]/B46)</f>
        <v>0.10265415406008337</v>
      </c>
      <c r="D47" s="2">
        <f>(Tabla1[[#This Row],[Último]]-B46)/B46</f>
        <v>0.10810810810810806</v>
      </c>
    </row>
    <row r="48" spans="1:4" x14ac:dyDescent="0.3">
      <c r="A48" s="1">
        <v>37926</v>
      </c>
      <c r="B48">
        <v>0.37</v>
      </c>
      <c r="C48" s="2">
        <f>LN(Tabla1[[#This Row],[Último]]/B47)</f>
        <v>-0.10265415406008334</v>
      </c>
      <c r="D48" s="2">
        <f>(Tabla1[[#This Row],[Último]]-B47)/B47</f>
        <v>-9.7560975609756059E-2</v>
      </c>
    </row>
    <row r="49" spans="1:4" x14ac:dyDescent="0.3">
      <c r="A49" s="1">
        <v>37956</v>
      </c>
      <c r="B49">
        <v>0.38</v>
      </c>
      <c r="C49" s="2">
        <f>LN(Tabla1[[#This Row],[Último]]/B48)</f>
        <v>2.6668247082161273E-2</v>
      </c>
      <c r="D49" s="2">
        <f>(Tabla1[[#This Row],[Último]]-B48)/B48</f>
        <v>2.7027027027027053E-2</v>
      </c>
    </row>
    <row r="50" spans="1:4" x14ac:dyDescent="0.3">
      <c r="A50" s="1">
        <v>37987</v>
      </c>
      <c r="B50">
        <v>0.4</v>
      </c>
      <c r="C50" s="2">
        <f>LN(Tabla1[[#This Row],[Último]]/B49)</f>
        <v>5.1293294387550481E-2</v>
      </c>
      <c r="D50" s="2">
        <f>(Tabla1[[#This Row],[Último]]-B49)/B49</f>
        <v>5.2631578947368467E-2</v>
      </c>
    </row>
    <row r="51" spans="1:4" x14ac:dyDescent="0.3">
      <c r="A51" s="1">
        <v>38018</v>
      </c>
      <c r="B51">
        <v>0.43</v>
      </c>
      <c r="C51" s="2">
        <f>LN(Tabla1[[#This Row],[Último]]/B50)</f>
        <v>7.2320661579626078E-2</v>
      </c>
      <c r="D51" s="2">
        <f>(Tabla1[[#This Row],[Último]]-B50)/B50</f>
        <v>7.4999999999999928E-2</v>
      </c>
    </row>
    <row r="52" spans="1:4" x14ac:dyDescent="0.3">
      <c r="A52" s="1">
        <v>38047</v>
      </c>
      <c r="B52">
        <v>0.48</v>
      </c>
      <c r="C52" s="2">
        <f>LN(Tabla1[[#This Row],[Último]]/B51)</f>
        <v>0.11000089521432849</v>
      </c>
      <c r="D52" s="2">
        <f>(Tabla1[[#This Row],[Último]]-B51)/B51</f>
        <v>0.11627906976744183</v>
      </c>
    </row>
    <row r="53" spans="1:4" x14ac:dyDescent="0.3">
      <c r="A53" s="1">
        <v>38078</v>
      </c>
      <c r="B53">
        <v>0.46</v>
      </c>
      <c r="C53" s="2">
        <f>LN(Tabla1[[#This Row],[Último]]/B52)</f>
        <v>-4.2559614418795889E-2</v>
      </c>
      <c r="D53" s="2">
        <f>(Tabla1[[#This Row],[Último]]-B52)/B52</f>
        <v>-4.1666666666666588E-2</v>
      </c>
    </row>
    <row r="54" spans="1:4" x14ac:dyDescent="0.3">
      <c r="A54" s="1">
        <v>38108</v>
      </c>
      <c r="B54">
        <v>0.5</v>
      </c>
      <c r="C54" s="2">
        <f>LN(Tabla1[[#This Row],[Último]]/B53)</f>
        <v>8.3381608939051E-2</v>
      </c>
      <c r="D54" s="2">
        <f>(Tabla1[[#This Row],[Último]]-B53)/B53</f>
        <v>8.6956521739130391E-2</v>
      </c>
    </row>
    <row r="55" spans="1:4" x14ac:dyDescent="0.3">
      <c r="A55" s="1">
        <v>38139</v>
      </c>
      <c r="B55">
        <v>0.57999999999999996</v>
      </c>
      <c r="C55" s="2">
        <f>LN(Tabla1[[#This Row],[Último]]/B54)</f>
        <v>0.14842000511827322</v>
      </c>
      <c r="D55" s="2">
        <f>(Tabla1[[#This Row],[Último]]-B54)/B54</f>
        <v>0.15999999999999992</v>
      </c>
    </row>
    <row r="56" spans="1:4" x14ac:dyDescent="0.3">
      <c r="A56" s="1">
        <v>38169</v>
      </c>
      <c r="B56">
        <v>0.57999999999999996</v>
      </c>
      <c r="C56" s="2">
        <f>LN(Tabla1[[#This Row],[Último]]/B55)</f>
        <v>0</v>
      </c>
      <c r="D56" s="2">
        <f>(Tabla1[[#This Row],[Último]]-B55)/B55</f>
        <v>0</v>
      </c>
    </row>
    <row r="57" spans="1:4" x14ac:dyDescent="0.3">
      <c r="A57" s="1">
        <v>38200</v>
      </c>
      <c r="B57">
        <v>0.62</v>
      </c>
      <c r="C57" s="2">
        <f>LN(Tabla1[[#This Row],[Último]]/B56)</f>
        <v>6.6691374498672351E-2</v>
      </c>
      <c r="D57" s="2">
        <f>(Tabla1[[#This Row],[Último]]-B56)/B56</f>
        <v>6.8965517241379379E-2</v>
      </c>
    </row>
    <row r="58" spans="1:4" x14ac:dyDescent="0.3">
      <c r="A58" s="1">
        <v>38231</v>
      </c>
      <c r="B58">
        <v>0.69</v>
      </c>
      <c r="C58" s="2">
        <f>LN(Tabla1[[#This Row],[Último]]/B57)</f>
        <v>0.10697211955216773</v>
      </c>
      <c r="D58" s="2">
        <f>(Tabla1[[#This Row],[Último]]-B57)/B57</f>
        <v>0.11290322580645154</v>
      </c>
    </row>
    <row r="59" spans="1:4" x14ac:dyDescent="0.3">
      <c r="A59" s="1">
        <v>38261</v>
      </c>
      <c r="B59">
        <v>0.94</v>
      </c>
      <c r="C59" s="2">
        <f>LN(Tabla1[[#This Row],[Último]]/B58)</f>
        <v>0.30918827767274454</v>
      </c>
      <c r="D59" s="2">
        <f>(Tabla1[[#This Row],[Último]]-B58)/B58</f>
        <v>0.3623188405797102</v>
      </c>
    </row>
    <row r="60" spans="1:4" x14ac:dyDescent="0.3">
      <c r="A60" s="1">
        <v>38292</v>
      </c>
      <c r="B60">
        <v>1.2</v>
      </c>
      <c r="C60" s="2">
        <f>LN(Tabla1[[#This Row],[Último]]/B59)</f>
        <v>0.24419696051204215</v>
      </c>
      <c r="D60" s="2">
        <f>(Tabla1[[#This Row],[Último]]-B59)/B59</f>
        <v>0.27659574468085107</v>
      </c>
    </row>
    <row r="61" spans="1:4" x14ac:dyDescent="0.3">
      <c r="A61" s="1">
        <v>38322</v>
      </c>
      <c r="B61">
        <v>1.1499999999999999</v>
      </c>
      <c r="C61" s="2">
        <f>LN(Tabla1[[#This Row],[Último]]/B60)</f>
        <v>-4.2559614418796007E-2</v>
      </c>
      <c r="D61" s="2">
        <f>(Tabla1[[#This Row],[Último]]-B60)/B60</f>
        <v>-4.1666666666666706E-2</v>
      </c>
    </row>
    <row r="62" spans="1:4" x14ac:dyDescent="0.3">
      <c r="A62" s="1">
        <v>38353</v>
      </c>
      <c r="B62">
        <v>1.37</v>
      </c>
      <c r="C62" s="2">
        <f>LN(Tabla1[[#This Row],[Último]]/B61)</f>
        <v>0.17504879746487503</v>
      </c>
      <c r="D62" s="2">
        <f>(Tabla1[[#This Row],[Último]]-B61)/B61</f>
        <v>0.19130434782608713</v>
      </c>
    </row>
    <row r="63" spans="1:4" x14ac:dyDescent="0.3">
      <c r="A63" s="1">
        <v>38384</v>
      </c>
      <c r="B63">
        <v>1.6</v>
      </c>
      <c r="C63" s="2">
        <f>LN(Tabla1[[#This Row],[Último]]/B62)</f>
        <v>0.15519288940570192</v>
      </c>
      <c r="D63" s="2">
        <f>(Tabla1[[#This Row],[Último]]-B62)/B62</f>
        <v>0.16788321167883208</v>
      </c>
    </row>
    <row r="64" spans="1:4" x14ac:dyDescent="0.3">
      <c r="A64" s="1">
        <v>38412</v>
      </c>
      <c r="B64">
        <v>1.49</v>
      </c>
      <c r="C64" s="2">
        <f>LN(Tabla1[[#This Row],[Último]]/B63)</f>
        <v>-7.122750928836788E-2</v>
      </c>
      <c r="D64" s="2">
        <f>(Tabla1[[#This Row],[Último]]-B63)/B63</f>
        <v>-6.8750000000000061E-2</v>
      </c>
    </row>
    <row r="65" spans="1:4" x14ac:dyDescent="0.3">
      <c r="A65" s="1">
        <v>38443</v>
      </c>
      <c r="B65">
        <v>1.29</v>
      </c>
      <c r="C65" s="2">
        <f>LN(Tabla1[[#This Row],[Último]]/B64)</f>
        <v>-0.14413390158378694</v>
      </c>
      <c r="D65" s="2">
        <f>(Tabla1[[#This Row],[Último]]-B64)/B64</f>
        <v>-0.13422818791946306</v>
      </c>
    </row>
    <row r="66" spans="1:4" x14ac:dyDescent="0.3">
      <c r="A66" s="1">
        <v>38473</v>
      </c>
      <c r="B66">
        <v>1.42</v>
      </c>
      <c r="C66" s="2">
        <f>LN(Tabla1[[#This Row],[Último]]/B65)</f>
        <v>9.6014653239588577E-2</v>
      </c>
      <c r="D66" s="2">
        <f>(Tabla1[[#This Row],[Último]]-B65)/B65</f>
        <v>0.10077519379844953</v>
      </c>
    </row>
    <row r="67" spans="1:4" x14ac:dyDescent="0.3">
      <c r="A67" s="1">
        <v>38504</v>
      </c>
      <c r="B67">
        <v>1.31</v>
      </c>
      <c r="C67" s="2">
        <f>LN(Tabla1[[#This Row],[Último]]/B66)</f>
        <v>-8.0629734400109079E-2</v>
      </c>
      <c r="D67" s="2">
        <f>(Tabla1[[#This Row],[Último]]-B66)/B66</f>
        <v>-7.7464788732394277E-2</v>
      </c>
    </row>
    <row r="68" spans="1:4" x14ac:dyDescent="0.3">
      <c r="A68" s="1">
        <v>38534</v>
      </c>
      <c r="B68">
        <v>1.52</v>
      </c>
      <c r="C68" s="2">
        <f>LN(Tabla1[[#This Row],[Último]]/B67)</f>
        <v>0.14868319764512478</v>
      </c>
      <c r="D68" s="2">
        <f>(Tabla1[[#This Row],[Último]]-B67)/B67</f>
        <v>0.16030534351145034</v>
      </c>
    </row>
    <row r="69" spans="1:4" x14ac:dyDescent="0.3">
      <c r="A69" s="1">
        <v>38565</v>
      </c>
      <c r="B69">
        <v>1.67</v>
      </c>
      <c r="C69" s="2">
        <f>LN(Tabla1[[#This Row],[Último]]/B68)</f>
        <v>9.4113291570478638E-2</v>
      </c>
      <c r="D69" s="2">
        <f>(Tabla1[[#This Row],[Último]]-B68)/B68</f>
        <v>9.8684210526315735E-2</v>
      </c>
    </row>
    <row r="70" spans="1:4" x14ac:dyDescent="0.3">
      <c r="A70" s="1">
        <v>38596</v>
      </c>
      <c r="B70">
        <v>1.91</v>
      </c>
      <c r="C70" s="2">
        <f>LN(Tabla1[[#This Row],[Último]]/B69)</f>
        <v>0.13427961562987478</v>
      </c>
      <c r="D70" s="2">
        <f>(Tabla1[[#This Row],[Último]]-B69)/B69</f>
        <v>0.1437125748502994</v>
      </c>
    </row>
    <row r="71" spans="1:4" x14ac:dyDescent="0.3">
      <c r="A71" s="1">
        <v>38626</v>
      </c>
      <c r="B71">
        <v>2.06</v>
      </c>
      <c r="C71" s="2">
        <f>LN(Tabla1[[#This Row],[Último]]/B70)</f>
        <v>7.5602740742951341E-2</v>
      </c>
      <c r="D71" s="2">
        <f>(Tabla1[[#This Row],[Último]]-B70)/B70</f>
        <v>7.8534031413612634E-2</v>
      </c>
    </row>
    <row r="72" spans="1:4" x14ac:dyDescent="0.3">
      <c r="A72" s="1">
        <v>38657</v>
      </c>
      <c r="B72">
        <v>2.42</v>
      </c>
      <c r="C72" s="2">
        <f>LN(Tabla1[[#This Row],[Último]]/B71)</f>
        <v>0.16106155736710526</v>
      </c>
      <c r="D72" s="2">
        <f>(Tabla1[[#This Row],[Último]]-B71)/B71</f>
        <v>0.17475728155339798</v>
      </c>
    </row>
    <row r="73" spans="1:4" x14ac:dyDescent="0.3">
      <c r="A73" s="1">
        <v>38687</v>
      </c>
      <c r="B73">
        <v>2.57</v>
      </c>
      <c r="C73" s="2">
        <f>LN(Tabla1[[#This Row],[Último]]/B72)</f>
        <v>6.0138358738533314E-2</v>
      </c>
      <c r="D73" s="2">
        <f>(Tabla1[[#This Row],[Último]]-B72)/B72</f>
        <v>6.1983471074380132E-2</v>
      </c>
    </row>
    <row r="74" spans="1:4" x14ac:dyDescent="0.3">
      <c r="A74" s="1">
        <v>38718</v>
      </c>
      <c r="B74">
        <v>2.7</v>
      </c>
      <c r="C74" s="2">
        <f>LN(Tabla1[[#This Row],[Último]]/B73)</f>
        <v>4.9345874103155003E-2</v>
      </c>
      <c r="D74" s="2">
        <f>(Tabla1[[#This Row],[Último]]-B73)/B73</f>
        <v>5.0583657587548771E-2</v>
      </c>
    </row>
    <row r="75" spans="1:4" x14ac:dyDescent="0.3">
      <c r="A75" s="1">
        <v>38749</v>
      </c>
      <c r="B75">
        <v>2.4500000000000002</v>
      </c>
      <c r="C75" s="2">
        <f>LN(Tabla1[[#This Row],[Último]]/B74)</f>
        <v>-9.7163748453647739E-2</v>
      </c>
      <c r="D75" s="2">
        <f>(Tabla1[[#This Row],[Último]]-B74)/B74</f>
        <v>-9.2592592592592587E-2</v>
      </c>
    </row>
    <row r="76" spans="1:4" x14ac:dyDescent="0.3">
      <c r="A76" s="1">
        <v>38777</v>
      </c>
      <c r="B76">
        <v>2.2400000000000002</v>
      </c>
      <c r="C76" s="2">
        <f>LN(Tabla1[[#This Row],[Último]]/B75)</f>
        <v>-8.9612158689687166E-2</v>
      </c>
      <c r="D76" s="2">
        <f>(Tabla1[[#This Row],[Último]]-B75)/B75</f>
        <v>-8.5714285714285687E-2</v>
      </c>
    </row>
    <row r="77" spans="1:4" x14ac:dyDescent="0.3">
      <c r="A77" s="1">
        <v>38808</v>
      </c>
      <c r="B77">
        <v>2.5099999999999998</v>
      </c>
      <c r="C77" s="2">
        <f>LN(Tabla1[[#This Row],[Último]]/B76)</f>
        <v>0.11380688727674394</v>
      </c>
      <c r="D77" s="2">
        <f>(Tabla1[[#This Row],[Último]]-B76)/B76</f>
        <v>0.12053571428571408</v>
      </c>
    </row>
    <row r="78" spans="1:4" x14ac:dyDescent="0.3">
      <c r="A78" s="1">
        <v>38838</v>
      </c>
      <c r="B78">
        <v>2.13</v>
      </c>
      <c r="C78" s="2">
        <f>LN(Tabla1[[#This Row],[Último]]/B77)</f>
        <v>-0.16416077342235874</v>
      </c>
      <c r="D78" s="2">
        <f>(Tabla1[[#This Row],[Último]]-B77)/B77</f>
        <v>-0.15139442231075695</v>
      </c>
    </row>
    <row r="79" spans="1:4" x14ac:dyDescent="0.3">
      <c r="A79" s="1">
        <v>38869</v>
      </c>
      <c r="B79">
        <v>2.0499999999999998</v>
      </c>
      <c r="C79" s="2">
        <f>LN(Tabla1[[#This Row],[Último]]/B78)</f>
        <v>-3.8282186571016924E-2</v>
      </c>
      <c r="D79" s="2">
        <f>(Tabla1[[#This Row],[Último]]-B78)/B78</f>
        <v>-3.7558685446009425E-2</v>
      </c>
    </row>
    <row r="80" spans="1:4" x14ac:dyDescent="0.3">
      <c r="A80" s="1">
        <v>38899</v>
      </c>
      <c r="B80">
        <v>2.4300000000000002</v>
      </c>
      <c r="C80" s="2">
        <f>LN(Tabla1[[#This Row],[Último]]/B79)</f>
        <v>0.17005146420214043</v>
      </c>
      <c r="D80" s="2">
        <f>(Tabla1[[#This Row],[Último]]-B79)/B79</f>
        <v>0.18536585365853678</v>
      </c>
    </row>
    <row r="81" spans="1:4" x14ac:dyDescent="0.3">
      <c r="A81" s="1">
        <v>38930</v>
      </c>
      <c r="B81">
        <v>2.42</v>
      </c>
      <c r="C81" s="2">
        <f>LN(Tabla1[[#This Row],[Último]]/B80)</f>
        <v>-4.1237171838621519E-3</v>
      </c>
      <c r="D81" s="2">
        <f>(Tabla1[[#This Row],[Último]]-B80)/B80</f>
        <v>-4.1152263374486546E-3</v>
      </c>
    </row>
    <row r="82" spans="1:4" x14ac:dyDescent="0.3">
      <c r="A82" s="1">
        <v>38961</v>
      </c>
      <c r="B82">
        <v>2.75</v>
      </c>
      <c r="C82" s="2">
        <f>LN(Tabla1[[#This Row],[Último]]/B81)</f>
        <v>0.127833371509885</v>
      </c>
      <c r="D82" s="2">
        <f>(Tabla1[[#This Row],[Último]]-B81)/B81</f>
        <v>0.13636363636363641</v>
      </c>
    </row>
    <row r="83" spans="1:4" x14ac:dyDescent="0.3">
      <c r="A83" s="1">
        <v>38991</v>
      </c>
      <c r="B83">
        <v>2.9</v>
      </c>
      <c r="C83" s="2">
        <f>LN(Tabla1[[#This Row],[Último]]/B82)</f>
        <v>5.3109825313948332E-2</v>
      </c>
      <c r="D83" s="2">
        <f>(Tabla1[[#This Row],[Último]]-B82)/B82</f>
        <v>5.4545454545454515E-2</v>
      </c>
    </row>
    <row r="84" spans="1:4" x14ac:dyDescent="0.3">
      <c r="A84" s="1">
        <v>39022</v>
      </c>
      <c r="B84">
        <v>3.27</v>
      </c>
      <c r="C84" s="2">
        <f>LN(Tabla1[[#This Row],[Último]]/B83)</f>
        <v>0.12007924791673381</v>
      </c>
      <c r="D84" s="2">
        <f>(Tabla1[[#This Row],[Último]]-B83)/B83</f>
        <v>0.12758620689655176</v>
      </c>
    </row>
    <row r="85" spans="1:4" x14ac:dyDescent="0.3">
      <c r="A85" s="1">
        <v>39052</v>
      </c>
      <c r="B85">
        <v>3.03</v>
      </c>
      <c r="C85" s="2">
        <f>LN(Tabla1[[#This Row],[Último]]/B84)</f>
        <v>-7.6227365387884369E-2</v>
      </c>
      <c r="D85" s="2">
        <f>(Tabla1[[#This Row],[Último]]-B84)/B84</f>
        <v>-7.3394495412844096E-2</v>
      </c>
    </row>
    <row r="86" spans="1:4" x14ac:dyDescent="0.3">
      <c r="A86" s="1">
        <v>39083</v>
      </c>
      <c r="B86">
        <v>3.06</v>
      </c>
      <c r="C86" s="2">
        <f>LN(Tabla1[[#This Row],[Último]]/B85)</f>
        <v>9.8522964430116395E-3</v>
      </c>
      <c r="D86" s="2">
        <f>(Tabla1[[#This Row],[Último]]-B85)/B85</f>
        <v>9.9009900990099844E-3</v>
      </c>
    </row>
    <row r="87" spans="1:4" x14ac:dyDescent="0.3">
      <c r="A87" s="1">
        <v>39114</v>
      </c>
      <c r="B87">
        <v>3.02</v>
      </c>
      <c r="C87" s="2">
        <f>LN(Tabla1[[#This Row],[Último]]/B86)</f>
        <v>-1.3158084577511199E-2</v>
      </c>
      <c r="D87" s="2">
        <f>(Tabla1[[#This Row],[Último]]-B86)/B86</f>
        <v>-1.3071895424836612E-2</v>
      </c>
    </row>
    <row r="88" spans="1:4" x14ac:dyDescent="0.3">
      <c r="A88" s="1">
        <v>39142</v>
      </c>
      <c r="B88">
        <v>3.32</v>
      </c>
      <c r="C88" s="2">
        <f>LN(Tabla1[[#This Row],[Último]]/B87)</f>
        <v>9.4707951541618762E-2</v>
      </c>
      <c r="D88" s="2">
        <f>(Tabla1[[#This Row],[Último]]-B87)/B87</f>
        <v>9.9337748344370799E-2</v>
      </c>
    </row>
    <row r="89" spans="1:4" x14ac:dyDescent="0.3">
      <c r="A89" s="1">
        <v>39173</v>
      </c>
      <c r="B89">
        <v>3.56</v>
      </c>
      <c r="C89" s="2">
        <f>LN(Tabla1[[#This Row],[Último]]/B88)</f>
        <v>6.979576193554192E-2</v>
      </c>
      <c r="D89" s="2">
        <f>(Tabla1[[#This Row],[Último]]-B88)/B88</f>
        <v>7.228915662650609E-2</v>
      </c>
    </row>
    <row r="90" spans="1:4" x14ac:dyDescent="0.3">
      <c r="A90" s="1">
        <v>39203</v>
      </c>
      <c r="B90">
        <v>4.33</v>
      </c>
      <c r="C90" s="2">
        <f>LN(Tabla1[[#This Row],[Último]]/B89)</f>
        <v>0.19580699715045932</v>
      </c>
      <c r="D90" s="2">
        <f>(Tabla1[[#This Row],[Último]]-B89)/B89</f>
        <v>0.21629213483146068</v>
      </c>
    </row>
    <row r="91" spans="1:4" x14ac:dyDescent="0.3">
      <c r="A91" s="1">
        <v>39234</v>
      </c>
      <c r="B91">
        <v>4.3600000000000003</v>
      </c>
      <c r="C91" s="2">
        <f>LN(Tabla1[[#This Row],[Último]]/B90)</f>
        <v>6.9045153465444858E-3</v>
      </c>
      <c r="D91" s="2">
        <f>(Tabla1[[#This Row],[Último]]-B90)/B90</f>
        <v>6.9284064665127596E-3</v>
      </c>
    </row>
    <row r="92" spans="1:4" x14ac:dyDescent="0.3">
      <c r="A92" s="1">
        <v>39264</v>
      </c>
      <c r="B92">
        <v>4.71</v>
      </c>
      <c r="C92" s="2">
        <f>LN(Tabla1[[#This Row],[Último]]/B91)</f>
        <v>7.7215850667383443E-2</v>
      </c>
      <c r="D92" s="2">
        <f>(Tabla1[[#This Row],[Último]]-B91)/B91</f>
        <v>8.0275229357798072E-2</v>
      </c>
    </row>
    <row r="93" spans="1:4" x14ac:dyDescent="0.3">
      <c r="A93" s="1">
        <v>39295</v>
      </c>
      <c r="B93">
        <v>4.95</v>
      </c>
      <c r="C93" s="2">
        <f>LN(Tabla1[[#This Row],[Último]]/B92)</f>
        <v>4.9699668552272543E-2</v>
      </c>
      <c r="D93" s="2">
        <f>(Tabla1[[#This Row],[Último]]-B92)/B92</f>
        <v>5.0955414012738898E-2</v>
      </c>
    </row>
    <row r="94" spans="1:4" x14ac:dyDescent="0.3">
      <c r="A94" s="1">
        <v>39326</v>
      </c>
      <c r="B94">
        <v>5.48</v>
      </c>
      <c r="C94" s="2">
        <f>LN(Tabla1[[#This Row],[Último]]/B93)</f>
        <v>0.10171752437932526</v>
      </c>
      <c r="D94" s="2">
        <f>(Tabla1[[#This Row],[Último]]-B93)/B93</f>
        <v>0.10707070707070712</v>
      </c>
    </row>
    <row r="95" spans="1:4" x14ac:dyDescent="0.3">
      <c r="A95" s="1">
        <v>39356</v>
      </c>
      <c r="B95">
        <v>6.78</v>
      </c>
      <c r="C95" s="2">
        <f>LN(Tabla1[[#This Row],[Último]]/B94)</f>
        <v>0.21287200099237993</v>
      </c>
      <c r="D95" s="2">
        <f>(Tabla1[[#This Row],[Último]]-B94)/B94</f>
        <v>0.23722627737226273</v>
      </c>
    </row>
    <row r="96" spans="1:4" x14ac:dyDescent="0.3">
      <c r="A96" s="1">
        <v>39387</v>
      </c>
      <c r="B96">
        <v>6.51</v>
      </c>
      <c r="C96" s="2">
        <f>LN(Tabla1[[#This Row],[Último]]/B95)</f>
        <v>-4.0637645731826391E-2</v>
      </c>
      <c r="D96" s="2">
        <f>(Tabla1[[#This Row],[Último]]-B95)/B95</f>
        <v>-3.9823008849557591E-2</v>
      </c>
    </row>
    <row r="97" spans="1:4" x14ac:dyDescent="0.3">
      <c r="A97" s="1">
        <v>39417</v>
      </c>
      <c r="B97">
        <v>7.07</v>
      </c>
      <c r="C97" s="2">
        <f>LN(Tabla1[[#This Row],[Último]]/B96)</f>
        <v>8.2521023688003653E-2</v>
      </c>
      <c r="D97" s="2">
        <f>(Tabla1[[#This Row],[Último]]-B96)/B96</f>
        <v>8.6021505376344162E-2</v>
      </c>
    </row>
    <row r="98" spans="1:4" x14ac:dyDescent="0.3">
      <c r="A98" s="1">
        <v>39448</v>
      </c>
      <c r="B98">
        <v>4.83</v>
      </c>
      <c r="C98" s="2">
        <f>LN(Tabla1[[#This Row],[Último]]/B97)</f>
        <v>-0.38101401224400017</v>
      </c>
      <c r="D98" s="2">
        <f>(Tabla1[[#This Row],[Último]]-B97)/B97</f>
        <v>-0.31683168316831684</v>
      </c>
    </row>
    <row r="99" spans="1:4" x14ac:dyDescent="0.3">
      <c r="A99" s="1">
        <v>39479</v>
      </c>
      <c r="B99">
        <v>4.46</v>
      </c>
      <c r="C99" s="2">
        <f>LN(Tabla1[[#This Row],[Último]]/B98)</f>
        <v>-7.9697701632508694E-2</v>
      </c>
      <c r="D99" s="2">
        <f>(Tabla1[[#This Row],[Último]]-B98)/B98</f>
        <v>-7.6604554865424446E-2</v>
      </c>
    </row>
    <row r="100" spans="1:4" x14ac:dyDescent="0.3">
      <c r="A100" s="1">
        <v>39508</v>
      </c>
      <c r="B100">
        <v>5.12</v>
      </c>
      <c r="C100" s="2">
        <f>LN(Tabla1[[#This Row],[Último]]/B99)</f>
        <v>0.13800567301944369</v>
      </c>
      <c r="D100" s="2">
        <f>(Tabla1[[#This Row],[Último]]-B99)/B99</f>
        <v>0.1479820627802691</v>
      </c>
    </row>
    <row r="101" spans="1:4" x14ac:dyDescent="0.3">
      <c r="A101" s="1">
        <v>39539</v>
      </c>
      <c r="B101">
        <v>6.21</v>
      </c>
      <c r="C101" s="2">
        <f>LN(Tabla1[[#This Row],[Último]]/B100)</f>
        <v>0.19300645689397097</v>
      </c>
      <c r="D101" s="2">
        <f>(Tabla1[[#This Row],[Último]]-B100)/B100</f>
        <v>0.21289062499999997</v>
      </c>
    </row>
    <row r="102" spans="1:4" x14ac:dyDescent="0.3">
      <c r="A102" s="1">
        <v>39569</v>
      </c>
      <c r="B102">
        <v>6.74</v>
      </c>
      <c r="C102" s="2">
        <f>LN(Tabla1[[#This Row],[Último]]/B101)</f>
        <v>8.1899028978828212E-2</v>
      </c>
      <c r="D102" s="2">
        <f>(Tabla1[[#This Row],[Último]]-B101)/B101</f>
        <v>8.5346215780998436E-2</v>
      </c>
    </row>
    <row r="103" spans="1:4" x14ac:dyDescent="0.3">
      <c r="A103" s="1">
        <v>39600</v>
      </c>
      <c r="B103">
        <v>5.98</v>
      </c>
      <c r="C103" s="2">
        <f>LN(Tabla1[[#This Row],[Último]]/B102)</f>
        <v>-0.11963935696167531</v>
      </c>
      <c r="D103" s="2">
        <f>(Tabla1[[#This Row],[Último]]-B102)/B102</f>
        <v>-0.11275964391691391</v>
      </c>
    </row>
    <row r="104" spans="1:4" x14ac:dyDescent="0.3">
      <c r="A104" s="1">
        <v>39630</v>
      </c>
      <c r="B104">
        <v>5.68</v>
      </c>
      <c r="C104" s="2">
        <f>LN(Tabla1[[#This Row],[Último]]/B103)</f>
        <v>-5.1469335229480467E-2</v>
      </c>
      <c r="D104" s="2">
        <f>(Tabla1[[#This Row],[Último]]-B103)/B103</f>
        <v>-5.0167224080267671E-2</v>
      </c>
    </row>
    <row r="105" spans="1:4" x14ac:dyDescent="0.3">
      <c r="A105" s="1">
        <v>39661</v>
      </c>
      <c r="B105">
        <v>6.05</v>
      </c>
      <c r="C105" s="2">
        <f>LN(Tabla1[[#This Row],[Último]]/B104)</f>
        <v>6.3107039309690083E-2</v>
      </c>
      <c r="D105" s="2">
        <f>(Tabla1[[#This Row],[Último]]-B104)/B104</f>
        <v>6.5140845070422559E-2</v>
      </c>
    </row>
    <row r="106" spans="1:4" x14ac:dyDescent="0.3">
      <c r="A106" s="1">
        <v>39692</v>
      </c>
      <c r="B106">
        <v>4.0599999999999996</v>
      </c>
      <c r="C106" s="2">
        <f>LN(Tabla1[[#This Row],[Último]]/B105)</f>
        <v>-0.3988752984291089</v>
      </c>
      <c r="D106" s="2">
        <f>(Tabla1[[#This Row],[Último]]-B105)/B105</f>
        <v>-0.3289256198347108</v>
      </c>
    </row>
    <row r="107" spans="1:4" x14ac:dyDescent="0.3">
      <c r="A107" s="1">
        <v>39722</v>
      </c>
      <c r="B107">
        <v>3.84</v>
      </c>
      <c r="C107" s="2">
        <f>LN(Tabla1[[#This Row],[Último]]/B106)</f>
        <v>-5.5710607014005716E-2</v>
      </c>
      <c r="D107" s="2">
        <f>(Tabla1[[#This Row],[Último]]-B106)/B106</f>
        <v>-5.4187192118226542E-2</v>
      </c>
    </row>
    <row r="108" spans="1:4" x14ac:dyDescent="0.3">
      <c r="A108" s="1">
        <v>39753</v>
      </c>
      <c r="B108">
        <v>3.31</v>
      </c>
      <c r="C108" s="2">
        <f>LN(Tabla1[[#This Row],[Último]]/B107)</f>
        <v>-0.14852417721066388</v>
      </c>
      <c r="D108" s="2">
        <f>(Tabla1[[#This Row],[Último]]-B107)/B107</f>
        <v>-0.13802083333333329</v>
      </c>
    </row>
    <row r="109" spans="1:4" x14ac:dyDescent="0.3">
      <c r="A109" s="1">
        <v>39783</v>
      </c>
      <c r="B109">
        <v>3.05</v>
      </c>
      <c r="C109" s="2">
        <f>LN(Tabla1[[#This Row],[Último]]/B108)</f>
        <v>-8.1806598769651406E-2</v>
      </c>
      <c r="D109" s="2">
        <f>(Tabla1[[#This Row],[Último]]-B108)/B108</f>
        <v>-7.8549848942598255E-2</v>
      </c>
    </row>
    <row r="110" spans="1:4" x14ac:dyDescent="0.3">
      <c r="A110" s="1">
        <v>39814</v>
      </c>
      <c r="B110">
        <v>3.22</v>
      </c>
      <c r="C110" s="2">
        <f>LN(Tabla1[[#This Row],[Último]]/B109)</f>
        <v>5.423976893699687E-2</v>
      </c>
      <c r="D110" s="2">
        <f>(Tabla1[[#This Row],[Último]]-B109)/B109</f>
        <v>5.5737704918032913E-2</v>
      </c>
    </row>
    <row r="111" spans="1:4" x14ac:dyDescent="0.3">
      <c r="A111" s="1">
        <v>39845</v>
      </c>
      <c r="B111">
        <v>3.19</v>
      </c>
      <c r="C111" s="2">
        <f>LN(Tabla1[[#This Row],[Último]]/B110)</f>
        <v>-9.3604427595638078E-3</v>
      </c>
      <c r="D111" s="2">
        <f>(Tabla1[[#This Row],[Último]]-B110)/B110</f>
        <v>-9.3167701863354803E-3</v>
      </c>
    </row>
    <row r="112" spans="1:4" x14ac:dyDescent="0.3">
      <c r="A112" s="1">
        <v>39873</v>
      </c>
      <c r="B112">
        <v>3.75</v>
      </c>
      <c r="C112" s="2">
        <f>LN(Tabla1[[#This Row],[Último]]/B111)</f>
        <v>0.16173492318556626</v>
      </c>
      <c r="D112" s="2">
        <f>(Tabla1[[#This Row],[Último]]-B111)/B111</f>
        <v>0.17554858934169282</v>
      </c>
    </row>
    <row r="113" spans="1:4" x14ac:dyDescent="0.3">
      <c r="A113" s="1">
        <v>39904</v>
      </c>
      <c r="B113">
        <v>4.49</v>
      </c>
      <c r="C113" s="2">
        <f>LN(Tabla1[[#This Row],[Último]]/B112)</f>
        <v>0.1800968617718435</v>
      </c>
      <c r="D113" s="2">
        <f>(Tabla1[[#This Row],[Último]]-B112)/B112</f>
        <v>0.19733333333333339</v>
      </c>
    </row>
    <row r="114" spans="1:4" x14ac:dyDescent="0.3">
      <c r="A114" s="1">
        <v>39934</v>
      </c>
      <c r="B114">
        <v>4.8499999999999996</v>
      </c>
      <c r="C114" s="2">
        <f>LN(Tabla1[[#This Row],[Último]]/B113)</f>
        <v>7.7126003195228818E-2</v>
      </c>
      <c r="D114" s="2">
        <f>(Tabla1[[#This Row],[Último]]-B113)/B113</f>
        <v>8.0178173719376258E-2</v>
      </c>
    </row>
    <row r="115" spans="1:4" x14ac:dyDescent="0.3">
      <c r="A115" s="1">
        <v>39965</v>
      </c>
      <c r="B115">
        <v>5.09</v>
      </c>
      <c r="C115" s="2">
        <f>LN(Tabla1[[#This Row],[Último]]/B114)</f>
        <v>4.829912561303959E-2</v>
      </c>
      <c r="D115" s="2">
        <f>(Tabla1[[#This Row],[Último]]-B114)/B114</f>
        <v>4.9484536082474273E-2</v>
      </c>
    </row>
    <row r="116" spans="1:4" x14ac:dyDescent="0.3">
      <c r="A116" s="1">
        <v>39995</v>
      </c>
      <c r="B116">
        <v>5.84</v>
      </c>
      <c r="C116" s="2">
        <f>LN(Tabla1[[#This Row],[Último]]/B115)</f>
        <v>0.13745296627770429</v>
      </c>
      <c r="D116" s="2">
        <f>(Tabla1[[#This Row],[Último]]-B115)/B115</f>
        <v>0.14734774066797643</v>
      </c>
    </row>
    <row r="117" spans="1:4" x14ac:dyDescent="0.3">
      <c r="A117" s="1">
        <v>40026</v>
      </c>
      <c r="B117">
        <v>6.01</v>
      </c>
      <c r="C117" s="2">
        <f>LN(Tabla1[[#This Row],[Último]]/B116)</f>
        <v>2.8693951706980581E-2</v>
      </c>
      <c r="D117" s="2">
        <f>(Tabla1[[#This Row],[Último]]-B116)/B116</f>
        <v>2.9109589041095878E-2</v>
      </c>
    </row>
    <row r="118" spans="1:4" x14ac:dyDescent="0.3">
      <c r="A118" s="1">
        <v>40057</v>
      </c>
      <c r="B118">
        <v>6.62</v>
      </c>
      <c r="C118" s="2">
        <f>LN(Tabla1[[#This Row],[Último]]/B117)</f>
        <v>9.6670621401800758E-2</v>
      </c>
      <c r="D118" s="2">
        <f>(Tabla1[[#This Row],[Último]]-B117)/B117</f>
        <v>0.10149750415973384</v>
      </c>
    </row>
    <row r="119" spans="1:4" x14ac:dyDescent="0.3">
      <c r="A119" s="1">
        <v>40087</v>
      </c>
      <c r="B119">
        <v>6.73</v>
      </c>
      <c r="C119" s="2">
        <f>LN(Tabla1[[#This Row],[Último]]/B118)</f>
        <v>1.6479773707719622E-2</v>
      </c>
      <c r="D119" s="2">
        <f>(Tabla1[[#This Row],[Último]]-B118)/B118</f>
        <v>1.6616314199395819E-2</v>
      </c>
    </row>
    <row r="120" spans="1:4" x14ac:dyDescent="0.3">
      <c r="A120" s="1">
        <v>40118</v>
      </c>
      <c r="B120">
        <v>7.14</v>
      </c>
      <c r="C120" s="2">
        <f>LN(Tabla1[[#This Row],[Último]]/B119)</f>
        <v>5.9137632694856376E-2</v>
      </c>
      <c r="D120" s="2">
        <f>(Tabla1[[#This Row],[Último]]-B119)/B119</f>
        <v>6.0921248142644761E-2</v>
      </c>
    </row>
    <row r="121" spans="1:4" x14ac:dyDescent="0.3">
      <c r="A121" s="1">
        <v>40148</v>
      </c>
      <c r="B121">
        <v>7.53</v>
      </c>
      <c r="C121" s="2">
        <f>LN(Tabla1[[#This Row],[Último]]/B120)</f>
        <v>5.3182265460309221E-2</v>
      </c>
      <c r="D121" s="2">
        <f>(Tabla1[[#This Row],[Último]]-B120)/B120</f>
        <v>5.4621848739495882E-2</v>
      </c>
    </row>
    <row r="122" spans="1:4" x14ac:dyDescent="0.3">
      <c r="A122" s="1">
        <v>40179</v>
      </c>
      <c r="B122">
        <v>6.86</v>
      </c>
      <c r="C122" s="2">
        <f>LN(Tabla1[[#This Row],[Último]]/B121)</f>
        <v>-9.3187600074008392E-2</v>
      </c>
      <c r="D122" s="2">
        <f>(Tabla1[[#This Row],[Último]]-B121)/B121</f>
        <v>-8.8977423638778211E-2</v>
      </c>
    </row>
    <row r="123" spans="1:4" x14ac:dyDescent="0.3">
      <c r="A123" s="1">
        <v>40210</v>
      </c>
      <c r="B123">
        <v>7.31</v>
      </c>
      <c r="C123" s="2">
        <f>LN(Tabla1[[#This Row],[Último]]/B122)</f>
        <v>6.3535832023893277E-2</v>
      </c>
      <c r="D123" s="2">
        <f>(Tabla1[[#This Row],[Último]]-B122)/B122</f>
        <v>6.5597667638483861E-2</v>
      </c>
    </row>
    <row r="124" spans="1:4" x14ac:dyDescent="0.3">
      <c r="A124" s="1">
        <v>40238</v>
      </c>
      <c r="B124">
        <v>8.39</v>
      </c>
      <c r="C124" s="2">
        <f>LN(Tabla1[[#This Row],[Último]]/B123)</f>
        <v>0.13779724671742771</v>
      </c>
      <c r="D124" s="2">
        <f>(Tabla1[[#This Row],[Último]]-B123)/B123</f>
        <v>0.14774281805745568</v>
      </c>
    </row>
    <row r="125" spans="1:4" x14ac:dyDescent="0.3">
      <c r="A125" s="1">
        <v>40269</v>
      </c>
      <c r="B125">
        <v>9.32</v>
      </c>
      <c r="C125" s="2">
        <f>LN(Tabla1[[#This Row],[Último]]/B124)</f>
        <v>0.10512210821838502</v>
      </c>
      <c r="D125" s="2">
        <f>(Tabla1[[#This Row],[Último]]-B124)/B124</f>
        <v>0.11084624553039328</v>
      </c>
    </row>
    <row r="126" spans="1:4" x14ac:dyDescent="0.3">
      <c r="A126" s="1">
        <v>40299</v>
      </c>
      <c r="B126">
        <v>9.17</v>
      </c>
      <c r="C126" s="2">
        <f>LN(Tabla1[[#This Row],[Último]]/B125)</f>
        <v>-1.6225342429126384E-2</v>
      </c>
      <c r="D126" s="2">
        <f>(Tabla1[[#This Row],[Último]]-B125)/B125</f>
        <v>-1.6094420600858406E-2</v>
      </c>
    </row>
    <row r="127" spans="1:4" x14ac:dyDescent="0.3">
      <c r="A127" s="1">
        <v>40330</v>
      </c>
      <c r="B127">
        <v>8.98</v>
      </c>
      <c r="C127" s="2">
        <f>LN(Tabla1[[#This Row],[Último]]/B126)</f>
        <v>-2.0937403954265202E-2</v>
      </c>
      <c r="D127" s="2">
        <f>(Tabla1[[#This Row],[Último]]-B126)/B126</f>
        <v>-2.071973827699013E-2</v>
      </c>
    </row>
    <row r="128" spans="1:4" x14ac:dyDescent="0.3">
      <c r="A128" s="1">
        <v>40360</v>
      </c>
      <c r="B128">
        <v>9.19</v>
      </c>
      <c r="C128" s="2">
        <f>LN(Tabla1[[#This Row],[Último]]/B127)</f>
        <v>2.3116054053487257E-2</v>
      </c>
      <c r="D128" s="2">
        <f>(Tabla1[[#This Row],[Último]]-B127)/B127</f>
        <v>2.3385300668151345E-2</v>
      </c>
    </row>
    <row r="129" spans="1:4" x14ac:dyDescent="0.3">
      <c r="A129" s="1">
        <v>40391</v>
      </c>
      <c r="B129">
        <v>8.68</v>
      </c>
      <c r="C129" s="2">
        <f>LN(Tabla1[[#This Row],[Último]]/B128)</f>
        <v>-5.7094407695336816E-2</v>
      </c>
      <c r="D129" s="2">
        <f>(Tabla1[[#This Row],[Último]]-B128)/B128</f>
        <v>-5.5495103373231755E-2</v>
      </c>
    </row>
    <row r="130" spans="1:4" x14ac:dyDescent="0.3">
      <c r="A130" s="1">
        <v>40422</v>
      </c>
      <c r="B130">
        <v>10.130000000000001</v>
      </c>
      <c r="C130" s="2">
        <f>LN(Tabla1[[#This Row],[Último]]/B129)</f>
        <v>0.15447978958833333</v>
      </c>
      <c r="D130" s="2">
        <f>(Tabla1[[#This Row],[Último]]-B129)/B129</f>
        <v>0.16705069124423977</v>
      </c>
    </row>
    <row r="131" spans="1:4" x14ac:dyDescent="0.3">
      <c r="A131" s="1">
        <v>40452</v>
      </c>
      <c r="B131">
        <v>10.75</v>
      </c>
      <c r="C131" s="2">
        <f>LN(Tabla1[[#This Row],[Último]]/B130)</f>
        <v>5.9404436313079775E-2</v>
      </c>
      <c r="D131" s="2">
        <f>(Tabla1[[#This Row],[Último]]-B130)/B130</f>
        <v>6.1204343534057175E-2</v>
      </c>
    </row>
    <row r="132" spans="1:4" x14ac:dyDescent="0.3">
      <c r="A132" s="1">
        <v>40483</v>
      </c>
      <c r="B132">
        <v>11.11</v>
      </c>
      <c r="C132" s="2">
        <f>LN(Tabla1[[#This Row],[Último]]/B131)</f>
        <v>3.293984907786681E-2</v>
      </c>
      <c r="D132" s="2">
        <f>(Tabla1[[#This Row],[Último]]-B131)/B131</f>
        <v>3.3488372093023203E-2</v>
      </c>
    </row>
    <row r="133" spans="1:4" x14ac:dyDescent="0.3">
      <c r="A133" s="1">
        <v>40513</v>
      </c>
      <c r="B133">
        <v>11.52</v>
      </c>
      <c r="C133" s="2">
        <f>LN(Tabla1[[#This Row],[Último]]/B132)</f>
        <v>3.6239051616206608E-2</v>
      </c>
      <c r="D133" s="2">
        <f>(Tabla1[[#This Row],[Último]]-B132)/B132</f>
        <v>3.6903690369036915E-2</v>
      </c>
    </row>
    <row r="134" spans="1:4" x14ac:dyDescent="0.3">
      <c r="A134" s="1">
        <v>40544</v>
      </c>
      <c r="B134">
        <v>12.12</v>
      </c>
      <c r="C134" s="2">
        <f>LN(Tabla1[[#This Row],[Último]]/B133)</f>
        <v>5.077232537342314E-2</v>
      </c>
      <c r="D134" s="2">
        <f>(Tabla1[[#This Row],[Último]]-B133)/B133</f>
        <v>5.2083333333333301E-2</v>
      </c>
    </row>
    <row r="135" spans="1:4" x14ac:dyDescent="0.3">
      <c r="A135" s="1">
        <v>40575</v>
      </c>
      <c r="B135">
        <v>12.61</v>
      </c>
      <c r="C135" s="2">
        <f>LN(Tabla1[[#This Row],[Último]]/B134)</f>
        <v>3.963316933565976E-2</v>
      </c>
      <c r="D135" s="2">
        <f>(Tabla1[[#This Row],[Último]]-B134)/B134</f>
        <v>4.0429042904290446E-2</v>
      </c>
    </row>
    <row r="136" spans="1:4" x14ac:dyDescent="0.3">
      <c r="A136" s="1">
        <v>40603</v>
      </c>
      <c r="B136">
        <v>12.45</v>
      </c>
      <c r="C136" s="2">
        <f>LN(Tabla1[[#This Row],[Último]]/B135)</f>
        <v>-1.2769527066111636E-2</v>
      </c>
      <c r="D136" s="2">
        <f>(Tabla1[[#This Row],[Último]]-B135)/B135</f>
        <v>-1.2688342585249814E-2</v>
      </c>
    </row>
    <row r="137" spans="1:4" x14ac:dyDescent="0.3">
      <c r="A137" s="1">
        <v>40634</v>
      </c>
      <c r="B137">
        <v>12.5</v>
      </c>
      <c r="C137" s="2">
        <f>LN(Tabla1[[#This Row],[Último]]/B136)</f>
        <v>4.0080213975388678E-3</v>
      </c>
      <c r="D137" s="2">
        <f>(Tabla1[[#This Row],[Último]]-B136)/B136</f>
        <v>4.0160642570281693E-3</v>
      </c>
    </row>
    <row r="138" spans="1:4" x14ac:dyDescent="0.3">
      <c r="A138" s="1">
        <v>40664</v>
      </c>
      <c r="B138">
        <v>12.42</v>
      </c>
      <c r="C138" s="2">
        <f>LN(Tabla1[[#This Row],[Último]]/B137)</f>
        <v>-6.4205678029226948E-3</v>
      </c>
      <c r="D138" s="2">
        <f>(Tabla1[[#This Row],[Último]]-B137)/B137</f>
        <v>-6.4000000000000055E-3</v>
      </c>
    </row>
    <row r="139" spans="1:4" x14ac:dyDescent="0.3">
      <c r="A139" s="1">
        <v>40695</v>
      </c>
      <c r="B139">
        <v>11.99</v>
      </c>
      <c r="C139" s="2">
        <f>LN(Tabla1[[#This Row],[Último]]/B138)</f>
        <v>-3.5235107465909757E-2</v>
      </c>
      <c r="D139" s="2">
        <f>(Tabla1[[#This Row],[Último]]-B138)/B138</f>
        <v>-3.462157809983895E-2</v>
      </c>
    </row>
    <row r="140" spans="1:4" x14ac:dyDescent="0.3">
      <c r="A140" s="1">
        <v>40725</v>
      </c>
      <c r="B140">
        <v>13.95</v>
      </c>
      <c r="C140" s="2">
        <f>LN(Tabla1[[#This Row],[Último]]/B139)</f>
        <v>0.15140653922795172</v>
      </c>
      <c r="D140" s="2">
        <f>(Tabla1[[#This Row],[Último]]-B139)/B139</f>
        <v>0.16346955796497073</v>
      </c>
    </row>
    <row r="141" spans="1:4" x14ac:dyDescent="0.3">
      <c r="A141" s="1">
        <v>40756</v>
      </c>
      <c r="B141">
        <v>13.74</v>
      </c>
      <c r="C141" s="2">
        <f>LN(Tabla1[[#This Row],[Último]]/B140)</f>
        <v>-1.5168221473171317E-2</v>
      </c>
      <c r="D141" s="2">
        <f>(Tabla1[[#This Row],[Último]]-B140)/B140</f>
        <v>-1.505376344086015E-2</v>
      </c>
    </row>
    <row r="142" spans="1:4" x14ac:dyDescent="0.3">
      <c r="A142" s="1">
        <v>40787</v>
      </c>
      <c r="B142">
        <v>13.62</v>
      </c>
      <c r="C142" s="2">
        <f>LN(Tabla1[[#This Row],[Último]]/B141)</f>
        <v>-8.7719860728369941E-3</v>
      </c>
      <c r="D142" s="2">
        <f>(Tabla1[[#This Row],[Último]]-B141)/B141</f>
        <v>-8.733624454148544E-3</v>
      </c>
    </row>
    <row r="143" spans="1:4" x14ac:dyDescent="0.3">
      <c r="A143" s="1">
        <v>40817</v>
      </c>
      <c r="B143">
        <v>14.46</v>
      </c>
      <c r="C143" s="2">
        <f>LN(Tabla1[[#This Row],[Último]]/B142)</f>
        <v>5.9846916009252356E-2</v>
      </c>
      <c r="D143" s="2">
        <f>(Tabla1[[#This Row],[Último]]-B142)/B142</f>
        <v>6.1674008810572813E-2</v>
      </c>
    </row>
    <row r="144" spans="1:4" x14ac:dyDescent="0.3">
      <c r="A144" s="1">
        <v>40848</v>
      </c>
      <c r="B144">
        <v>13.65</v>
      </c>
      <c r="C144" s="2">
        <f>LN(Tabla1[[#This Row],[Último]]/B143)</f>
        <v>-5.7646695099649911E-2</v>
      </c>
      <c r="D144" s="2">
        <f>(Tabla1[[#This Row],[Último]]-B143)/B143</f>
        <v>-5.6016597510373474E-2</v>
      </c>
    </row>
    <row r="145" spans="1:4" x14ac:dyDescent="0.3">
      <c r="A145" s="1">
        <v>40878</v>
      </c>
      <c r="B145">
        <v>14.46</v>
      </c>
      <c r="C145" s="2">
        <f>LN(Tabla1[[#This Row],[Último]]/B144)</f>
        <v>5.7646695099649897E-2</v>
      </c>
      <c r="D145" s="2">
        <f>(Tabla1[[#This Row],[Último]]-B144)/B144</f>
        <v>5.9340659340659373E-2</v>
      </c>
    </row>
    <row r="146" spans="1:4" x14ac:dyDescent="0.3">
      <c r="A146" s="1">
        <v>40909</v>
      </c>
      <c r="B146">
        <v>16.3</v>
      </c>
      <c r="C146" s="2">
        <f>LN(Tabla1[[#This Row],[Último]]/B145)</f>
        <v>0.11977889108209802</v>
      </c>
      <c r="D146" s="2">
        <f>(Tabla1[[#This Row],[Último]]-B145)/B145</f>
        <v>0.1272475795297372</v>
      </c>
    </row>
    <row r="147" spans="1:4" x14ac:dyDescent="0.3">
      <c r="A147" s="1">
        <v>40940</v>
      </c>
      <c r="B147">
        <v>19.37</v>
      </c>
      <c r="C147" s="2">
        <f>LN(Tabla1[[#This Row],[Último]]/B146)</f>
        <v>0.17256036960618787</v>
      </c>
      <c r="D147" s="2">
        <f>(Tabla1[[#This Row],[Último]]-B146)/B146</f>
        <v>0.18834355828220861</v>
      </c>
    </row>
    <row r="148" spans="1:4" x14ac:dyDescent="0.3">
      <c r="A148" s="1">
        <v>40969</v>
      </c>
      <c r="B148">
        <v>21.41</v>
      </c>
      <c r="C148" s="2">
        <f>LN(Tabla1[[#This Row],[Último]]/B147)</f>
        <v>0.10013262518268681</v>
      </c>
      <c r="D148" s="2">
        <f>(Tabla1[[#This Row],[Último]]-B147)/B147</f>
        <v>0.1053175012906556</v>
      </c>
    </row>
    <row r="149" spans="1:4" x14ac:dyDescent="0.3">
      <c r="A149" s="1">
        <v>41000</v>
      </c>
      <c r="B149">
        <v>20.86</v>
      </c>
      <c r="C149" s="2">
        <f>LN(Tabla1[[#This Row],[Último]]/B148)</f>
        <v>-2.6024653028965099E-2</v>
      </c>
      <c r="D149" s="2">
        <f>(Tabla1[[#This Row],[Último]]-B148)/B148</f>
        <v>-2.5688930406352204E-2</v>
      </c>
    </row>
    <row r="150" spans="1:4" x14ac:dyDescent="0.3">
      <c r="A150" s="1">
        <v>41030</v>
      </c>
      <c r="B150">
        <v>20.63</v>
      </c>
      <c r="C150" s="2">
        <f>LN(Tabla1[[#This Row],[Último]]/B149)</f>
        <v>-1.1087122489465988E-2</v>
      </c>
      <c r="D150" s="2">
        <f>(Tabla1[[#This Row],[Último]]-B149)/B149</f>
        <v>-1.102588686481306E-2</v>
      </c>
    </row>
    <row r="151" spans="1:4" x14ac:dyDescent="0.3">
      <c r="A151" s="1">
        <v>41061</v>
      </c>
      <c r="B151">
        <v>20.86</v>
      </c>
      <c r="C151" s="2">
        <f>LN(Tabla1[[#This Row],[Último]]/B150)</f>
        <v>1.1087122489466018E-2</v>
      </c>
      <c r="D151" s="2">
        <f>(Tabla1[[#This Row],[Último]]-B150)/B150</f>
        <v>1.1148812409112963E-2</v>
      </c>
    </row>
    <row r="152" spans="1:4" x14ac:dyDescent="0.3">
      <c r="A152" s="1">
        <v>41091</v>
      </c>
      <c r="B152">
        <v>21.81</v>
      </c>
      <c r="C152" s="2">
        <f>LN(Tabla1[[#This Row],[Último]]/B151)</f>
        <v>4.4535130640911323E-2</v>
      </c>
      <c r="D152" s="2">
        <f>(Tabla1[[#This Row],[Último]]-B151)/B151</f>
        <v>4.5541706615532085E-2</v>
      </c>
    </row>
    <row r="153" spans="1:4" x14ac:dyDescent="0.3">
      <c r="A153" s="1">
        <v>41122</v>
      </c>
      <c r="B153">
        <v>23.76</v>
      </c>
      <c r="C153" s="2">
        <f>LN(Tabla1[[#This Row],[Último]]/B152)</f>
        <v>8.5634914280906527E-2</v>
      </c>
      <c r="D153" s="2">
        <f>(Tabla1[[#This Row],[Último]]-B152)/B152</f>
        <v>8.9408528198074419E-2</v>
      </c>
    </row>
    <row r="154" spans="1:4" x14ac:dyDescent="0.3">
      <c r="A154" s="1">
        <v>41153</v>
      </c>
      <c r="B154">
        <v>23.83</v>
      </c>
      <c r="C154" s="2">
        <f>LN(Tabla1[[#This Row],[Último]]/B153)</f>
        <v>2.9417966162064383E-3</v>
      </c>
      <c r="D154" s="2">
        <f>(Tabla1[[#This Row],[Último]]-B153)/B153</f>
        <v>2.9461279461278083E-3</v>
      </c>
    </row>
    <row r="155" spans="1:4" x14ac:dyDescent="0.3">
      <c r="A155" s="1">
        <v>41183</v>
      </c>
      <c r="B155">
        <v>21.26</v>
      </c>
      <c r="C155" s="2">
        <f>LN(Tabla1[[#This Row],[Último]]/B154)</f>
        <v>-0.11411791819684876</v>
      </c>
      <c r="D155" s="2">
        <f>(Tabla1[[#This Row],[Último]]-B154)/B154</f>
        <v>-0.10784725136382697</v>
      </c>
    </row>
    <row r="156" spans="1:4" x14ac:dyDescent="0.3">
      <c r="A156" s="1">
        <v>41214</v>
      </c>
      <c r="B156">
        <v>20.9</v>
      </c>
      <c r="C156" s="2">
        <f>LN(Tabla1[[#This Row],[Último]]/B155)</f>
        <v>-1.7078213943036658E-2</v>
      </c>
      <c r="D156" s="2">
        <f>(Tabla1[[#This Row],[Último]]-B155)/B155</f>
        <v>-1.6933207902163828E-2</v>
      </c>
    </row>
    <row r="157" spans="1:4" x14ac:dyDescent="0.3">
      <c r="A157" s="1">
        <v>41244</v>
      </c>
      <c r="B157">
        <v>19.010000000000002</v>
      </c>
      <c r="C157" s="2">
        <f>LN(Tabla1[[#This Row],[Último]]/B156)</f>
        <v>-9.4784002470427328E-2</v>
      </c>
      <c r="D157" s="2">
        <f>(Tabla1[[#This Row],[Último]]-B156)/B156</f>
        <v>-9.0430622009569236E-2</v>
      </c>
    </row>
    <row r="158" spans="1:4" x14ac:dyDescent="0.3">
      <c r="A158" s="1">
        <v>41275</v>
      </c>
      <c r="B158">
        <v>16.27</v>
      </c>
      <c r="C158" s="2">
        <f>LN(Tabla1[[#This Row],[Último]]/B157)</f>
        <v>-0.15564223526939153</v>
      </c>
      <c r="D158" s="2">
        <f>(Tabla1[[#This Row],[Último]]-B157)/B157</f>
        <v>-0.14413466596528152</v>
      </c>
    </row>
    <row r="159" spans="1:4" x14ac:dyDescent="0.3">
      <c r="A159" s="1">
        <v>41306</v>
      </c>
      <c r="B159">
        <v>15.76</v>
      </c>
      <c r="C159" s="2">
        <f>LN(Tabla1[[#This Row],[Último]]/B158)</f>
        <v>-3.1847836801213301E-2</v>
      </c>
      <c r="D159" s="2">
        <f>(Tabla1[[#This Row],[Último]]-B158)/B158</f>
        <v>-3.1346035648432684E-2</v>
      </c>
    </row>
    <row r="160" spans="1:4" x14ac:dyDescent="0.3">
      <c r="A160" s="1">
        <v>41334</v>
      </c>
      <c r="B160">
        <v>15.81</v>
      </c>
      <c r="C160" s="2">
        <f>LN(Tabla1[[#This Row],[Último]]/B159)</f>
        <v>3.1675667916476612E-3</v>
      </c>
      <c r="D160" s="2">
        <f>(Tabla1[[#This Row],[Último]]-B159)/B159</f>
        <v>3.1725888324873547E-3</v>
      </c>
    </row>
    <row r="161" spans="1:4" x14ac:dyDescent="0.3">
      <c r="A161" s="1">
        <v>41365</v>
      </c>
      <c r="B161">
        <v>15.81</v>
      </c>
      <c r="C161" s="2">
        <f>LN(Tabla1[[#This Row],[Último]]/B160)</f>
        <v>0</v>
      </c>
      <c r="D161" s="2">
        <f>(Tabla1[[#This Row],[Último]]-B160)/B160</f>
        <v>0</v>
      </c>
    </row>
    <row r="162" spans="1:4" x14ac:dyDescent="0.3">
      <c r="A162" s="1">
        <v>41395</v>
      </c>
      <c r="B162">
        <v>16.059999999999999</v>
      </c>
      <c r="C162" s="2">
        <f>LN(Tabla1[[#This Row],[Último]]/B161)</f>
        <v>1.5689057297234799E-2</v>
      </c>
      <c r="D162" s="2">
        <f>(Tabla1[[#This Row],[Último]]-B161)/B161</f>
        <v>1.5812776723592551E-2</v>
      </c>
    </row>
    <row r="163" spans="1:4" x14ac:dyDescent="0.3">
      <c r="A163" s="1">
        <v>41426</v>
      </c>
      <c r="B163">
        <v>14.16</v>
      </c>
      <c r="C163" s="2">
        <f>LN(Tabla1[[#This Row],[Último]]/B162)</f>
        <v>-0.12591062025304181</v>
      </c>
      <c r="D163" s="2">
        <f>(Tabla1[[#This Row],[Último]]-B162)/B162</f>
        <v>-0.11830635118306343</v>
      </c>
    </row>
    <row r="164" spans="1:4" x14ac:dyDescent="0.3">
      <c r="A164" s="1">
        <v>41456</v>
      </c>
      <c r="B164">
        <v>16.16</v>
      </c>
      <c r="C164" s="2">
        <f>LN(Tabla1[[#This Row],[Último]]/B163)</f>
        <v>0.13211796482737556</v>
      </c>
      <c r="D164" s="2">
        <f>(Tabla1[[#This Row],[Último]]-B163)/B163</f>
        <v>0.14124293785310735</v>
      </c>
    </row>
    <row r="165" spans="1:4" x14ac:dyDescent="0.3">
      <c r="A165" s="1">
        <v>41487</v>
      </c>
      <c r="B165">
        <v>17.399999999999999</v>
      </c>
      <c r="C165" s="2">
        <f>LN(Tabla1[[#This Row],[Último]]/B164)</f>
        <v>7.3931153127533886E-2</v>
      </c>
      <c r="D165" s="2">
        <f>(Tabla1[[#This Row],[Último]]-B164)/B164</f>
        <v>7.6732673267326634E-2</v>
      </c>
    </row>
    <row r="166" spans="1:4" x14ac:dyDescent="0.3">
      <c r="A166" s="1">
        <v>41518</v>
      </c>
      <c r="B166">
        <v>17.03</v>
      </c>
      <c r="C166" s="2">
        <f>LN(Tabla1[[#This Row],[Último]]/B165)</f>
        <v>-2.1493711545886231E-2</v>
      </c>
      <c r="D166" s="2">
        <f>(Tabla1[[#This Row],[Último]]-B165)/B165</f>
        <v>-2.1264367816091808E-2</v>
      </c>
    </row>
    <row r="167" spans="1:4" x14ac:dyDescent="0.3">
      <c r="A167" s="1">
        <v>41548</v>
      </c>
      <c r="B167">
        <v>18.670000000000002</v>
      </c>
      <c r="C167" s="2">
        <f>LN(Tabla1[[#This Row],[Último]]/B166)</f>
        <v>9.1941462879034389E-2</v>
      </c>
      <c r="D167" s="2">
        <f>(Tabla1[[#This Row],[Último]]-B166)/B166</f>
        <v>9.630064591896656E-2</v>
      </c>
    </row>
    <row r="168" spans="1:4" x14ac:dyDescent="0.3">
      <c r="A168" s="1">
        <v>41579</v>
      </c>
      <c r="B168">
        <v>19.86</v>
      </c>
      <c r="C168" s="2">
        <f>LN(Tabla1[[#This Row],[Último]]/B167)</f>
        <v>6.178970106339518E-2</v>
      </c>
      <c r="D168" s="2">
        <f>(Tabla1[[#This Row],[Último]]-B167)/B167</f>
        <v>6.3738618103909891E-2</v>
      </c>
    </row>
    <row r="169" spans="1:4" x14ac:dyDescent="0.3">
      <c r="A169" s="1">
        <v>41609</v>
      </c>
      <c r="B169">
        <v>20.04</v>
      </c>
      <c r="C169" s="2">
        <f>LN(Tabla1[[#This Row],[Último]]/B168)</f>
        <v>9.0226175996375516E-3</v>
      </c>
      <c r="D169" s="2">
        <f>(Tabla1[[#This Row],[Último]]-B168)/B168</f>
        <v>9.0634441087613146E-3</v>
      </c>
    </row>
    <row r="170" spans="1:4" x14ac:dyDescent="0.3">
      <c r="A170" s="1">
        <v>41640</v>
      </c>
      <c r="B170">
        <v>17.88</v>
      </c>
      <c r="C170" s="2">
        <f>LN(Tabla1[[#This Row],[Último]]/B169)</f>
        <v>-0.11404750647129593</v>
      </c>
      <c r="D170" s="2">
        <f>(Tabla1[[#This Row],[Último]]-B169)/B169</f>
        <v>-0.10778443113772457</v>
      </c>
    </row>
    <row r="171" spans="1:4" x14ac:dyDescent="0.3">
      <c r="A171" s="1">
        <v>41671</v>
      </c>
      <c r="B171">
        <v>18.79</v>
      </c>
      <c r="C171" s="2">
        <f>LN(Tabla1[[#This Row],[Último]]/B170)</f>
        <v>4.9642043680005958E-2</v>
      </c>
      <c r="D171" s="2">
        <f>(Tabla1[[#This Row],[Último]]-B170)/B170</f>
        <v>5.0894854586129766E-2</v>
      </c>
    </row>
    <row r="172" spans="1:4" x14ac:dyDescent="0.3">
      <c r="A172" s="1">
        <v>41699</v>
      </c>
      <c r="B172">
        <v>19.170000000000002</v>
      </c>
      <c r="C172" s="2">
        <f>LN(Tabla1[[#This Row],[Último]]/B171)</f>
        <v>2.0021743632179415E-2</v>
      </c>
      <c r="D172" s="2">
        <f>(Tabla1[[#This Row],[Último]]-B171)/B171</f>
        <v>2.0223523150612165E-2</v>
      </c>
    </row>
    <row r="173" spans="1:4" x14ac:dyDescent="0.3">
      <c r="A173" s="1">
        <v>41730</v>
      </c>
      <c r="B173">
        <v>21.07</v>
      </c>
      <c r="C173" s="2">
        <f>LN(Tabla1[[#This Row],[Último]]/B172)</f>
        <v>9.4503670758544558E-2</v>
      </c>
      <c r="D173" s="2">
        <f>(Tabla1[[#This Row],[Último]]-B172)/B172</f>
        <v>9.9113197704746914E-2</v>
      </c>
    </row>
    <row r="174" spans="1:4" x14ac:dyDescent="0.3">
      <c r="A174" s="1">
        <v>41760</v>
      </c>
      <c r="B174">
        <v>22.61</v>
      </c>
      <c r="C174" s="2">
        <f>LN(Tabla1[[#This Row],[Último]]/B173)</f>
        <v>7.0542058473780839E-2</v>
      </c>
      <c r="D174" s="2">
        <f>(Tabla1[[#This Row],[Último]]-B173)/B173</f>
        <v>7.3089700996677706E-2</v>
      </c>
    </row>
    <row r="175" spans="1:4" x14ac:dyDescent="0.3">
      <c r="A175" s="1">
        <v>41791</v>
      </c>
      <c r="B175">
        <v>23.23</v>
      </c>
      <c r="C175" s="2">
        <f>LN(Tabla1[[#This Row],[Último]]/B174)</f>
        <v>2.7052260492439327E-2</v>
      </c>
      <c r="D175" s="2">
        <f>(Tabla1[[#This Row],[Último]]-B174)/B174</f>
        <v>2.7421494913755021E-2</v>
      </c>
    </row>
    <row r="176" spans="1:4" x14ac:dyDescent="0.3">
      <c r="A176" s="1">
        <v>41821</v>
      </c>
      <c r="B176">
        <v>23.9</v>
      </c>
      <c r="C176" s="2">
        <f>LN(Tabla1[[#This Row],[Último]]/B175)</f>
        <v>2.8433912155147224E-2</v>
      </c>
      <c r="D176" s="2">
        <f>(Tabla1[[#This Row],[Último]]-B175)/B175</f>
        <v>2.8842014636246152E-2</v>
      </c>
    </row>
    <row r="177" spans="1:4" x14ac:dyDescent="0.3">
      <c r="A177" s="1">
        <v>41852</v>
      </c>
      <c r="B177">
        <v>25.63</v>
      </c>
      <c r="C177" s="2">
        <f>LN(Tabla1[[#This Row],[Último]]/B176)</f>
        <v>6.988508143851474E-2</v>
      </c>
      <c r="D177" s="2">
        <f>(Tabla1[[#This Row],[Último]]-B176)/B176</f>
        <v>7.2384937238493749E-2</v>
      </c>
    </row>
    <row r="178" spans="1:4" x14ac:dyDescent="0.3">
      <c r="A178" s="1">
        <v>41883</v>
      </c>
      <c r="B178">
        <v>25.19</v>
      </c>
      <c r="C178" s="2">
        <f>LN(Tabla1[[#This Row],[Último]]/B177)</f>
        <v>-1.7316450011460819E-2</v>
      </c>
      <c r="D178" s="2">
        <f>(Tabla1[[#This Row],[Último]]-B177)/B177</f>
        <v>-1.716738197424884E-2</v>
      </c>
    </row>
    <row r="179" spans="1:4" x14ac:dyDescent="0.3">
      <c r="A179" s="1">
        <v>41913</v>
      </c>
      <c r="B179">
        <v>27</v>
      </c>
      <c r="C179" s="2">
        <f>LN(Tabla1[[#This Row],[Último]]/B178)</f>
        <v>6.9389775639810206E-2</v>
      </c>
      <c r="D179" s="2">
        <f>(Tabla1[[#This Row],[Último]]-B178)/B178</f>
        <v>7.1853910281857822E-2</v>
      </c>
    </row>
    <row r="180" spans="1:4" x14ac:dyDescent="0.3">
      <c r="A180" s="1">
        <v>41944</v>
      </c>
      <c r="B180">
        <v>29.73</v>
      </c>
      <c r="C180" s="2">
        <f>LN(Tabla1[[#This Row],[Último]]/B179)</f>
        <v>9.6319771005677277E-2</v>
      </c>
      <c r="D180" s="2">
        <f>(Tabla1[[#This Row],[Último]]-B179)/B179</f>
        <v>0.10111111111111112</v>
      </c>
    </row>
    <row r="181" spans="1:4" x14ac:dyDescent="0.3">
      <c r="A181" s="1">
        <v>41974</v>
      </c>
      <c r="B181">
        <v>27.59</v>
      </c>
      <c r="C181" s="2">
        <f>LN(Tabla1[[#This Row],[Último]]/B180)</f>
        <v>-7.4703248780811624E-2</v>
      </c>
      <c r="D181" s="2">
        <f>(Tabla1[[#This Row],[Último]]-B180)/B180</f>
        <v>-7.1981163807601764E-2</v>
      </c>
    </row>
    <row r="182" spans="1:4" x14ac:dyDescent="0.3">
      <c r="A182" s="1">
        <v>42005</v>
      </c>
      <c r="B182">
        <v>29.29</v>
      </c>
      <c r="C182" s="2">
        <f>LN(Tabla1[[#This Row],[Último]]/B181)</f>
        <v>5.9792772610447339E-2</v>
      </c>
      <c r="D182" s="2">
        <f>(Tabla1[[#This Row],[Último]]-B181)/B181</f>
        <v>6.1616527727437455E-2</v>
      </c>
    </row>
    <row r="183" spans="1:4" x14ac:dyDescent="0.3">
      <c r="A183" s="1">
        <v>42036</v>
      </c>
      <c r="B183">
        <v>32.119999999999997</v>
      </c>
      <c r="C183" s="2">
        <f>LN(Tabla1[[#This Row],[Último]]/B182)</f>
        <v>9.2232728238918774E-2</v>
      </c>
      <c r="D183" s="2">
        <f>(Tabla1[[#This Row],[Último]]-B182)/B182</f>
        <v>9.6620006828268976E-2</v>
      </c>
    </row>
    <row r="184" spans="1:4" x14ac:dyDescent="0.3">
      <c r="A184" s="1">
        <v>42064</v>
      </c>
      <c r="B184">
        <v>31.11</v>
      </c>
      <c r="C184" s="2">
        <f>LN(Tabla1[[#This Row],[Último]]/B183)</f>
        <v>-3.1949578169015169E-2</v>
      </c>
      <c r="D184" s="2">
        <f>(Tabla1[[#This Row],[Último]]-B183)/B183</f>
        <v>-3.1444582814445766E-2</v>
      </c>
    </row>
    <row r="185" spans="1:4" x14ac:dyDescent="0.3">
      <c r="A185" s="1">
        <v>42095</v>
      </c>
      <c r="B185">
        <v>31.29</v>
      </c>
      <c r="C185" s="2">
        <f>LN(Tabla1[[#This Row],[Último]]/B184)</f>
        <v>5.7692467712451368E-3</v>
      </c>
      <c r="D185" s="2">
        <f>(Tabla1[[#This Row],[Último]]-B184)/B184</f>
        <v>5.785920925747339E-3</v>
      </c>
    </row>
    <row r="186" spans="1:4" x14ac:dyDescent="0.3">
      <c r="A186" s="1">
        <v>42125</v>
      </c>
      <c r="B186">
        <v>32.57</v>
      </c>
      <c r="C186" s="2">
        <f>LN(Tabla1[[#This Row],[Último]]/B185)</f>
        <v>4.0093061607351307E-2</v>
      </c>
      <c r="D186" s="2">
        <f>(Tabla1[[#This Row],[Último]]-B185)/B185</f>
        <v>4.0907638223074499E-2</v>
      </c>
    </row>
    <row r="187" spans="1:4" x14ac:dyDescent="0.3">
      <c r="A187" s="1">
        <v>42156</v>
      </c>
      <c r="B187">
        <v>31.36</v>
      </c>
      <c r="C187" s="2">
        <f>LN(Tabla1[[#This Row],[Último]]/B186)</f>
        <v>-3.7858423805935064E-2</v>
      </c>
      <c r="D187" s="2">
        <f>(Tabla1[[#This Row],[Último]]-B186)/B186</f>
        <v>-3.7150752225974852E-2</v>
      </c>
    </row>
    <row r="188" spans="1:4" x14ac:dyDescent="0.3">
      <c r="A188" s="1">
        <v>42186</v>
      </c>
      <c r="B188">
        <v>30.33</v>
      </c>
      <c r="C188" s="2">
        <f>LN(Tabla1[[#This Row],[Último]]/B187)</f>
        <v>-3.339587378171744E-2</v>
      </c>
      <c r="D188" s="2">
        <f>(Tabla1[[#This Row],[Último]]-B187)/B187</f>
        <v>-3.2844387755102081E-2</v>
      </c>
    </row>
    <row r="189" spans="1:4" x14ac:dyDescent="0.3">
      <c r="A189" s="1">
        <v>42217</v>
      </c>
      <c r="B189">
        <v>28.19</v>
      </c>
      <c r="C189" s="2">
        <f>LN(Tabla1[[#This Row],[Último]]/B188)</f>
        <v>-7.3170016574468505E-2</v>
      </c>
      <c r="D189" s="2">
        <f>(Tabla1[[#This Row],[Último]]-B188)/B188</f>
        <v>-7.0557204088361261E-2</v>
      </c>
    </row>
    <row r="190" spans="1:4" x14ac:dyDescent="0.3">
      <c r="A190" s="1">
        <v>42248</v>
      </c>
      <c r="B190">
        <v>27.58</v>
      </c>
      <c r="C190" s="2">
        <f>LN(Tabla1[[#This Row],[Último]]/B189)</f>
        <v>-2.1876432760865556E-2</v>
      </c>
      <c r="D190" s="2">
        <f>(Tabla1[[#This Row],[Último]]-B189)/B189</f>
        <v>-2.1638879035118942E-2</v>
      </c>
    </row>
    <row r="191" spans="1:4" x14ac:dyDescent="0.3">
      <c r="A191" s="1">
        <v>42278</v>
      </c>
      <c r="B191">
        <v>29.88</v>
      </c>
      <c r="C191" s="2">
        <f>LN(Tabla1[[#This Row],[Último]]/B190)</f>
        <v>8.0098487899460905E-2</v>
      </c>
      <c r="D191" s="2">
        <f>(Tabla1[[#This Row],[Último]]-B190)/B190</f>
        <v>8.339376359680932E-2</v>
      </c>
    </row>
    <row r="192" spans="1:4" x14ac:dyDescent="0.3">
      <c r="A192" s="1">
        <v>42309</v>
      </c>
      <c r="B192">
        <v>29.58</v>
      </c>
      <c r="C192" s="2">
        <f>LN(Tabla1[[#This Row],[Último]]/B191)</f>
        <v>-1.0090902981962831E-2</v>
      </c>
      <c r="D192" s="2">
        <f>(Tabla1[[#This Row],[Último]]-B191)/B191</f>
        <v>-1.0040160642570305E-2</v>
      </c>
    </row>
    <row r="193" spans="1:4" x14ac:dyDescent="0.3">
      <c r="A193" s="1">
        <v>42339</v>
      </c>
      <c r="B193">
        <v>26.32</v>
      </c>
      <c r="C193" s="2">
        <f>LN(Tabla1[[#This Row],[Último]]/B192)</f>
        <v>-0.11676935082553724</v>
      </c>
      <c r="D193" s="2">
        <f>(Tabla1[[#This Row],[Último]]-B192)/B192</f>
        <v>-0.11020960108181198</v>
      </c>
    </row>
    <row r="194" spans="1:4" x14ac:dyDescent="0.3">
      <c r="A194" s="1">
        <v>42370</v>
      </c>
      <c r="B194">
        <v>24.33</v>
      </c>
      <c r="C194" s="2">
        <f>LN(Tabla1[[#This Row],[Último]]/B193)</f>
        <v>-7.8618949661685297E-2</v>
      </c>
      <c r="D194" s="2">
        <f>(Tabla1[[#This Row],[Último]]-B193)/B193</f>
        <v>-7.560790273556238E-2</v>
      </c>
    </row>
    <row r="195" spans="1:4" x14ac:dyDescent="0.3">
      <c r="A195" s="1">
        <v>42401</v>
      </c>
      <c r="B195">
        <v>24.17</v>
      </c>
      <c r="C195" s="2">
        <f>LN(Tabla1[[#This Row],[Último]]/B194)</f>
        <v>-6.5979620800394288E-3</v>
      </c>
      <c r="D195" s="2">
        <f>(Tabla1[[#This Row],[Último]]-B194)/B194</f>
        <v>-6.5762433210027373E-3</v>
      </c>
    </row>
    <row r="196" spans="1:4" x14ac:dyDescent="0.3">
      <c r="A196" s="1">
        <v>42430</v>
      </c>
      <c r="B196">
        <v>27.25</v>
      </c>
      <c r="C196" s="2">
        <f>LN(Tabla1[[#This Row],[Último]]/B195)</f>
        <v>0.11994132639386131</v>
      </c>
      <c r="D196" s="2">
        <f>(Tabla1[[#This Row],[Último]]-B195)/B195</f>
        <v>0.12743069921390146</v>
      </c>
    </row>
    <row r="197" spans="1:4" x14ac:dyDescent="0.3">
      <c r="A197" s="1">
        <v>42461</v>
      </c>
      <c r="B197">
        <v>23.43</v>
      </c>
      <c r="C197" s="2">
        <f>LN(Tabla1[[#This Row],[Último]]/B196)</f>
        <v>-0.15103626858954886</v>
      </c>
      <c r="D197" s="2">
        <f>(Tabla1[[#This Row],[Último]]-B196)/B196</f>
        <v>-0.14018348623853211</v>
      </c>
    </row>
    <row r="198" spans="1:4" x14ac:dyDescent="0.3">
      <c r="A198" s="1">
        <v>42491</v>
      </c>
      <c r="B198">
        <v>24.97</v>
      </c>
      <c r="C198" s="2">
        <f>LN(Tabla1[[#This Row],[Último]]/B197)</f>
        <v>6.3657851771977622E-2</v>
      </c>
      <c r="D198" s="2">
        <f>(Tabla1[[#This Row],[Último]]-B197)/B197</f>
        <v>6.5727699530516395E-2</v>
      </c>
    </row>
    <row r="199" spans="1:4" x14ac:dyDescent="0.3">
      <c r="A199" s="1">
        <v>42522</v>
      </c>
      <c r="B199">
        <v>23.9</v>
      </c>
      <c r="C199" s="2">
        <f>LN(Tabla1[[#This Row],[Último]]/B198)</f>
        <v>-4.3796645354216887E-2</v>
      </c>
      <c r="D199" s="2">
        <f>(Tabla1[[#This Row],[Último]]-B198)/B198</f>
        <v>-4.285142170604727E-2</v>
      </c>
    </row>
    <row r="200" spans="1:4" x14ac:dyDescent="0.3">
      <c r="A200" s="1">
        <v>42552</v>
      </c>
      <c r="B200">
        <v>26.05</v>
      </c>
      <c r="C200" s="2">
        <f>LN(Tabla1[[#This Row],[Último]]/B199)</f>
        <v>8.6139309261911087E-2</v>
      </c>
      <c r="D200" s="2">
        <f>(Tabla1[[#This Row],[Último]]-B199)/B199</f>
        <v>8.9958158995815996E-2</v>
      </c>
    </row>
    <row r="201" spans="1:4" x14ac:dyDescent="0.3">
      <c r="A201" s="1">
        <v>42583</v>
      </c>
      <c r="B201">
        <v>26.52</v>
      </c>
      <c r="C201" s="2">
        <f>LN(Tabla1[[#This Row],[Último]]/B200)</f>
        <v>1.7881397118285802E-2</v>
      </c>
      <c r="D201" s="2">
        <f>(Tabla1[[#This Row],[Último]]-B200)/B200</f>
        <v>1.804222648752395E-2</v>
      </c>
    </row>
    <row r="202" spans="1:4" x14ac:dyDescent="0.3">
      <c r="A202" s="1">
        <v>42614</v>
      </c>
      <c r="B202">
        <v>28.26</v>
      </c>
      <c r="C202" s="2">
        <f>LN(Tabla1[[#This Row],[Último]]/B201)</f>
        <v>6.3548211938719609E-2</v>
      </c>
      <c r="D202" s="2">
        <f>(Tabla1[[#This Row],[Último]]-B201)/B201</f>
        <v>6.561085972850686E-2</v>
      </c>
    </row>
    <row r="203" spans="1:4" x14ac:dyDescent="0.3">
      <c r="A203" s="1">
        <v>42644</v>
      </c>
      <c r="B203">
        <v>28.39</v>
      </c>
      <c r="C203" s="2">
        <f>LN(Tabla1[[#This Row],[Último]]/B202)</f>
        <v>4.5895932284984739E-3</v>
      </c>
      <c r="D203" s="2">
        <f>(Tabla1[[#This Row],[Último]]-B202)/B202</f>
        <v>4.6001415428166669E-3</v>
      </c>
    </row>
    <row r="204" spans="1:4" x14ac:dyDescent="0.3">
      <c r="A204" s="1">
        <v>42675</v>
      </c>
      <c r="B204">
        <v>27.63</v>
      </c>
      <c r="C204" s="2">
        <f>LN(Tabla1[[#This Row],[Último]]/B203)</f>
        <v>-2.7134831549554733E-2</v>
      </c>
      <c r="D204" s="2">
        <f>(Tabla1[[#This Row],[Último]]-B203)/B203</f>
        <v>-2.6769989432898964E-2</v>
      </c>
    </row>
    <row r="205" spans="1:4" x14ac:dyDescent="0.3">
      <c r="A205" s="1">
        <v>42705</v>
      </c>
      <c r="B205">
        <v>28.95</v>
      </c>
      <c r="C205" s="2">
        <f>LN(Tabla1[[#This Row],[Último]]/B204)</f>
        <v>4.66680650836791E-2</v>
      </c>
      <c r="D205" s="2">
        <f>(Tabla1[[#This Row],[Último]]-B204)/B204</f>
        <v>4.7774158523344205E-2</v>
      </c>
    </row>
    <row r="206" spans="1:4" x14ac:dyDescent="0.3">
      <c r="A206" s="1">
        <v>42736</v>
      </c>
      <c r="B206">
        <v>30.34</v>
      </c>
      <c r="C206" s="2">
        <f>LN(Tabla1[[#This Row],[Último]]/B205)</f>
        <v>4.6896769901381946E-2</v>
      </c>
      <c r="D206" s="2">
        <f>(Tabla1[[#This Row],[Último]]-B205)/B205</f>
        <v>4.8013816925734046E-2</v>
      </c>
    </row>
    <row r="207" spans="1:4" x14ac:dyDescent="0.3">
      <c r="A207" s="1">
        <v>42767</v>
      </c>
      <c r="B207">
        <v>34.25</v>
      </c>
      <c r="C207" s="2">
        <f>LN(Tabla1[[#This Row],[Último]]/B206)</f>
        <v>0.12121959078784815</v>
      </c>
      <c r="D207" s="2">
        <f>(Tabla1[[#This Row],[Último]]-B206)/B206</f>
        <v>0.12887277521423862</v>
      </c>
    </row>
    <row r="208" spans="1:4" x14ac:dyDescent="0.3">
      <c r="A208" s="1">
        <v>42795</v>
      </c>
      <c r="B208">
        <v>35.92</v>
      </c>
      <c r="C208" s="2">
        <f>LN(Tabla1[[#This Row],[Último]]/B207)</f>
        <v>4.7607678725764623E-2</v>
      </c>
      <c r="D208" s="2">
        <f>(Tabla1[[#This Row],[Último]]-B207)/B207</f>
        <v>4.8759124087591289E-2</v>
      </c>
    </row>
    <row r="209" spans="1:4" x14ac:dyDescent="0.3">
      <c r="A209" s="1">
        <v>42826</v>
      </c>
      <c r="B209">
        <v>35.909999999999997</v>
      </c>
      <c r="C209" s="2">
        <f>LN(Tabla1[[#This Row],[Último]]/B208)</f>
        <v>-2.7843519600748829E-4</v>
      </c>
      <c r="D209" s="2">
        <f>(Tabla1[[#This Row],[Último]]-B208)/B208</f>
        <v>-2.7839643652575487E-4</v>
      </c>
    </row>
    <row r="210" spans="1:4" x14ac:dyDescent="0.3">
      <c r="A210" s="1">
        <v>42856</v>
      </c>
      <c r="B210">
        <v>38.19</v>
      </c>
      <c r="C210" s="2">
        <f>LN(Tabla1[[#This Row],[Último]]/B209)</f>
        <v>6.1557892999433365E-2</v>
      </c>
      <c r="D210" s="2">
        <f>(Tabla1[[#This Row],[Último]]-B209)/B209</f>
        <v>6.349206349206353E-2</v>
      </c>
    </row>
    <row r="211" spans="1:4" x14ac:dyDescent="0.3">
      <c r="A211" s="1">
        <v>42887</v>
      </c>
      <c r="B211">
        <v>36.01</v>
      </c>
      <c r="C211" s="2">
        <f>LN(Tabla1[[#This Row],[Último]]/B210)</f>
        <v>-5.8777023576641031E-2</v>
      </c>
      <c r="D211" s="2">
        <f>(Tabla1[[#This Row],[Último]]-B210)/B210</f>
        <v>-5.7083006022518978E-2</v>
      </c>
    </row>
    <row r="212" spans="1:4" x14ac:dyDescent="0.3">
      <c r="A212" s="1">
        <v>42917</v>
      </c>
      <c r="B212">
        <v>37.18</v>
      </c>
      <c r="C212" s="2">
        <f>LN(Tabla1[[#This Row],[Último]]/B211)</f>
        <v>3.1974304632514106E-2</v>
      </c>
      <c r="D212" s="2">
        <f>(Tabla1[[#This Row],[Último]]-B211)/B211</f>
        <v>3.249097472924193E-2</v>
      </c>
    </row>
    <row r="213" spans="1:4" x14ac:dyDescent="0.3">
      <c r="A213" s="1">
        <v>42948</v>
      </c>
      <c r="B213">
        <v>41</v>
      </c>
      <c r="C213" s="2">
        <f>LN(Tabla1[[#This Row],[Último]]/B212)</f>
        <v>9.7801084411009834E-2</v>
      </c>
      <c r="D213" s="2">
        <f>(Tabla1[[#This Row],[Último]]-B212)/B212</f>
        <v>0.10274341043571814</v>
      </c>
    </row>
    <row r="214" spans="1:4" x14ac:dyDescent="0.3">
      <c r="A214" s="1">
        <v>42979</v>
      </c>
      <c r="B214">
        <v>38.53</v>
      </c>
      <c r="C214" s="2">
        <f>LN(Tabla1[[#This Row],[Último]]/B213)</f>
        <v>-6.2134908066241522E-2</v>
      </c>
      <c r="D214" s="2">
        <f>(Tabla1[[#This Row],[Último]]-B213)/B213</f>
        <v>-6.024390243902436E-2</v>
      </c>
    </row>
    <row r="215" spans="1:4" x14ac:dyDescent="0.3">
      <c r="A215" s="1">
        <v>43009</v>
      </c>
      <c r="B215">
        <v>42.26</v>
      </c>
      <c r="C215" s="2">
        <f>LN(Tabla1[[#This Row],[Último]]/B214)</f>
        <v>9.2403853549844414E-2</v>
      </c>
      <c r="D215" s="2">
        <f>(Tabla1[[#This Row],[Último]]-B214)/B214</f>
        <v>9.6807682325460595E-2</v>
      </c>
    </row>
    <row r="216" spans="1:4" x14ac:dyDescent="0.3">
      <c r="A216" s="1">
        <v>43040</v>
      </c>
      <c r="B216">
        <v>42.96</v>
      </c>
      <c r="C216" s="2">
        <f>LN(Tabla1[[#This Row],[Último]]/B215)</f>
        <v>1.6428438012698773E-2</v>
      </c>
      <c r="D216" s="2">
        <f>(Tabla1[[#This Row],[Último]]-B215)/B215</f>
        <v>1.6564126833885539E-2</v>
      </c>
    </row>
    <row r="217" spans="1:4" x14ac:dyDescent="0.3">
      <c r="A217" s="1">
        <v>43070</v>
      </c>
      <c r="B217">
        <v>42.31</v>
      </c>
      <c r="C217" s="2">
        <f>LN(Tabla1[[#This Row],[Último]]/B216)</f>
        <v>-1.5245985468633089E-2</v>
      </c>
      <c r="D217" s="2">
        <f>(Tabla1[[#This Row],[Último]]-B216)/B216</f>
        <v>-1.5130353817504622E-2</v>
      </c>
    </row>
    <row r="218" spans="1:4" x14ac:dyDescent="0.3">
      <c r="A218" s="1">
        <v>43101</v>
      </c>
      <c r="B218">
        <v>41.86</v>
      </c>
      <c r="C218" s="2">
        <f>LN(Tabla1[[#This Row],[Último]]/B217)</f>
        <v>-1.0692747714122501E-2</v>
      </c>
      <c r="D218" s="2">
        <f>(Tabla1[[#This Row],[Último]]-B217)/B217</f>
        <v>-1.0635783502718101E-2</v>
      </c>
    </row>
    <row r="219" spans="1:4" x14ac:dyDescent="0.3">
      <c r="A219" s="1">
        <v>43132</v>
      </c>
      <c r="B219">
        <v>44.53</v>
      </c>
      <c r="C219" s="2">
        <f>LN(Tabla1[[#This Row],[Último]]/B218)</f>
        <v>6.1832402315757339E-2</v>
      </c>
      <c r="D219" s="2">
        <f>(Tabla1[[#This Row],[Último]]-B218)/B218</f>
        <v>6.3784042044911657E-2</v>
      </c>
    </row>
    <row r="220" spans="1:4" x14ac:dyDescent="0.3">
      <c r="A220" s="1">
        <v>43160</v>
      </c>
      <c r="B220">
        <v>41.94</v>
      </c>
      <c r="C220" s="2">
        <f>LN(Tabla1[[#This Row],[Último]]/B219)</f>
        <v>-5.9923093859837247E-2</v>
      </c>
      <c r="D220" s="2">
        <f>(Tabla1[[#This Row],[Último]]-B219)/B219</f>
        <v>-5.816303615540093E-2</v>
      </c>
    </row>
    <row r="221" spans="1:4" x14ac:dyDescent="0.3">
      <c r="A221" s="1">
        <v>43191</v>
      </c>
      <c r="B221">
        <v>41.31</v>
      </c>
      <c r="C221" s="2">
        <f>LN(Tabla1[[#This Row],[Último]]/B220)</f>
        <v>-1.5135424065100577E-2</v>
      </c>
      <c r="D221" s="2">
        <f>(Tabla1[[#This Row],[Último]]-B220)/B220</f>
        <v>-1.5021459227467704E-2</v>
      </c>
    </row>
    <row r="222" spans="1:4" x14ac:dyDescent="0.3">
      <c r="A222" s="1">
        <v>43221</v>
      </c>
      <c r="B222">
        <v>46.72</v>
      </c>
      <c r="C222" s="2">
        <f>LN(Tabla1[[#This Row],[Último]]/B221)</f>
        <v>0.1230677371112984</v>
      </c>
      <c r="D222" s="2">
        <f>(Tabla1[[#This Row],[Último]]-B221)/B221</f>
        <v>0.13096102638586291</v>
      </c>
    </row>
    <row r="223" spans="1:4" x14ac:dyDescent="0.3">
      <c r="A223" s="1">
        <v>43252</v>
      </c>
      <c r="B223">
        <v>46.28</v>
      </c>
      <c r="C223" s="2">
        <f>LN(Tabla1[[#This Row],[Último]]/B222)</f>
        <v>-9.462436194495747E-3</v>
      </c>
      <c r="D223" s="2">
        <f>(Tabla1[[#This Row],[Último]]-B222)/B222</f>
        <v>-9.4178082191780331E-3</v>
      </c>
    </row>
    <row r="224" spans="1:4" x14ac:dyDescent="0.3">
      <c r="A224" s="1">
        <v>43282</v>
      </c>
      <c r="B224">
        <v>47.57</v>
      </c>
      <c r="C224" s="2">
        <f>LN(Tabla1[[#This Row],[Último]]/B223)</f>
        <v>2.7492408118714326E-2</v>
      </c>
      <c r="D224" s="2">
        <f>(Tabla1[[#This Row],[Último]]-B223)/B223</f>
        <v>2.7873811581676729E-2</v>
      </c>
    </row>
    <row r="225" spans="1:4" x14ac:dyDescent="0.3">
      <c r="A225" s="1">
        <v>43313</v>
      </c>
      <c r="B225">
        <v>56.91</v>
      </c>
      <c r="C225" s="2">
        <f>LN(Tabla1[[#This Row],[Último]]/B224)</f>
        <v>0.17926876217084234</v>
      </c>
      <c r="D225" s="2">
        <f>(Tabla1[[#This Row],[Último]]-B224)/B224</f>
        <v>0.19634223249947438</v>
      </c>
    </row>
    <row r="226" spans="1:4" x14ac:dyDescent="0.3">
      <c r="A226" s="1">
        <v>43344</v>
      </c>
      <c r="B226">
        <v>56.44</v>
      </c>
      <c r="C226" s="2">
        <f>LN(Tabla1[[#This Row],[Último]]/B225)</f>
        <v>-8.2929456304193048E-3</v>
      </c>
      <c r="D226" s="2">
        <f>(Tabla1[[#This Row],[Último]]-B225)/B225</f>
        <v>-8.2586540151115603E-3</v>
      </c>
    </row>
    <row r="227" spans="1:4" x14ac:dyDescent="0.3">
      <c r="A227" s="1">
        <v>43374</v>
      </c>
      <c r="B227">
        <v>54.72</v>
      </c>
      <c r="C227" s="2">
        <f>LN(Tabla1[[#This Row],[Último]]/B226)</f>
        <v>-3.0948853670318178E-2</v>
      </c>
      <c r="D227" s="2">
        <f>(Tabla1[[#This Row],[Último]]-B226)/B226</f>
        <v>-3.0474840538625071E-2</v>
      </c>
    </row>
    <row r="228" spans="1:4" x14ac:dyDescent="0.3">
      <c r="A228" s="1">
        <v>43405</v>
      </c>
      <c r="B228">
        <v>44.65</v>
      </c>
      <c r="C228" s="2">
        <f>LN(Tabla1[[#This Row],[Último]]/B227)</f>
        <v>-0.20337496599178698</v>
      </c>
      <c r="D228" s="2">
        <f>(Tabla1[[#This Row],[Último]]-B227)/B227</f>
        <v>-0.18402777777777779</v>
      </c>
    </row>
    <row r="229" spans="1:4" x14ac:dyDescent="0.3">
      <c r="A229" s="1">
        <v>43435</v>
      </c>
      <c r="B229">
        <v>39.44</v>
      </c>
      <c r="C229" s="2">
        <f>LN(Tabla1[[#This Row],[Último]]/B228)</f>
        <v>-0.12407377758807338</v>
      </c>
      <c r="D229" s="2">
        <f>(Tabla1[[#This Row],[Último]]-B228)/B228</f>
        <v>-0.11668533034714448</v>
      </c>
    </row>
    <row r="230" spans="1:4" x14ac:dyDescent="0.3">
      <c r="A230" s="1">
        <v>43466</v>
      </c>
      <c r="B230">
        <v>41.61</v>
      </c>
      <c r="C230" s="2">
        <f>LN(Tabla1[[#This Row],[Último]]/B229)</f>
        <v>5.3559993260415294E-2</v>
      </c>
      <c r="D230" s="2">
        <f>(Tabla1[[#This Row],[Último]]-B229)/B229</f>
        <v>5.5020283975659279E-2</v>
      </c>
    </row>
    <row r="231" spans="1:4" x14ac:dyDescent="0.3">
      <c r="A231" s="1">
        <v>43497</v>
      </c>
      <c r="B231">
        <v>43.29</v>
      </c>
      <c r="C231" s="2">
        <f>LN(Tabla1[[#This Row],[Último]]/B230)</f>
        <v>3.9581138459039281E-2</v>
      </c>
      <c r="D231" s="2">
        <f>(Tabla1[[#This Row],[Último]]-B230)/B230</f>
        <v>4.03749098774333E-2</v>
      </c>
    </row>
    <row r="232" spans="1:4" x14ac:dyDescent="0.3">
      <c r="A232" s="1">
        <v>43525</v>
      </c>
      <c r="B232">
        <v>47.49</v>
      </c>
      <c r="C232" s="2">
        <f>LN(Tabla1[[#This Row],[Último]]/B231)</f>
        <v>9.2597501107141419E-2</v>
      </c>
      <c r="D232" s="2">
        <f>(Tabla1[[#This Row],[Último]]-B231)/B231</f>
        <v>9.702009702009709E-2</v>
      </c>
    </row>
    <row r="233" spans="1:4" x14ac:dyDescent="0.3">
      <c r="A233" s="1">
        <v>43556</v>
      </c>
      <c r="B233">
        <v>50.17</v>
      </c>
      <c r="C233" s="2">
        <f>LN(Tabla1[[#This Row],[Último]]/B232)</f>
        <v>5.4898075935131199E-2</v>
      </c>
      <c r="D233" s="2">
        <f>(Tabla1[[#This Row],[Último]]-B232)/B232</f>
        <v>5.6432933249105068E-2</v>
      </c>
    </row>
    <row r="234" spans="1:4" x14ac:dyDescent="0.3">
      <c r="A234" s="1">
        <v>43586</v>
      </c>
      <c r="B234">
        <v>43.77</v>
      </c>
      <c r="C234" s="2">
        <f>LN(Tabla1[[#This Row],[Último]]/B233)</f>
        <v>-0.13646858729335762</v>
      </c>
      <c r="D234" s="2">
        <f>(Tabla1[[#This Row],[Último]]-B233)/B233</f>
        <v>-0.1275662746661351</v>
      </c>
    </row>
    <row r="235" spans="1:4" x14ac:dyDescent="0.3">
      <c r="A235" s="1">
        <v>43617</v>
      </c>
      <c r="B235">
        <v>49.48</v>
      </c>
      <c r="C235" s="2">
        <f>LN(Tabla1[[#This Row],[Último]]/B234)</f>
        <v>0.12261989632148303</v>
      </c>
      <c r="D235" s="2">
        <f>(Tabla1[[#This Row],[Último]]-B234)/B234</f>
        <v>0.13045464930317555</v>
      </c>
    </row>
    <row r="236" spans="1:4" x14ac:dyDescent="0.3">
      <c r="A236" s="1">
        <v>43647</v>
      </c>
      <c r="B236">
        <v>53.26</v>
      </c>
      <c r="C236" s="2">
        <f>LN(Tabla1[[#This Row],[Último]]/B235)</f>
        <v>7.3617032861498941E-2</v>
      </c>
      <c r="D236" s="2">
        <f>(Tabla1[[#This Row],[Último]]-B235)/B235</f>
        <v>7.6394502829426059E-2</v>
      </c>
    </row>
    <row r="237" spans="1:4" x14ac:dyDescent="0.3">
      <c r="A237" s="1">
        <v>43678</v>
      </c>
      <c r="B237">
        <v>52.19</v>
      </c>
      <c r="C237" s="2">
        <f>LN(Tabla1[[#This Row],[Último]]/B236)</f>
        <v>-2.0294674730464327E-2</v>
      </c>
      <c r="D237" s="2">
        <f>(Tabla1[[#This Row],[Último]]-B236)/B236</f>
        <v>-2.0090123920390543E-2</v>
      </c>
    </row>
    <row r="238" spans="1:4" x14ac:dyDescent="0.3">
      <c r="A238" s="1">
        <v>43709</v>
      </c>
      <c r="B238">
        <v>55.99</v>
      </c>
      <c r="C238" s="2">
        <f>LN(Tabla1[[#This Row],[Último]]/B237)</f>
        <v>7.028219770548022E-2</v>
      </c>
      <c r="D238" s="2">
        <f>(Tabla1[[#This Row],[Último]]-B237)/B237</f>
        <v>7.2810883310979194E-2</v>
      </c>
    </row>
    <row r="239" spans="1:4" x14ac:dyDescent="0.3">
      <c r="A239" s="1">
        <v>43739</v>
      </c>
      <c r="B239">
        <v>62.19</v>
      </c>
      <c r="C239" s="2">
        <f>LN(Tabla1[[#This Row],[Último]]/B238)</f>
        <v>0.10502111175499601</v>
      </c>
      <c r="D239" s="2">
        <f>(Tabla1[[#This Row],[Último]]-B238)/B238</f>
        <v>0.11073405965350948</v>
      </c>
    </row>
    <row r="240" spans="1:4" x14ac:dyDescent="0.3">
      <c r="A240" s="1">
        <v>43770</v>
      </c>
      <c r="B240">
        <v>66.81</v>
      </c>
      <c r="C240" s="2">
        <f>LN(Tabla1[[#This Row],[Último]]/B239)</f>
        <v>7.1658554821588019E-2</v>
      </c>
      <c r="D240" s="2">
        <f>(Tabla1[[#This Row],[Último]]-B239)/B239</f>
        <v>7.4288470815243687E-2</v>
      </c>
    </row>
    <row r="241" spans="1:4" x14ac:dyDescent="0.3">
      <c r="A241" s="1">
        <v>43800</v>
      </c>
      <c r="B241">
        <v>73.41</v>
      </c>
      <c r="C241" s="2">
        <f>LN(Tabla1[[#This Row],[Último]]/B240)</f>
        <v>9.4207396185303952E-2</v>
      </c>
      <c r="D241" s="2">
        <f>(Tabla1[[#This Row],[Último]]-B240)/B240</f>
        <v>9.8787606645711637E-2</v>
      </c>
    </row>
    <row r="242" spans="1:4" x14ac:dyDescent="0.3">
      <c r="A242" s="1">
        <v>43831</v>
      </c>
      <c r="B242">
        <v>77.38</v>
      </c>
      <c r="C242" s="2">
        <f>LN(Tabla1[[#This Row],[Último]]/B241)</f>
        <v>5.2668183149676924E-2</v>
      </c>
      <c r="D242" s="2">
        <f>(Tabla1[[#This Row],[Último]]-B241)/B241</f>
        <v>5.4079825636834208E-2</v>
      </c>
    </row>
    <row r="243" spans="1:4" x14ac:dyDescent="0.3">
      <c r="A243" s="1">
        <v>43862</v>
      </c>
      <c r="B243">
        <v>68.34</v>
      </c>
      <c r="C243" s="2">
        <f>LN(Tabla1[[#This Row],[Último]]/B242)</f>
        <v>-0.12423310258522108</v>
      </c>
      <c r="D243" s="2">
        <f>(Tabla1[[#This Row],[Último]]-B242)/B242</f>
        <v>-0.11682605324373213</v>
      </c>
    </row>
    <row r="244" spans="1:4" x14ac:dyDescent="0.3">
      <c r="A244" s="1">
        <v>43891</v>
      </c>
      <c r="B244">
        <v>63.57</v>
      </c>
      <c r="C244" s="2">
        <f>LN(Tabla1[[#This Row],[Último]]/B243)</f>
        <v>-7.2353585738828385E-2</v>
      </c>
      <c r="D244" s="2">
        <f>(Tabla1[[#This Row],[Último]]-B243)/B243</f>
        <v>-6.979806848112384E-2</v>
      </c>
    </row>
    <row r="245" spans="1:4" x14ac:dyDescent="0.3">
      <c r="A245" s="1">
        <v>43922</v>
      </c>
      <c r="B245">
        <v>73.45</v>
      </c>
      <c r="C245" s="2">
        <f>LN(Tabla1[[#This Row],[Último]]/B244)</f>
        <v>0.14446324167156899</v>
      </c>
      <c r="D245" s="2">
        <f>(Tabla1[[#This Row],[Último]]-B244)/B244</f>
        <v>0.15541922290388552</v>
      </c>
    </row>
    <row r="246" spans="1:4" x14ac:dyDescent="0.3">
      <c r="A246" s="1">
        <v>43952</v>
      </c>
      <c r="B246">
        <v>79.489999999999995</v>
      </c>
      <c r="C246" s="2">
        <f>LN(Tabla1[[#This Row],[Último]]/B245)</f>
        <v>7.90263249651348E-2</v>
      </c>
      <c r="D246" s="2">
        <f>(Tabla1[[#This Row],[Último]]-B245)/B245</f>
        <v>8.2232811436351153E-2</v>
      </c>
    </row>
    <row r="247" spans="1:4" x14ac:dyDescent="0.3">
      <c r="A247" s="1">
        <v>43983</v>
      </c>
      <c r="B247">
        <v>91.2</v>
      </c>
      <c r="C247" s="2">
        <f>LN(Tabla1[[#This Row],[Último]]/B246)</f>
        <v>0.13742366949526463</v>
      </c>
      <c r="D247" s="2">
        <f>(Tabla1[[#This Row],[Último]]-B246)/B246</f>
        <v>0.1473141275632156</v>
      </c>
    </row>
    <row r="248" spans="1:4" x14ac:dyDescent="0.3">
      <c r="A248" s="1">
        <v>44013</v>
      </c>
      <c r="B248">
        <v>106.26</v>
      </c>
      <c r="C248" s="2">
        <f>LN(Tabla1[[#This Row],[Último]]/B247)</f>
        <v>0.15283402394251144</v>
      </c>
      <c r="D248" s="2">
        <f>(Tabla1[[#This Row],[Último]]-B247)/B247</f>
        <v>0.16513157894736843</v>
      </c>
    </row>
    <row r="249" spans="1:4" x14ac:dyDescent="0.3">
      <c r="A249" s="1">
        <v>44044</v>
      </c>
      <c r="B249">
        <v>129.04</v>
      </c>
      <c r="C249" s="2">
        <f>LN(Tabla1[[#This Row],[Último]]/B248)</f>
        <v>0.19423351279415621</v>
      </c>
      <c r="D249" s="2">
        <f>(Tabla1[[#This Row],[Último]]-B248)/B248</f>
        <v>0.21437982307547512</v>
      </c>
    </row>
    <row r="250" spans="1:4" x14ac:dyDescent="0.3">
      <c r="A250" s="1">
        <v>44075</v>
      </c>
      <c r="B250">
        <v>115.81</v>
      </c>
      <c r="C250" s="2">
        <f>LN(Tabla1[[#This Row],[Último]]/B249)</f>
        <v>-0.10817151662066707</v>
      </c>
      <c r="D250" s="2">
        <f>(Tabla1[[#This Row],[Último]]-B249)/B249</f>
        <v>-0.10252634841909478</v>
      </c>
    </row>
    <row r="251" spans="1:4" x14ac:dyDescent="0.3">
      <c r="A251" s="1">
        <v>44105</v>
      </c>
      <c r="B251">
        <v>108.86</v>
      </c>
      <c r="C251" s="2">
        <f>LN(Tabla1[[#This Row],[Último]]/B250)</f>
        <v>-6.1888264190232391E-2</v>
      </c>
      <c r="D251" s="2">
        <f>(Tabla1[[#This Row],[Último]]-B250)/B250</f>
        <v>-6.0012088766082397E-2</v>
      </c>
    </row>
    <row r="252" spans="1:4" x14ac:dyDescent="0.3">
      <c r="A252" s="1">
        <v>44136</v>
      </c>
      <c r="B252">
        <v>119.05</v>
      </c>
      <c r="C252" s="2">
        <f>LN(Tabla1[[#This Row],[Último]]/B251)</f>
        <v>8.9480919926817698E-2</v>
      </c>
      <c r="D252" s="2">
        <f>(Tabla1[[#This Row],[Último]]-B251)/B251</f>
        <v>9.3606467021862927E-2</v>
      </c>
    </row>
    <row r="253" spans="1:4" x14ac:dyDescent="0.3">
      <c r="A253" s="1">
        <v>44166</v>
      </c>
      <c r="B253">
        <v>132.69</v>
      </c>
      <c r="C253" s="2">
        <f>LN(Tabla1[[#This Row],[Último]]/B252)</f>
        <v>0.1084720076154734</v>
      </c>
      <c r="D253" s="2">
        <f>(Tabla1[[#This Row],[Último]]-B252)/B252</f>
        <v>0.11457370852582949</v>
      </c>
    </row>
    <row r="254" spans="1:4" x14ac:dyDescent="0.3">
      <c r="A254" s="1">
        <v>44197</v>
      </c>
      <c r="B254">
        <v>131.96</v>
      </c>
      <c r="C254" s="2">
        <f>LN(Tabla1[[#This Row],[Último]]/B253)</f>
        <v>-5.5167341879643174E-3</v>
      </c>
      <c r="D254" s="2">
        <f>(Tabla1[[#This Row],[Último]]-B253)/B253</f>
        <v>-5.5015449544049272E-3</v>
      </c>
    </row>
    <row r="255" spans="1:4" x14ac:dyDescent="0.3">
      <c r="A255" s="1">
        <v>44228</v>
      </c>
      <c r="B255">
        <v>121.26</v>
      </c>
      <c r="C255" s="2">
        <f>LN(Tabla1[[#This Row],[Último]]/B254)</f>
        <v>-8.456184571679605E-2</v>
      </c>
      <c r="D255" s="2">
        <f>(Tabla1[[#This Row],[Último]]-B254)/B254</f>
        <v>-8.1085177326462587E-2</v>
      </c>
    </row>
    <row r="256" spans="1:4" x14ac:dyDescent="0.3">
      <c r="A256" s="1">
        <v>44256</v>
      </c>
      <c r="B256">
        <v>122.15</v>
      </c>
      <c r="C256" s="2">
        <f>LN(Tabla1[[#This Row],[Último]]/B255)</f>
        <v>7.3127970601647744E-3</v>
      </c>
      <c r="D256" s="2">
        <f>(Tabla1[[#This Row],[Último]]-B255)/B255</f>
        <v>7.3396008576612284E-3</v>
      </c>
    </row>
    <row r="257" spans="1:4" x14ac:dyDescent="0.3">
      <c r="A257" s="1">
        <v>44287</v>
      </c>
      <c r="B257">
        <v>131.46</v>
      </c>
      <c r="C257" s="2">
        <f>LN(Tabla1[[#This Row],[Último]]/B256)</f>
        <v>7.3452825131680791E-2</v>
      </c>
      <c r="D257" s="2">
        <f>(Tabla1[[#This Row],[Último]]-B256)/B256</f>
        <v>7.621776504297996E-2</v>
      </c>
    </row>
    <row r="258" spans="1:4" x14ac:dyDescent="0.3">
      <c r="A258" s="1">
        <v>44317</v>
      </c>
      <c r="B258">
        <v>124.61</v>
      </c>
      <c r="C258" s="2">
        <f>LN(Tabla1[[#This Row],[Último]]/B257)</f>
        <v>-5.3513762880654001E-2</v>
      </c>
      <c r="D258" s="2">
        <f>(Tabla1[[#This Row],[Último]]-B257)/B257</f>
        <v>-5.2107104822759834E-2</v>
      </c>
    </row>
    <row r="259" spans="1:4" x14ac:dyDescent="0.3">
      <c r="A259" s="1">
        <v>44348</v>
      </c>
      <c r="B259">
        <v>136.96</v>
      </c>
      <c r="C259" s="2">
        <f>LN(Tabla1[[#This Row],[Último]]/B258)</f>
        <v>9.4500052438655807E-2</v>
      </c>
      <c r="D259" s="2">
        <f>(Tabla1[[#This Row],[Último]]-B258)/B258</f>
        <v>9.9109220768798717E-2</v>
      </c>
    </row>
    <row r="260" spans="1:4" x14ac:dyDescent="0.3">
      <c r="A260" s="1">
        <v>44378</v>
      </c>
      <c r="B260">
        <v>145.86000000000001</v>
      </c>
      <c r="C260" s="2">
        <f>LN(Tabla1[[#This Row],[Último]]/B259)</f>
        <v>6.2958345162655041E-2</v>
      </c>
      <c r="D260" s="2">
        <f>(Tabla1[[#This Row],[Último]]-B259)/B259</f>
        <v>6.4982476635514055E-2</v>
      </c>
    </row>
    <row r="261" spans="1:4" x14ac:dyDescent="0.3">
      <c r="A261" s="1">
        <v>44409</v>
      </c>
      <c r="B261">
        <v>151.83000000000001</v>
      </c>
      <c r="C261" s="2">
        <f>LN(Tabla1[[#This Row],[Último]]/B260)</f>
        <v>4.0114216338009302E-2</v>
      </c>
      <c r="D261" s="2">
        <f>(Tabla1[[#This Row],[Último]]-B260)/B260</f>
        <v>4.092965857671739E-2</v>
      </c>
    </row>
    <row r="262" spans="1:4" x14ac:dyDescent="0.3">
      <c r="A262" s="1">
        <v>44440</v>
      </c>
      <c r="B262">
        <v>141.5</v>
      </c>
      <c r="C262" s="2">
        <f>LN(Tabla1[[#This Row],[Último]]/B261)</f>
        <v>-7.0461756810804105E-2</v>
      </c>
      <c r="D262" s="2">
        <f>(Tabla1[[#This Row],[Último]]-B261)/B261</f>
        <v>-6.8036619903839898E-2</v>
      </c>
    </row>
    <row r="263" spans="1:4" x14ac:dyDescent="0.3">
      <c r="A263" s="1">
        <v>44470</v>
      </c>
      <c r="B263">
        <v>149.80000000000001</v>
      </c>
      <c r="C263" s="2">
        <f>LN(Tabla1[[#This Row],[Último]]/B262)</f>
        <v>5.7001353999826844E-2</v>
      </c>
      <c r="D263" s="2">
        <f>(Tabla1[[#This Row],[Último]]-B262)/B262</f>
        <v>5.8657243816254499E-2</v>
      </c>
    </row>
    <row r="264" spans="1:4" x14ac:dyDescent="0.3">
      <c r="A264" s="1">
        <v>44501</v>
      </c>
      <c r="B264">
        <v>165.3</v>
      </c>
      <c r="C264" s="2">
        <f>LN(Tabla1[[#This Row],[Último]]/B263)</f>
        <v>9.8460933743859308E-2</v>
      </c>
      <c r="D264" s="2">
        <f>(Tabla1[[#This Row],[Último]]-B263)/B263</f>
        <v>0.1034712950600801</v>
      </c>
    </row>
    <row r="265" spans="1:4" x14ac:dyDescent="0.3">
      <c r="A265" s="1">
        <v>44531</v>
      </c>
      <c r="B265">
        <v>177.57</v>
      </c>
      <c r="C265" s="2">
        <f>LN(Tabla1[[#This Row],[Último]]/B264)</f>
        <v>7.1602892543764798E-2</v>
      </c>
      <c r="D265" s="2">
        <f>(Tabla1[[#This Row],[Último]]-B264)/B264</f>
        <v>7.4228675136116043E-2</v>
      </c>
    </row>
    <row r="266" spans="1:4" x14ac:dyDescent="0.3">
      <c r="A266" s="1">
        <v>44562</v>
      </c>
      <c r="B266">
        <v>174.78</v>
      </c>
      <c r="C266" s="2">
        <f>LN(Tabla1[[#This Row],[Último]]/B265)</f>
        <v>-1.5836857171345101E-2</v>
      </c>
      <c r="D266" s="2">
        <f>(Tabla1[[#This Row],[Último]]-B265)/B265</f>
        <v>-1.571211353269129E-2</v>
      </c>
    </row>
    <row r="267" spans="1:4" x14ac:dyDescent="0.3">
      <c r="A267" s="1">
        <v>44593</v>
      </c>
      <c r="B267">
        <v>165.12</v>
      </c>
      <c r="C267" s="2">
        <f>LN(Tabla1[[#This Row],[Último]]/B266)</f>
        <v>-5.6855557906200289E-2</v>
      </c>
      <c r="D267" s="2">
        <f>(Tabla1[[#This Row],[Último]]-B266)/B266</f>
        <v>-5.5269481634054221E-2</v>
      </c>
    </row>
    <row r="268" spans="1:4" x14ac:dyDescent="0.3">
      <c r="A268" s="1">
        <v>44621</v>
      </c>
      <c r="B268">
        <v>174.61</v>
      </c>
      <c r="C268" s="2">
        <f>LN(Tabla1[[#This Row],[Último]]/B267)</f>
        <v>5.5882433240838261E-2</v>
      </c>
      <c r="D268" s="2">
        <f>(Tabla1[[#This Row],[Último]]-B267)/B267</f>
        <v>5.7473352713178348E-2</v>
      </c>
    </row>
    <row r="269" spans="1:4" x14ac:dyDescent="0.3">
      <c r="A269" s="1">
        <v>44652</v>
      </c>
      <c r="B269">
        <v>157.65</v>
      </c>
      <c r="C269" s="2">
        <f>LN(Tabla1[[#This Row],[Último]]/B268)</f>
        <v>-0.10217752954296631</v>
      </c>
      <c r="D269" s="2">
        <f>(Tabla1[[#This Row],[Último]]-B268)/B268</f>
        <v>-9.7130748525284957E-2</v>
      </c>
    </row>
    <row r="270" spans="1:4" x14ac:dyDescent="0.3">
      <c r="A270" s="1">
        <v>44682</v>
      </c>
      <c r="B270">
        <v>148.84</v>
      </c>
      <c r="C270" s="2">
        <f>LN(Tabla1[[#This Row],[Último]]/B269)</f>
        <v>-5.7505482512648039E-2</v>
      </c>
      <c r="D270" s="2">
        <f>(Tabla1[[#This Row],[Último]]-B269)/B269</f>
        <v>-5.5883285759594052E-2</v>
      </c>
    </row>
    <row r="271" spans="1:4" x14ac:dyDescent="0.3">
      <c r="A271" s="1">
        <v>44713</v>
      </c>
      <c r="B271">
        <v>136.72</v>
      </c>
      <c r="C271" s="2">
        <f>LN(Tabla1[[#This Row],[Último]]/B270)</f>
        <v>-8.4936864671086312E-2</v>
      </c>
      <c r="D271" s="2">
        <f>(Tabla1[[#This Row],[Último]]-B270)/B270</f>
        <v>-8.1429723192690165E-2</v>
      </c>
    </row>
    <row r="272" spans="1:4" x14ac:dyDescent="0.3">
      <c r="A272" s="1">
        <v>44743</v>
      </c>
      <c r="B272">
        <v>162.51</v>
      </c>
      <c r="C272" s="2">
        <f>LN(Tabla1[[#This Row],[Último]]/B271)</f>
        <v>0.17280449953058177</v>
      </c>
      <c r="D272" s="2">
        <f>(Tabla1[[#This Row],[Último]]-B271)/B271</f>
        <v>0.18863370392042125</v>
      </c>
    </row>
    <row r="273" spans="1:4" x14ac:dyDescent="0.3">
      <c r="A273" s="1">
        <v>44774</v>
      </c>
      <c r="B273">
        <v>157.22</v>
      </c>
      <c r="C273" s="2">
        <f>LN(Tabla1[[#This Row],[Último]]/B272)</f>
        <v>-3.3093439972306703E-2</v>
      </c>
      <c r="D273" s="2">
        <f>(Tabla1[[#This Row],[Último]]-B272)/B272</f>
        <v>-3.2551842963509887E-2</v>
      </c>
    </row>
    <row r="274" spans="1:4" x14ac:dyDescent="0.3">
      <c r="A274" s="1">
        <v>44805</v>
      </c>
      <c r="B274">
        <v>138.19999999999999</v>
      </c>
      <c r="C274" s="2">
        <f>LN(Tabla1[[#This Row],[Último]]/B273)</f>
        <v>-0.12894418703204094</v>
      </c>
      <c r="D274" s="2">
        <f>(Tabla1[[#This Row],[Último]]-B273)/B273</f>
        <v>-0.12097697493957518</v>
      </c>
    </row>
    <row r="275" spans="1:4" x14ac:dyDescent="0.3">
      <c r="A275" s="1">
        <v>44835</v>
      </c>
      <c r="B275">
        <v>153.34</v>
      </c>
      <c r="C275" s="2">
        <f>LN(Tabla1[[#This Row],[Último]]/B274)</f>
        <v>0.10395576679717891</v>
      </c>
      <c r="D275" s="2">
        <f>(Tabla1[[#This Row],[Último]]-B274)/B274</f>
        <v>0.10955137481910286</v>
      </c>
    </row>
    <row r="276" spans="1:4" x14ac:dyDescent="0.3">
      <c r="A276" s="1">
        <v>44866</v>
      </c>
      <c r="B276">
        <v>148.03</v>
      </c>
      <c r="C276" s="2">
        <f>LN(Tabla1[[#This Row],[Último]]/B275)</f>
        <v>-3.524272220534766E-2</v>
      </c>
      <c r="D276" s="2">
        <f>(Tabla1[[#This Row],[Último]]-B275)/B275</f>
        <v>-3.4628929176992319E-2</v>
      </c>
    </row>
    <row r="277" spans="1:4" x14ac:dyDescent="0.3">
      <c r="A277" s="1">
        <v>44896</v>
      </c>
      <c r="B277">
        <v>129.93</v>
      </c>
      <c r="C277" s="2">
        <f>LN(Tabla1[[#This Row],[Último]]/B276)</f>
        <v>-0.13041911203075576</v>
      </c>
      <c r="D277" s="2">
        <f>(Tabla1[[#This Row],[Último]]-B276)/B276</f>
        <v>-0.12227251232858201</v>
      </c>
    </row>
    <row r="278" spans="1:4" x14ac:dyDescent="0.3">
      <c r="A278" s="1">
        <v>44927</v>
      </c>
      <c r="B278">
        <v>144.29</v>
      </c>
      <c r="C278" s="2">
        <f>LN(Tabla1[[#This Row],[Último]]/B277)</f>
        <v>0.1048293194145192</v>
      </c>
      <c r="D278" s="2">
        <f>(Tabla1[[#This Row],[Último]]-B277)/B277</f>
        <v>0.11052104979604391</v>
      </c>
    </row>
    <row r="279" spans="1:4" x14ac:dyDescent="0.3">
      <c r="A279" s="1">
        <v>44958</v>
      </c>
      <c r="B279">
        <v>147.41</v>
      </c>
      <c r="C279" s="2">
        <f>LN(Tabla1[[#This Row],[Último]]/B278)</f>
        <v>2.1392656750022429E-2</v>
      </c>
      <c r="D279" s="2">
        <f>(Tabla1[[#This Row],[Último]]-B278)/B278</f>
        <v>2.1623120105343438E-2</v>
      </c>
    </row>
    <row r="280" spans="1:4" x14ac:dyDescent="0.3">
      <c r="A280" s="1">
        <v>44986</v>
      </c>
      <c r="B280">
        <v>164.9</v>
      </c>
      <c r="C280" s="2">
        <f>LN(Tabla1[[#This Row],[Último]]/B279)</f>
        <v>0.11212140950636644</v>
      </c>
      <c r="D280" s="2">
        <f>(Tabla1[[#This Row],[Último]]-B279)/B279</f>
        <v>0.11864866698324408</v>
      </c>
    </row>
    <row r="281" spans="1:4" x14ac:dyDescent="0.3">
      <c r="A281" s="1">
        <v>45017</v>
      </c>
      <c r="B281">
        <v>169.68</v>
      </c>
      <c r="C281" s="2">
        <f>LN(Tabla1[[#This Row],[Último]]/B280)</f>
        <v>2.8575080690873691E-2</v>
      </c>
      <c r="D281" s="2">
        <f>(Tabla1[[#This Row],[Último]]-B280)/B280</f>
        <v>2.8987265009096427E-2</v>
      </c>
    </row>
    <row r="282" spans="1:4" x14ac:dyDescent="0.3">
      <c r="A282" s="1">
        <v>45047</v>
      </c>
      <c r="B282">
        <v>177.25</v>
      </c>
      <c r="C282" s="2">
        <f>LN(Tabla1[[#This Row],[Último]]/B281)</f>
        <v>4.3646855155809787E-2</v>
      </c>
      <c r="D282" s="2">
        <f>(Tabla1[[#This Row],[Último]]-B281)/B281</f>
        <v>4.4613389910419569E-2</v>
      </c>
    </row>
    <row r="283" spans="1:4" x14ac:dyDescent="0.3">
      <c r="A283" s="1">
        <v>45078</v>
      </c>
      <c r="B283">
        <v>193.97</v>
      </c>
      <c r="C283" s="2">
        <f>LN(Tabla1[[#This Row],[Último]]/B282)</f>
        <v>9.0142342517963436E-2</v>
      </c>
      <c r="D283" s="2">
        <f>(Tabla1[[#This Row],[Último]]-B282)/B282</f>
        <v>9.4330042313117063E-2</v>
      </c>
    </row>
    <row r="284" spans="1:4" x14ac:dyDescent="0.3">
      <c r="A284" s="1">
        <v>45108</v>
      </c>
      <c r="B284">
        <v>196.45</v>
      </c>
      <c r="C284" s="2">
        <f>LN(Tabla1[[#This Row],[Último]]/B283)</f>
        <v>1.2704438074268271E-2</v>
      </c>
      <c r="D284" s="2">
        <f>(Tabla1[[#This Row],[Último]]-B283)/B283</f>
        <v>1.2785482291075886E-2</v>
      </c>
    </row>
    <row r="285" spans="1:4" x14ac:dyDescent="0.3">
      <c r="A285" s="1">
        <v>45139</v>
      </c>
      <c r="B285">
        <v>187.87</v>
      </c>
      <c r="C285" s="2">
        <f>LN(Tabla1[[#This Row],[Último]]/B284)</f>
        <v>-4.4657711725261062E-2</v>
      </c>
      <c r="D285" s="2">
        <f>(Tabla1[[#This Row],[Último]]-B284)/B284</f>
        <v>-4.367523542886223E-2</v>
      </c>
    </row>
    <row r="286" spans="1:4" x14ac:dyDescent="0.3">
      <c r="A286" s="1">
        <v>45170</v>
      </c>
      <c r="B286">
        <v>171.21</v>
      </c>
      <c r="C286" s="2">
        <f>LN(Tabla1[[#This Row],[Último]]/B285)</f>
        <v>-9.2859361062481216E-2</v>
      </c>
      <c r="D286" s="2">
        <f>(Tabla1[[#This Row],[Último]]-B285)/B285</f>
        <v>-8.8678341406291564E-2</v>
      </c>
    </row>
    <row r="287" spans="1:4" x14ac:dyDescent="0.3">
      <c r="A287" s="1">
        <v>45200</v>
      </c>
      <c r="B287">
        <v>170.77</v>
      </c>
      <c r="C287" s="2">
        <f>LN(Tabla1[[#This Row],[Último]]/B286)</f>
        <v>-2.5732513175787818E-3</v>
      </c>
      <c r="D287" s="2">
        <f>(Tabla1[[#This Row],[Último]]-B286)/B286</f>
        <v>-2.5699433444308028E-3</v>
      </c>
    </row>
    <row r="288" spans="1:4" x14ac:dyDescent="0.3">
      <c r="A288" s="1">
        <v>45231</v>
      </c>
      <c r="B288">
        <v>189.95</v>
      </c>
      <c r="C288" s="2">
        <f>LN(Tabla1[[#This Row],[Último]]/B287)</f>
        <v>0.10644325773448686</v>
      </c>
      <c r="D288" s="2">
        <f>(Tabla1[[#This Row],[Último]]-B287)/B287</f>
        <v>0.11231480939275035</v>
      </c>
    </row>
    <row r="289" spans="1:4" x14ac:dyDescent="0.3">
      <c r="A289" s="1">
        <v>45261</v>
      </c>
      <c r="B289">
        <v>192.53</v>
      </c>
      <c r="C289" s="2">
        <f>LN(Tabla1[[#This Row],[Último]]/B288)</f>
        <v>1.3491106107609537E-2</v>
      </c>
      <c r="D289" s="2">
        <f>(Tabla1[[#This Row],[Último]]-B288)/B288</f>
        <v>1.3582521716241183E-2</v>
      </c>
    </row>
    <row r="290" spans="1:4" x14ac:dyDescent="0.3">
      <c r="A290" s="1">
        <v>45292</v>
      </c>
      <c r="B290">
        <v>184.4</v>
      </c>
      <c r="C290" s="2">
        <f>LN(Tabla1[[#This Row],[Último]]/B289)</f>
        <v>-4.3144674618750656E-2</v>
      </c>
      <c r="D290" s="2">
        <f>(Tabla1[[#This Row],[Último]]-B289)/B289</f>
        <v>-4.2227185373707968E-2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históricos AAPL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Pérez Ledesma</dc:creator>
  <cp:lastModifiedBy>Héctor Pérez Ledesma</cp:lastModifiedBy>
  <dcterms:created xsi:type="dcterms:W3CDTF">2024-03-07T15:17:03Z</dcterms:created>
  <dcterms:modified xsi:type="dcterms:W3CDTF">2024-03-07T15:19:04Z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2024-03-07T11:40:36Z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5d18f1d2-948d-4d76-a619-42a2dfa2b19a</vt:lpwstr>
  </property>
  <property fmtid="{D5CDD505-2E9C-101B-9397-08002B2CF9AE}" pid="8" name="MSIP_Label_3c45fde9-74cf-49ff-9960-41566d3a7fed_ContentBits">
    <vt:lpwstr>0</vt:lpwstr>
  </property>
</Properties>
</file>